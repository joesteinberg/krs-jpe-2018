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80" yWindow="510" windowWidth="12780" windowHeight="7125" tabRatio="907" activeTab="5"/>
  </bookViews>
  <sheets>
    <sheet name="NIPA-1.1.5" sheetId="7" r:id="rId1"/>
    <sheet name="NIPA-5.1" sheetId="8" r:id="rId2"/>
    <sheet name="1987-97_02NAICS_VA, GO, II" sheetId="16" r:id="rId3"/>
    <sheet name="07NAICS_VA, GO, II" sheetId="17" r:id="rId4"/>
    <sheet name="FRED" sheetId="11" r:id="rId5"/>
    <sheet name="Step1-AggregateWIOD" sheetId="5" r:id="rId6"/>
    <sheet name="Step2a-NIPACalcs" sheetId="9" r:id="rId7"/>
    <sheet name="Step2b-IVACalcs" sheetId="18" r:id="rId8"/>
    <sheet name="Step3-Balance" sheetId="10" r:id="rId9"/>
    <sheet name="Step3-BalanceMoreSvcsTrd" sheetId="28" r:id="rId10"/>
    <sheet name="Step3-Balance-NoIO" sheetId="35" r:id="rId11"/>
    <sheet name="Step3-BalanceAltIO1" sheetId="31" r:id="rId12"/>
    <sheet name="Step4-Normalize" sheetId="12" r:id="rId13"/>
    <sheet name="Step4-NormalizeMoreSvcsTrd" sheetId="29" r:id="rId14"/>
    <sheet name="Step4-Normalize-NoIO" sheetId="23" r:id="rId15"/>
    <sheet name="Step4-Normalize-AltIO1" sheetId="32" r:id="rId16"/>
    <sheet name="input-output-data" sheetId="13" r:id="rId17"/>
    <sheet name="input-output-data-moresvcstrd" sheetId="30" r:id="rId18"/>
    <sheet name="input-output-data-NoIO" sheetId="24" r:id="rId19"/>
    <sheet name="input-output-data-altio1" sheetId="36" r:id="rId20"/>
  </sheets>
  <definedNames>
    <definedName name="_xlnm.Print_Area" localSheetId="2">'1987-97_02NAICS_VA, GO, II'!$A$188:$M$280</definedName>
    <definedName name="_xlnm.Print_Area" localSheetId="12">'Step4-Normalize'!$A$1:$M$21</definedName>
    <definedName name="_xlnm.Print_Area" localSheetId="15">'Step4-Normalize-AltIO1'!$A$1:$M$21</definedName>
    <definedName name="_xlnm.Print_Area" localSheetId="13">'Step4-NormalizeMoreSvcsTrd'!$A$1:$M$21</definedName>
    <definedName name="_xlnm.Print_Area" localSheetId="14">'Step4-Normalize-NoIO'!$A$1:$M$21</definedName>
    <definedName name="_xlnm.Print_Titles" localSheetId="2">'1987-97_02NAICS_VA, GO, II'!$A:$B,'1987-97_02NAICS_VA, GO, II'!$1:$1</definedName>
  </definedNames>
  <calcPr calcId="145621"/>
</workbook>
</file>

<file path=xl/calcChain.xml><?xml version="1.0" encoding="utf-8"?>
<calcChain xmlns="http://schemas.openxmlformats.org/spreadsheetml/2006/main">
  <c r="J7" i="36" l="1"/>
  <c r="I7" i="36"/>
  <c r="H7" i="36"/>
  <c r="G7" i="36"/>
  <c r="F7" i="36"/>
  <c r="E7" i="36"/>
  <c r="D7" i="36"/>
  <c r="C7" i="36"/>
  <c r="B7" i="36"/>
  <c r="A7" i="36"/>
  <c r="J6" i="36"/>
  <c r="I6" i="36"/>
  <c r="H6" i="36"/>
  <c r="G6" i="36"/>
  <c r="F6" i="36"/>
  <c r="E6" i="36"/>
  <c r="D6" i="36"/>
  <c r="C6" i="36"/>
  <c r="B6" i="36"/>
  <c r="A6" i="36"/>
  <c r="J5" i="36"/>
  <c r="I5" i="36"/>
  <c r="H5" i="36"/>
  <c r="G5" i="36"/>
  <c r="F5" i="36"/>
  <c r="E5" i="36"/>
  <c r="D5" i="36"/>
  <c r="C5" i="36"/>
  <c r="B5" i="36"/>
  <c r="A5" i="36"/>
  <c r="J4" i="36"/>
  <c r="I4" i="36"/>
  <c r="H4" i="36"/>
  <c r="G4" i="36"/>
  <c r="F4" i="36"/>
  <c r="E4" i="36"/>
  <c r="D4" i="36"/>
  <c r="C4" i="36"/>
  <c r="B4" i="36"/>
  <c r="A4" i="36"/>
  <c r="J3" i="36"/>
  <c r="I3" i="36"/>
  <c r="H3" i="36"/>
  <c r="G3" i="36"/>
  <c r="F3" i="36"/>
  <c r="E3" i="36"/>
  <c r="D3" i="36"/>
  <c r="C3" i="36"/>
  <c r="B3" i="36"/>
  <c r="A3" i="36"/>
  <c r="J2" i="36"/>
  <c r="I2" i="36"/>
  <c r="H2" i="36"/>
  <c r="G2" i="36"/>
  <c r="F2" i="36"/>
  <c r="E2" i="36"/>
  <c r="D2" i="36"/>
  <c r="C2" i="36"/>
  <c r="B2" i="36"/>
  <c r="A2" i="36"/>
  <c r="J1" i="36"/>
  <c r="I1" i="36"/>
  <c r="H1" i="36"/>
  <c r="G1" i="36"/>
  <c r="F1" i="36"/>
  <c r="E1" i="36"/>
  <c r="D1" i="36"/>
  <c r="C1" i="36"/>
  <c r="B1" i="36"/>
  <c r="A1" i="36"/>
  <c r="N18" i="35"/>
  <c r="N16" i="35"/>
  <c r="N17" i="35"/>
  <c r="H12" i="23"/>
  <c r="G12" i="23"/>
  <c r="F12" i="23"/>
  <c r="E12" i="23"/>
  <c r="D12" i="23"/>
  <c r="L11" i="23"/>
  <c r="K11" i="23"/>
  <c r="J11" i="23"/>
  <c r="I11" i="23"/>
  <c r="H11" i="23"/>
  <c r="G11" i="23"/>
  <c r="F11" i="23"/>
  <c r="E11" i="23"/>
  <c r="D11" i="23"/>
  <c r="L10" i="23"/>
  <c r="K10" i="23"/>
  <c r="J10" i="23"/>
  <c r="I10" i="23"/>
  <c r="H10" i="23"/>
  <c r="G10" i="23"/>
  <c r="F10" i="23"/>
  <c r="E10" i="23"/>
  <c r="D10" i="23"/>
  <c r="K9" i="23"/>
  <c r="J9" i="23"/>
  <c r="I9" i="23"/>
  <c r="F9" i="23"/>
  <c r="E9" i="23"/>
  <c r="D9" i="23"/>
  <c r="L8" i="23"/>
  <c r="K8" i="23"/>
  <c r="J8" i="23"/>
  <c r="I8" i="23"/>
  <c r="H8" i="23"/>
  <c r="G8" i="23"/>
  <c r="F8" i="23"/>
  <c r="E8" i="23"/>
  <c r="D8" i="23"/>
  <c r="L7" i="23"/>
  <c r="K7" i="23"/>
  <c r="J7" i="23"/>
  <c r="I7" i="23"/>
  <c r="H7" i="23"/>
  <c r="G7" i="23"/>
  <c r="F7" i="23"/>
  <c r="E7" i="23"/>
  <c r="D7" i="23"/>
  <c r="K44" i="35"/>
  <c r="J44" i="35"/>
  <c r="I44" i="35"/>
  <c r="H44" i="35"/>
  <c r="G44" i="35"/>
  <c r="F44" i="35"/>
  <c r="E44" i="35"/>
  <c r="D44" i="35"/>
  <c r="C44" i="35"/>
  <c r="M42" i="35"/>
  <c r="M41" i="35"/>
  <c r="M40" i="35"/>
  <c r="M39" i="35"/>
  <c r="M38" i="35"/>
  <c r="M37" i="35"/>
  <c r="M36" i="35"/>
  <c r="M35" i="35"/>
  <c r="M34" i="35"/>
  <c r="M33" i="35"/>
  <c r="M32" i="35"/>
  <c r="M31" i="35"/>
  <c r="M30" i="35"/>
  <c r="J22" i="35"/>
  <c r="J45" i="35" s="1"/>
  <c r="I22" i="35"/>
  <c r="I45" i="35" s="1"/>
  <c r="H22" i="35"/>
  <c r="H45" i="35" s="1"/>
  <c r="D22" i="35"/>
  <c r="D45" i="35" s="1"/>
  <c r="D46" i="35" s="1"/>
  <c r="E21" i="35"/>
  <c r="G19" i="35"/>
  <c r="G21" i="35" s="1"/>
  <c r="F19" i="35"/>
  <c r="M19" i="35" s="1"/>
  <c r="E22" i="35"/>
  <c r="E18" i="35"/>
  <c r="M18" i="35" s="1"/>
  <c r="N40" i="35"/>
  <c r="D17" i="35"/>
  <c r="M17" i="35" s="1"/>
  <c r="N39" i="35"/>
  <c r="C16" i="35"/>
  <c r="C21" i="35" s="1"/>
  <c r="N15" i="35"/>
  <c r="N38" i="35" s="1"/>
  <c r="J15" i="35"/>
  <c r="I15" i="35"/>
  <c r="H15" i="35"/>
  <c r="M15" i="35" s="1"/>
  <c r="N14" i="35"/>
  <c r="N37" i="35" s="1"/>
  <c r="J14" i="35"/>
  <c r="I14" i="35"/>
  <c r="H14" i="35"/>
  <c r="N13" i="35"/>
  <c r="N36" i="35" s="1"/>
  <c r="K13" i="35"/>
  <c r="M13" i="35" s="1"/>
  <c r="N12" i="35"/>
  <c r="N35" i="35" s="1"/>
  <c r="O35" i="35" s="1"/>
  <c r="K12" i="35"/>
  <c r="M12" i="35" s="1"/>
  <c r="K11" i="35"/>
  <c r="M11" i="35" s="1"/>
  <c r="M10" i="35"/>
  <c r="K10" i="35"/>
  <c r="J9" i="35"/>
  <c r="M9" i="35" s="1"/>
  <c r="J8" i="35"/>
  <c r="I8" i="35"/>
  <c r="M8" i="35" s="1"/>
  <c r="H8" i="35"/>
  <c r="J7" i="35"/>
  <c r="J21" i="35" s="1"/>
  <c r="I7" i="35"/>
  <c r="H7" i="35"/>
  <c r="H21" i="35" s="1"/>
  <c r="I21" i="35" l="1"/>
  <c r="F21" i="35"/>
  <c r="K21" i="35"/>
  <c r="M14" i="35"/>
  <c r="O40" i="35"/>
  <c r="O39" i="35"/>
  <c r="O38" i="35"/>
  <c r="H46" i="35"/>
  <c r="O37" i="35"/>
  <c r="O36" i="35"/>
  <c r="I46" i="35"/>
  <c r="J46" i="35"/>
  <c r="E45" i="35"/>
  <c r="E46" i="35" s="1"/>
  <c r="N9" i="35"/>
  <c r="N32" i="35" s="1"/>
  <c r="O32" i="35" s="1"/>
  <c r="M16" i="35"/>
  <c r="N41" i="35"/>
  <c r="O41" i="35" s="1"/>
  <c r="N8" i="35"/>
  <c r="N31" i="35" s="1"/>
  <c r="O31" i="35" s="1"/>
  <c r="D21" i="35"/>
  <c r="C22" i="35"/>
  <c r="M7" i="35"/>
  <c r="N19" i="35"/>
  <c r="G22" i="35" l="1"/>
  <c r="F22" i="35"/>
  <c r="N42" i="35"/>
  <c r="O42" i="35" s="1"/>
  <c r="K22" i="35"/>
  <c r="K45" i="35" s="1"/>
  <c r="K46" i="35" s="1"/>
  <c r="C45" i="35"/>
  <c r="C46" i="35" s="1"/>
  <c r="N7" i="35"/>
  <c r="N30" i="35" s="1"/>
  <c r="O30" i="35" s="1"/>
  <c r="AE7" i="32" a="1"/>
  <c r="AI11" i="32" s="1"/>
  <c r="U11" i="32"/>
  <c r="T11" i="32"/>
  <c r="S11" i="32"/>
  <c r="R11" i="32"/>
  <c r="Q11" i="32"/>
  <c r="U10" i="32"/>
  <c r="T10" i="32"/>
  <c r="S10" i="32"/>
  <c r="R10" i="32"/>
  <c r="Q10" i="32"/>
  <c r="U9" i="32"/>
  <c r="T9" i="32"/>
  <c r="S9" i="32"/>
  <c r="R9" i="32"/>
  <c r="Q9" i="32"/>
  <c r="U8" i="32"/>
  <c r="T8" i="32"/>
  <c r="S8" i="32"/>
  <c r="R8" i="32"/>
  <c r="Q8" i="32"/>
  <c r="U7" i="32"/>
  <c r="T7" i="32"/>
  <c r="S7" i="32"/>
  <c r="R7" i="32"/>
  <c r="Q7" i="32"/>
  <c r="N10" i="35" l="1"/>
  <c r="N33" i="35" s="1"/>
  <c r="O33" i="35" s="1"/>
  <c r="F45" i="35"/>
  <c r="F46" i="35" s="1"/>
  <c r="G45" i="35"/>
  <c r="G46" i="35" s="1"/>
  <c r="N11" i="35"/>
  <c r="N34" i="35" s="1"/>
  <c r="O34" i="35" s="1"/>
  <c r="AG7" i="32"/>
  <c r="AF8" i="32"/>
  <c r="AE9" i="32"/>
  <c r="AI9" i="32"/>
  <c r="AH10" i="32"/>
  <c r="AG11" i="32"/>
  <c r="AF7" i="32"/>
  <c r="AE8" i="32"/>
  <c r="AI8" i="32"/>
  <c r="AH9" i="32"/>
  <c r="AG10" i="32"/>
  <c r="AF11" i="32"/>
  <c r="AH7" i="32"/>
  <c r="AG8" i="32"/>
  <c r="AF9" i="32"/>
  <c r="AE10" i="32"/>
  <c r="AI10" i="32"/>
  <c r="AH11" i="32"/>
  <c r="AE7" i="32"/>
  <c r="AI7" i="32"/>
  <c r="AH8" i="32"/>
  <c r="AG9" i="32"/>
  <c r="AF10" i="32"/>
  <c r="AE11" i="32"/>
  <c r="H12" i="32"/>
  <c r="G12" i="32"/>
  <c r="F12" i="32"/>
  <c r="E12" i="32"/>
  <c r="D12" i="32"/>
  <c r="L11" i="32"/>
  <c r="L13" i="32" s="1"/>
  <c r="K11" i="32"/>
  <c r="J11" i="32"/>
  <c r="I11" i="32"/>
  <c r="H11" i="32"/>
  <c r="G11" i="32"/>
  <c r="F11" i="32"/>
  <c r="D31" i="32" s="1"/>
  <c r="E11" i="32"/>
  <c r="D11" i="32"/>
  <c r="L10" i="32"/>
  <c r="K10" i="32"/>
  <c r="J10" i="32"/>
  <c r="I10" i="32"/>
  <c r="H10" i="32"/>
  <c r="G10" i="32"/>
  <c r="F10" i="32"/>
  <c r="E10" i="32"/>
  <c r="D10" i="32"/>
  <c r="D30" i="32" s="1"/>
  <c r="K9" i="32"/>
  <c r="K13" i="32" s="1"/>
  <c r="D27" i="32" s="1"/>
  <c r="J9" i="32"/>
  <c r="J13" i="32" s="1"/>
  <c r="D26" i="32" s="1"/>
  <c r="I9" i="32"/>
  <c r="F9" i="32"/>
  <c r="E9" i="32"/>
  <c r="D9" i="32"/>
  <c r="L8" i="32"/>
  <c r="K8" i="32"/>
  <c r="J8" i="32"/>
  <c r="I8" i="32"/>
  <c r="H8" i="32"/>
  <c r="G8" i="32"/>
  <c r="D29" i="32" s="1"/>
  <c r="F8" i="32"/>
  <c r="E8" i="32"/>
  <c r="D8" i="32"/>
  <c r="L7" i="32"/>
  <c r="K7" i="32"/>
  <c r="J7" i="32"/>
  <c r="I7" i="32"/>
  <c r="I13" i="32" s="1"/>
  <c r="D25" i="32" s="1"/>
  <c r="H7" i="32"/>
  <c r="H13" i="32" s="1"/>
  <c r="G7" i="32"/>
  <c r="D28" i="32" s="1"/>
  <c r="F7" i="32"/>
  <c r="F13" i="32" s="1"/>
  <c r="E7" i="32"/>
  <c r="E13" i="32" s="1"/>
  <c r="D7" i="32"/>
  <c r="D13" i="32" s="1"/>
  <c r="C31" i="32"/>
  <c r="C30" i="32"/>
  <c r="C29" i="32"/>
  <c r="C34" i="32" s="1"/>
  <c r="C28" i="32"/>
  <c r="C33" i="32" s="1"/>
  <c r="C27" i="32"/>
  <c r="C26" i="32"/>
  <c r="C25" i="32"/>
  <c r="M12" i="32"/>
  <c r="M8" i="32"/>
  <c r="K44" i="31"/>
  <c r="J44" i="31"/>
  <c r="I44" i="31"/>
  <c r="H44" i="31"/>
  <c r="G44" i="31"/>
  <c r="F44" i="31"/>
  <c r="E44" i="31"/>
  <c r="D44" i="31"/>
  <c r="C44" i="31"/>
  <c r="M42" i="31"/>
  <c r="M41" i="31"/>
  <c r="M40" i="31"/>
  <c r="M39" i="31"/>
  <c r="M38" i="31"/>
  <c r="N37" i="31"/>
  <c r="M37" i="31"/>
  <c r="M36" i="31"/>
  <c r="N35" i="31"/>
  <c r="M35" i="31"/>
  <c r="M34" i="31"/>
  <c r="M33" i="31"/>
  <c r="M32" i="31"/>
  <c r="M31" i="31"/>
  <c r="M30" i="31"/>
  <c r="J22" i="31"/>
  <c r="J45" i="31" s="1"/>
  <c r="I22" i="31"/>
  <c r="I45" i="31" s="1"/>
  <c r="H22" i="31"/>
  <c r="H45" i="31" s="1"/>
  <c r="G19" i="31"/>
  <c r="F19" i="31"/>
  <c r="N18" i="31"/>
  <c r="N41" i="31" s="1"/>
  <c r="E18" i="31"/>
  <c r="M18" i="31" s="1"/>
  <c r="N17" i="31"/>
  <c r="N40" i="31" s="1"/>
  <c r="D17" i="31"/>
  <c r="M17" i="31" s="1"/>
  <c r="N16" i="31"/>
  <c r="N19" i="31" s="1"/>
  <c r="C16" i="31"/>
  <c r="M16" i="31" s="1"/>
  <c r="N15" i="31"/>
  <c r="N38" i="31" s="1"/>
  <c r="J15" i="31"/>
  <c r="I15" i="31"/>
  <c r="H15" i="31"/>
  <c r="E15" i="31"/>
  <c r="D15" i="31"/>
  <c r="C15" i="31"/>
  <c r="N14" i="31"/>
  <c r="J14" i="31"/>
  <c r="I14" i="31"/>
  <c r="H14" i="31"/>
  <c r="E14" i="31"/>
  <c r="D14" i="31"/>
  <c r="C14" i="31"/>
  <c r="K13" i="31"/>
  <c r="G13" i="31"/>
  <c r="F13" i="31"/>
  <c r="N12" i="31"/>
  <c r="N13" i="31" s="1"/>
  <c r="N36" i="31" s="1"/>
  <c r="K12" i="31"/>
  <c r="G12" i="31"/>
  <c r="F12" i="31"/>
  <c r="K11" i="31"/>
  <c r="G11" i="31"/>
  <c r="G21" i="31" s="1"/>
  <c r="F11" i="31"/>
  <c r="K10" i="31"/>
  <c r="G10" i="31"/>
  <c r="F10" i="31"/>
  <c r="F21" i="31" s="1"/>
  <c r="J9" i="31"/>
  <c r="M9" i="31" s="1"/>
  <c r="J8" i="31"/>
  <c r="I8" i="31"/>
  <c r="H8" i="31"/>
  <c r="E8" i="31"/>
  <c r="D8" i="31"/>
  <c r="C8" i="31"/>
  <c r="J7" i="31"/>
  <c r="J21" i="31" s="1"/>
  <c r="I7" i="31"/>
  <c r="I21" i="31" s="1"/>
  <c r="H7" i="31"/>
  <c r="E7" i="31"/>
  <c r="D7" i="31"/>
  <c r="D21" i="31" s="1"/>
  <c r="C7" i="31"/>
  <c r="M12" i="31" l="1"/>
  <c r="M13" i="31"/>
  <c r="M15" i="31"/>
  <c r="M7" i="31"/>
  <c r="M11" i="31"/>
  <c r="H21" i="31"/>
  <c r="E21" i="31"/>
  <c r="M8" i="31"/>
  <c r="K21" i="31"/>
  <c r="M14" i="31"/>
  <c r="M19" i="31"/>
  <c r="M10" i="32"/>
  <c r="M11" i="32"/>
  <c r="M9" i="32"/>
  <c r="C35" i="32"/>
  <c r="G13" i="32"/>
  <c r="M7" i="32"/>
  <c r="O41" i="31"/>
  <c r="O40" i="31"/>
  <c r="O38" i="31"/>
  <c r="O37" i="31"/>
  <c r="O36" i="31"/>
  <c r="O35" i="31"/>
  <c r="J46" i="31"/>
  <c r="I46" i="31"/>
  <c r="H46" i="31"/>
  <c r="N42" i="31"/>
  <c r="O42" i="31" s="1"/>
  <c r="K22" i="31"/>
  <c r="K45" i="31" s="1"/>
  <c r="K46" i="31" s="1"/>
  <c r="G22" i="31"/>
  <c r="F22" i="31"/>
  <c r="N39" i="31"/>
  <c r="O39" i="31" s="1"/>
  <c r="C21" i="31"/>
  <c r="M10" i="31"/>
  <c r="G45" i="31" l="1"/>
  <c r="G46" i="31" s="1"/>
  <c r="N11" i="31"/>
  <c r="N34" i="31" s="1"/>
  <c r="O34" i="31" s="1"/>
  <c r="N10" i="31"/>
  <c r="N33" i="31" s="1"/>
  <c r="O33" i="31" s="1"/>
  <c r="F45" i="31"/>
  <c r="F46" i="31" s="1"/>
  <c r="N15" i="28"/>
  <c r="N38" i="28" s="1"/>
  <c r="N14" i="28"/>
  <c r="N37" i="28" s="1"/>
  <c r="N13" i="28"/>
  <c r="N36" i="28" s="1"/>
  <c r="N12" i="28"/>
  <c r="J7" i="30"/>
  <c r="I6" i="30"/>
  <c r="H6" i="30"/>
  <c r="G6" i="30"/>
  <c r="F6" i="30"/>
  <c r="I3" i="30"/>
  <c r="E3" i="30"/>
  <c r="D3" i="30"/>
  <c r="C34" i="29"/>
  <c r="C31" i="29"/>
  <c r="C30" i="29"/>
  <c r="C29" i="29"/>
  <c r="C28" i="29"/>
  <c r="C33" i="29" s="1"/>
  <c r="C27" i="29"/>
  <c r="C26" i="29"/>
  <c r="C25" i="29"/>
  <c r="H12" i="29"/>
  <c r="E6" i="30" s="1"/>
  <c r="G12" i="29"/>
  <c r="D6" i="30" s="1"/>
  <c r="F12" i="29"/>
  <c r="C6" i="30" s="1"/>
  <c r="E12" i="29"/>
  <c r="B6" i="30" s="1"/>
  <c r="D12" i="29"/>
  <c r="A6" i="30" s="1"/>
  <c r="L11" i="29"/>
  <c r="I5" i="30" s="1"/>
  <c r="K11" i="29"/>
  <c r="H5" i="30" s="1"/>
  <c r="J11" i="29"/>
  <c r="G5" i="30" s="1"/>
  <c r="I11" i="29"/>
  <c r="F5" i="30" s="1"/>
  <c r="H11" i="29"/>
  <c r="E5" i="30" s="1"/>
  <c r="G11" i="29"/>
  <c r="D5" i="30" s="1"/>
  <c r="F11" i="29"/>
  <c r="C5" i="30" s="1"/>
  <c r="E11" i="29"/>
  <c r="B5" i="30" s="1"/>
  <c r="D11" i="29"/>
  <c r="A5" i="30" s="1"/>
  <c r="L10" i="29"/>
  <c r="I4" i="30" s="1"/>
  <c r="K10" i="29"/>
  <c r="H4" i="30" s="1"/>
  <c r="J10" i="29"/>
  <c r="G4" i="30" s="1"/>
  <c r="I10" i="29"/>
  <c r="F4" i="30" s="1"/>
  <c r="H10" i="29"/>
  <c r="E4" i="30" s="1"/>
  <c r="G10" i="29"/>
  <c r="D4" i="30" s="1"/>
  <c r="F10" i="29"/>
  <c r="C4" i="30" s="1"/>
  <c r="E10" i="29"/>
  <c r="B4" i="30" s="1"/>
  <c r="D10" i="29"/>
  <c r="A4" i="30" s="1"/>
  <c r="K9" i="29"/>
  <c r="H3" i="30" s="1"/>
  <c r="J9" i="29"/>
  <c r="G3" i="30" s="1"/>
  <c r="I9" i="29"/>
  <c r="F3" i="30" s="1"/>
  <c r="F9" i="29"/>
  <c r="C3" i="30" s="1"/>
  <c r="E9" i="29"/>
  <c r="B3" i="30" s="1"/>
  <c r="D9" i="29"/>
  <c r="A3" i="30" s="1"/>
  <c r="L8" i="29"/>
  <c r="I2" i="30" s="1"/>
  <c r="K8" i="29"/>
  <c r="H2" i="30" s="1"/>
  <c r="J8" i="29"/>
  <c r="G2" i="30" s="1"/>
  <c r="I8" i="29"/>
  <c r="F2" i="30" s="1"/>
  <c r="H8" i="29"/>
  <c r="E2" i="30" s="1"/>
  <c r="G8" i="29"/>
  <c r="D2" i="30" s="1"/>
  <c r="F8" i="29"/>
  <c r="C2" i="30" s="1"/>
  <c r="E8" i="29"/>
  <c r="D8" i="29"/>
  <c r="A2" i="30" s="1"/>
  <c r="L7" i="29"/>
  <c r="I1" i="30" s="1"/>
  <c r="K7" i="29"/>
  <c r="J7" i="29"/>
  <c r="I7" i="29"/>
  <c r="F1" i="30" s="1"/>
  <c r="H7" i="29"/>
  <c r="E1" i="30" s="1"/>
  <c r="G7" i="29"/>
  <c r="F7" i="29"/>
  <c r="E7" i="29"/>
  <c r="B1" i="30" s="1"/>
  <c r="D7" i="29"/>
  <c r="A1" i="30" s="1"/>
  <c r="J45" i="28"/>
  <c r="K44" i="28"/>
  <c r="J44" i="28"/>
  <c r="I44" i="28"/>
  <c r="H44" i="28"/>
  <c r="G44" i="28"/>
  <c r="F44" i="28"/>
  <c r="E44" i="28"/>
  <c r="D44" i="28"/>
  <c r="C44" i="28"/>
  <c r="M42" i="28"/>
  <c r="M41" i="28"/>
  <c r="N40" i="28"/>
  <c r="M40" i="28"/>
  <c r="M39" i="28"/>
  <c r="M38" i="28"/>
  <c r="M37" i="28"/>
  <c r="M36" i="28"/>
  <c r="M35" i="28"/>
  <c r="M34" i="28"/>
  <c r="M33" i="28"/>
  <c r="M32" i="28"/>
  <c r="M31" i="28"/>
  <c r="M30" i="28"/>
  <c r="J22" i="28"/>
  <c r="I22" i="28"/>
  <c r="I45" i="28" s="1"/>
  <c r="H22" i="28"/>
  <c r="H45" i="28" s="1"/>
  <c r="G19" i="28"/>
  <c r="F19" i="28"/>
  <c r="M19" i="28" s="1"/>
  <c r="N18" i="28"/>
  <c r="N41" i="28" s="1"/>
  <c r="E18" i="28"/>
  <c r="M18" i="28" s="1"/>
  <c r="N17" i="28"/>
  <c r="M17" i="28"/>
  <c r="D17" i="28"/>
  <c r="N16" i="28"/>
  <c r="C16" i="28"/>
  <c r="M16" i="28" s="1"/>
  <c r="J15" i="28"/>
  <c r="I15" i="28"/>
  <c r="H15" i="28"/>
  <c r="E15" i="28"/>
  <c r="D15" i="28"/>
  <c r="C15" i="28"/>
  <c r="M15" i="28" s="1"/>
  <c r="J14" i="28"/>
  <c r="I14" i="28"/>
  <c r="H14" i="28"/>
  <c r="E14" i="28"/>
  <c r="D14" i="28"/>
  <c r="C14" i="28"/>
  <c r="K13" i="28"/>
  <c r="G13" i="28"/>
  <c r="F13" i="28"/>
  <c r="M13" i="28" s="1"/>
  <c r="N35" i="28"/>
  <c r="K12" i="28"/>
  <c r="G12" i="28"/>
  <c r="F12" i="28"/>
  <c r="M12" i="28" s="1"/>
  <c r="K11" i="28"/>
  <c r="G11" i="28"/>
  <c r="M11" i="28" s="1"/>
  <c r="F11" i="28"/>
  <c r="K10" i="28"/>
  <c r="K21" i="28" s="1"/>
  <c r="G10" i="28"/>
  <c r="F10" i="28"/>
  <c r="F21" i="28" s="1"/>
  <c r="J9" i="28"/>
  <c r="M9" i="28" s="1"/>
  <c r="J8" i="28"/>
  <c r="I8" i="28"/>
  <c r="H8" i="28"/>
  <c r="E8" i="28"/>
  <c r="D8" i="28"/>
  <c r="C8" i="28"/>
  <c r="M8" i="28" s="1"/>
  <c r="J7" i="28"/>
  <c r="I7" i="28"/>
  <c r="I21" i="28" s="1"/>
  <c r="H7" i="28"/>
  <c r="H21" i="28" s="1"/>
  <c r="E7" i="28"/>
  <c r="E21" i="28" s="1"/>
  <c r="D7" i="28"/>
  <c r="D21" i="28" s="1"/>
  <c r="C7" i="28"/>
  <c r="C21" i="28" s="1"/>
  <c r="G21" i="28" l="1"/>
  <c r="J21" i="28"/>
  <c r="M14" i="28"/>
  <c r="O41" i="28"/>
  <c r="O40" i="28"/>
  <c r="M12" i="29"/>
  <c r="J6" i="30" s="1"/>
  <c r="O38" i="28"/>
  <c r="O37" i="28"/>
  <c r="O36" i="28"/>
  <c r="D28" i="29"/>
  <c r="O35" i="28"/>
  <c r="G13" i="29"/>
  <c r="D7" i="30" s="1"/>
  <c r="M10" i="29"/>
  <c r="J4" i="30" s="1"/>
  <c r="H46" i="28"/>
  <c r="F13" i="29"/>
  <c r="C7" i="30" s="1"/>
  <c r="J46" i="28"/>
  <c r="K13" i="29"/>
  <c r="H7" i="30" s="1"/>
  <c r="I46" i="28"/>
  <c r="J13" i="29"/>
  <c r="G7" i="30" s="1"/>
  <c r="M8" i="29"/>
  <c r="J2" i="30" s="1"/>
  <c r="G1" i="30"/>
  <c r="C1" i="30"/>
  <c r="D26" i="29"/>
  <c r="E22" i="28"/>
  <c r="C22" i="28"/>
  <c r="M7" i="29"/>
  <c r="J1" i="30" s="1"/>
  <c r="H13" i="29"/>
  <c r="E7" i="30" s="1"/>
  <c r="D30" i="29"/>
  <c r="M7" i="28"/>
  <c r="M10" i="28"/>
  <c r="D22" i="28"/>
  <c r="N39" i="28"/>
  <c r="O39" i="28" s="1"/>
  <c r="M9" i="29"/>
  <c r="J3" i="30" s="1"/>
  <c r="M11" i="29"/>
  <c r="J5" i="30" s="1"/>
  <c r="E13" i="29"/>
  <c r="B7" i="30" s="1"/>
  <c r="I13" i="29"/>
  <c r="C35" i="29"/>
  <c r="D1" i="30"/>
  <c r="H1" i="30"/>
  <c r="B2" i="30"/>
  <c r="D13" i="29"/>
  <c r="A7" i="30" s="1"/>
  <c r="L13" i="29"/>
  <c r="I7" i="30" s="1"/>
  <c r="N19" i="28"/>
  <c r="D29" i="29"/>
  <c r="D31" i="29"/>
  <c r="C6" i="24"/>
  <c r="B6" i="24"/>
  <c r="A6" i="24"/>
  <c r="I5" i="24"/>
  <c r="H5" i="24"/>
  <c r="G5" i="24"/>
  <c r="F5" i="24"/>
  <c r="D5" i="24"/>
  <c r="C5" i="24"/>
  <c r="B5" i="24"/>
  <c r="I4" i="24"/>
  <c r="H4" i="24"/>
  <c r="G4" i="24"/>
  <c r="F4" i="24"/>
  <c r="E4" i="24"/>
  <c r="D4" i="24"/>
  <c r="A4" i="24"/>
  <c r="H3" i="24"/>
  <c r="G3" i="24"/>
  <c r="F3" i="24"/>
  <c r="C3" i="24"/>
  <c r="B3" i="24"/>
  <c r="A3" i="24"/>
  <c r="H2" i="24"/>
  <c r="G2" i="24"/>
  <c r="F2" i="24"/>
  <c r="C2" i="24"/>
  <c r="B2" i="24"/>
  <c r="I1" i="24"/>
  <c r="G1" i="24"/>
  <c r="F1" i="24"/>
  <c r="E1" i="24"/>
  <c r="C1" i="24"/>
  <c r="B1" i="24"/>
  <c r="A1" i="24"/>
  <c r="J7" i="24"/>
  <c r="I6" i="24"/>
  <c r="H6" i="24"/>
  <c r="G6" i="24"/>
  <c r="F6" i="24"/>
  <c r="E6" i="24"/>
  <c r="D6" i="24"/>
  <c r="E5" i="24"/>
  <c r="A5" i="24"/>
  <c r="B4" i="24"/>
  <c r="I3" i="24"/>
  <c r="E3" i="24"/>
  <c r="D3" i="24"/>
  <c r="I2" i="24"/>
  <c r="E2" i="24"/>
  <c r="A2" i="24"/>
  <c r="C34" i="23"/>
  <c r="C31" i="23"/>
  <c r="C30" i="23"/>
  <c r="C29" i="23"/>
  <c r="C28" i="23"/>
  <c r="C35" i="23" s="1"/>
  <c r="C27" i="23"/>
  <c r="C26" i="23"/>
  <c r="C25" i="23"/>
  <c r="D29" i="23" l="1"/>
  <c r="D2" i="24"/>
  <c r="L13" i="23"/>
  <c r="I7" i="24" s="1"/>
  <c r="D27" i="29"/>
  <c r="F22" i="28"/>
  <c r="G22" i="28"/>
  <c r="N42" i="28"/>
  <c r="O42" i="28" s="1"/>
  <c r="K22" i="28"/>
  <c r="K45" i="28" s="1"/>
  <c r="K46" i="28" s="1"/>
  <c r="D45" i="28"/>
  <c r="D46" i="28" s="1"/>
  <c r="N8" i="28"/>
  <c r="N31" i="28" s="1"/>
  <c r="O31" i="28" s="1"/>
  <c r="E45" i="28"/>
  <c r="E46" i="28" s="1"/>
  <c r="N9" i="28"/>
  <c r="N32" i="28" s="1"/>
  <c r="O32" i="28" s="1"/>
  <c r="N7" i="28"/>
  <c r="N30" i="28" s="1"/>
  <c r="O30" i="28" s="1"/>
  <c r="C45" i="28"/>
  <c r="C46" i="28" s="1"/>
  <c r="F7" i="30"/>
  <c r="D25" i="29"/>
  <c r="D28" i="23"/>
  <c r="K13" i="23"/>
  <c r="D27" i="23" s="1"/>
  <c r="D30" i="23"/>
  <c r="C4" i="24"/>
  <c r="H13" i="23"/>
  <c r="E7" i="24" s="1"/>
  <c r="M9" i="23"/>
  <c r="J3" i="24" s="1"/>
  <c r="I13" i="23"/>
  <c r="D13" i="23"/>
  <c r="A7" i="24" s="1"/>
  <c r="E13" i="23"/>
  <c r="B7" i="24" s="1"/>
  <c r="M8" i="23"/>
  <c r="J2" i="24" s="1"/>
  <c r="F13" i="23"/>
  <c r="C7" i="24" s="1"/>
  <c r="J13" i="23"/>
  <c r="M12" i="23"/>
  <c r="J6" i="24" s="1"/>
  <c r="D1" i="24"/>
  <c r="H1" i="24"/>
  <c r="M11" i="23"/>
  <c r="J5" i="24" s="1"/>
  <c r="D31" i="23"/>
  <c r="M10" i="23"/>
  <c r="J4" i="24" s="1"/>
  <c r="G13" i="23"/>
  <c r="D7" i="24" s="1"/>
  <c r="C33" i="23"/>
  <c r="M7" i="23"/>
  <c r="J1" i="24" s="1"/>
  <c r="N19" i="10"/>
  <c r="I15" i="23" l="1"/>
  <c r="H7" i="24"/>
  <c r="N10" i="28"/>
  <c r="N33" i="28" s="1"/>
  <c r="O33" i="28" s="1"/>
  <c r="F45" i="28"/>
  <c r="F46" i="28" s="1"/>
  <c r="N11" i="28"/>
  <c r="N34" i="28" s="1"/>
  <c r="O34" i="28" s="1"/>
  <c r="G45" i="28"/>
  <c r="G46" i="28" s="1"/>
  <c r="D25" i="23"/>
  <c r="F7" i="24"/>
  <c r="D26" i="23"/>
  <c r="G7" i="24"/>
  <c r="N17" i="10"/>
  <c r="N18" i="10"/>
  <c r="N16" i="10" l="1"/>
  <c r="N18" i="18"/>
  <c r="O18" i="18"/>
  <c r="P18" i="18"/>
  <c r="Q18" i="18"/>
  <c r="R18" i="18"/>
  <c r="S18" i="18"/>
  <c r="T18" i="18"/>
  <c r="U18" i="18"/>
  <c r="V18" i="18"/>
  <c r="W18" i="18"/>
  <c r="X18" i="18"/>
  <c r="Y18" i="18"/>
  <c r="Z18" i="18"/>
  <c r="AA18" i="18"/>
  <c r="AB18" i="18"/>
  <c r="AC18" i="18"/>
  <c r="N19" i="18"/>
  <c r="O19" i="18"/>
  <c r="P19" i="18"/>
  <c r="Q19" i="18"/>
  <c r="R19" i="18"/>
  <c r="S19" i="18"/>
  <c r="T19" i="18"/>
  <c r="U19" i="18"/>
  <c r="V19" i="18"/>
  <c r="W19" i="18"/>
  <c r="X19" i="18"/>
  <c r="Y19" i="18"/>
  <c r="Z19" i="18"/>
  <c r="AA19" i="18"/>
  <c r="AB19" i="18"/>
  <c r="AC19" i="18"/>
  <c r="N21" i="18"/>
  <c r="N20" i="18" s="1"/>
  <c r="N24" i="18" s="1"/>
  <c r="O21" i="18"/>
  <c r="O20" i="18" s="1"/>
  <c r="O24" i="18" s="1"/>
  <c r="P21" i="18"/>
  <c r="P20" i="18" s="1"/>
  <c r="P24" i="18" s="1"/>
  <c r="Q21" i="18"/>
  <c r="Q20" i="18" s="1"/>
  <c r="Q24" i="18" s="1"/>
  <c r="R21" i="18"/>
  <c r="R20" i="18" s="1"/>
  <c r="R24" i="18" s="1"/>
  <c r="S21" i="18"/>
  <c r="S20" i="18" s="1"/>
  <c r="S24" i="18" s="1"/>
  <c r="T21" i="18"/>
  <c r="T20" i="18" s="1"/>
  <c r="T24" i="18" s="1"/>
  <c r="U21" i="18"/>
  <c r="U20" i="18" s="1"/>
  <c r="U24" i="18" s="1"/>
  <c r="V21" i="18"/>
  <c r="V20" i="18" s="1"/>
  <c r="V24" i="18" s="1"/>
  <c r="W21" i="18"/>
  <c r="W20" i="18" s="1"/>
  <c r="W24" i="18" s="1"/>
  <c r="X21" i="18"/>
  <c r="X20" i="18" s="1"/>
  <c r="X24" i="18" s="1"/>
  <c r="Y21" i="18"/>
  <c r="Y20" i="18" s="1"/>
  <c r="Y24" i="18" s="1"/>
  <c r="Z21" i="18"/>
  <c r="Z20" i="18" s="1"/>
  <c r="Z24" i="18" s="1"/>
  <c r="AA21" i="18"/>
  <c r="AA20" i="18" s="1"/>
  <c r="AA24" i="18" s="1"/>
  <c r="AB21" i="18"/>
  <c r="AB20" i="18" s="1"/>
  <c r="AB24" i="18" s="1"/>
  <c r="AC21" i="18"/>
  <c r="AC20" i="18" s="1"/>
  <c r="AC24" i="18" s="1"/>
  <c r="N23" i="18"/>
  <c r="O23" i="18"/>
  <c r="P23" i="18"/>
  <c r="Q23" i="18"/>
  <c r="R23" i="18"/>
  <c r="S23" i="18"/>
  <c r="T23" i="18"/>
  <c r="U23" i="18"/>
  <c r="V23" i="18"/>
  <c r="W23" i="18"/>
  <c r="X23" i="18"/>
  <c r="Y23" i="18"/>
  <c r="Z23" i="18"/>
  <c r="AA23" i="18"/>
  <c r="AB23" i="18"/>
  <c r="AC23" i="18"/>
  <c r="N25" i="18"/>
  <c r="O25" i="18"/>
  <c r="P25" i="18"/>
  <c r="Q25" i="18"/>
  <c r="R25" i="18"/>
  <c r="S25" i="18"/>
  <c r="T25" i="18"/>
  <c r="U25" i="18"/>
  <c r="V25" i="18"/>
  <c r="W25" i="18"/>
  <c r="X25" i="18"/>
  <c r="Y25" i="18"/>
  <c r="Z25" i="18"/>
  <c r="AA25" i="18"/>
  <c r="AB25" i="18"/>
  <c r="AC25" i="18"/>
  <c r="D23" i="18"/>
  <c r="E23" i="18"/>
  <c r="F23" i="18"/>
  <c r="G23" i="18"/>
  <c r="H23" i="18"/>
  <c r="I23" i="18"/>
  <c r="J23" i="18"/>
  <c r="K23" i="18"/>
  <c r="L23" i="18"/>
  <c r="M23" i="18"/>
  <c r="D24" i="18"/>
  <c r="E24" i="18"/>
  <c r="F24" i="18"/>
  <c r="G24" i="18"/>
  <c r="H24" i="18"/>
  <c r="I24" i="18"/>
  <c r="J24" i="18"/>
  <c r="K24" i="18"/>
  <c r="L24" i="18"/>
  <c r="M24" i="18"/>
  <c r="D25" i="18"/>
  <c r="E25" i="18"/>
  <c r="F25" i="18"/>
  <c r="G25" i="18"/>
  <c r="H25" i="18"/>
  <c r="I25" i="18"/>
  <c r="J25" i="18"/>
  <c r="K25" i="18"/>
  <c r="L25" i="18"/>
  <c r="M25" i="18"/>
  <c r="C24" i="18"/>
  <c r="C25" i="18"/>
  <c r="C23" i="18"/>
  <c r="C20" i="18"/>
  <c r="D20" i="18"/>
  <c r="E20" i="18"/>
  <c r="F20" i="18"/>
  <c r="G20" i="18"/>
  <c r="H20" i="18"/>
  <c r="I20" i="18"/>
  <c r="J20" i="18"/>
  <c r="K20" i="18"/>
  <c r="L20" i="18"/>
  <c r="M20" i="18"/>
  <c r="J21" i="18"/>
  <c r="I21" i="18" s="1"/>
  <c r="H21" i="18" s="1"/>
  <c r="G21" i="18" s="1"/>
  <c r="F21" i="18" s="1"/>
  <c r="E21" i="18" s="1"/>
  <c r="D21" i="18" s="1"/>
  <c r="C21" i="18" s="1"/>
  <c r="J19" i="18"/>
  <c r="I19" i="18" s="1"/>
  <c r="H19" i="18" s="1"/>
  <c r="G19" i="18" s="1"/>
  <c r="F19" i="18" s="1"/>
  <c r="E19" i="18" s="1"/>
  <c r="D19" i="18" s="1"/>
  <c r="C19" i="18" s="1"/>
  <c r="J18" i="18"/>
  <c r="I18" i="18" s="1"/>
  <c r="H18" i="18" s="1"/>
  <c r="G18" i="18" s="1"/>
  <c r="F18" i="18" s="1"/>
  <c r="E18" i="18" s="1"/>
  <c r="D18" i="18" s="1"/>
  <c r="C18" i="18" s="1"/>
  <c r="M6" i="18"/>
  <c r="M7" i="18"/>
  <c r="M9" i="18"/>
  <c r="D3" i="18"/>
  <c r="E3" i="18" s="1"/>
  <c r="F3" i="18" s="1"/>
  <c r="G3" i="18" s="1"/>
  <c r="H3" i="18" s="1"/>
  <c r="I3" i="18" s="1"/>
  <c r="J3" i="18" s="1"/>
  <c r="K3" i="18" s="1"/>
  <c r="L3" i="18" s="1"/>
  <c r="M3" i="18" s="1"/>
  <c r="N3" i="18" s="1"/>
  <c r="O3" i="18" s="1"/>
  <c r="P3" i="18" s="1"/>
  <c r="Q3" i="18" s="1"/>
  <c r="R3" i="18" s="1"/>
  <c r="S3" i="18" s="1"/>
  <c r="T3" i="18" s="1"/>
  <c r="U3" i="18" s="1"/>
  <c r="V3" i="18" s="1"/>
  <c r="W3" i="18" s="1"/>
  <c r="X3" i="18" s="1"/>
  <c r="Y3" i="18" s="1"/>
  <c r="Z3" i="18" s="1"/>
  <c r="AA3" i="18" s="1"/>
  <c r="AB3" i="18" s="1"/>
  <c r="D7" i="18"/>
  <c r="E7" i="18"/>
  <c r="F7" i="18"/>
  <c r="G7" i="18"/>
  <c r="H7" i="18"/>
  <c r="I7" i="18"/>
  <c r="J7" i="18"/>
  <c r="K7" i="18"/>
  <c r="L7" i="18"/>
  <c r="D9" i="18"/>
  <c r="E9" i="18"/>
  <c r="F9" i="18"/>
  <c r="G9" i="18"/>
  <c r="H9" i="18"/>
  <c r="I9" i="18"/>
  <c r="J9" i="18"/>
  <c r="K9" i="18"/>
  <c r="L9" i="18"/>
  <c r="C9" i="18"/>
  <c r="C7" i="18"/>
  <c r="D6" i="18"/>
  <c r="E6" i="18"/>
  <c r="F6" i="18"/>
  <c r="G6" i="18"/>
  <c r="H6" i="18"/>
  <c r="H8" i="18" s="1"/>
  <c r="I6" i="18"/>
  <c r="J6" i="18"/>
  <c r="K6" i="18"/>
  <c r="L6" i="18"/>
  <c r="C6" i="18"/>
  <c r="N12" i="18"/>
  <c r="O12" i="18"/>
  <c r="P12" i="18"/>
  <c r="Q12" i="18"/>
  <c r="R12" i="18"/>
  <c r="S12" i="18"/>
  <c r="T12" i="18"/>
  <c r="U12" i="18"/>
  <c r="V12" i="18"/>
  <c r="W12" i="18"/>
  <c r="X12" i="18"/>
  <c r="Y12" i="18"/>
  <c r="Z12" i="18"/>
  <c r="AA12" i="18"/>
  <c r="AB12" i="18"/>
  <c r="AC12" i="18"/>
  <c r="N13" i="18"/>
  <c r="O13" i="18"/>
  <c r="P13" i="18"/>
  <c r="Q13" i="18"/>
  <c r="R13" i="18"/>
  <c r="S13" i="18"/>
  <c r="T13" i="18"/>
  <c r="U13" i="18"/>
  <c r="V13" i="18"/>
  <c r="W13" i="18"/>
  <c r="X13" i="18"/>
  <c r="Y13" i="18"/>
  <c r="Z13" i="18"/>
  <c r="AA13" i="18"/>
  <c r="AB13" i="18"/>
  <c r="AC13" i="18"/>
  <c r="N15" i="18"/>
  <c r="N14" i="18" s="1"/>
  <c r="O15" i="18"/>
  <c r="O14" i="18" s="1"/>
  <c r="P15" i="18"/>
  <c r="P14" i="18" s="1"/>
  <c r="Q15" i="18"/>
  <c r="Q14" i="18" s="1"/>
  <c r="R15" i="18"/>
  <c r="R14" i="18" s="1"/>
  <c r="S15" i="18"/>
  <c r="S14" i="18" s="1"/>
  <c r="T15" i="18"/>
  <c r="T14" i="18" s="1"/>
  <c r="U15" i="18"/>
  <c r="U14" i="18" s="1"/>
  <c r="V15" i="18"/>
  <c r="V14" i="18" s="1"/>
  <c r="W15" i="18"/>
  <c r="W14" i="18" s="1"/>
  <c r="X15" i="18"/>
  <c r="X14" i="18" s="1"/>
  <c r="Y15" i="18"/>
  <c r="Y14" i="18" s="1"/>
  <c r="Z15" i="18"/>
  <c r="Z14" i="18" s="1"/>
  <c r="AA15" i="18"/>
  <c r="AA14" i="18" s="1"/>
  <c r="AB15" i="18"/>
  <c r="AB14" i="18" s="1"/>
  <c r="AC15" i="18"/>
  <c r="AC14" i="18" s="1"/>
  <c r="M15" i="18"/>
  <c r="L21" i="18" s="1"/>
  <c r="K21" i="18" s="1"/>
  <c r="M13" i="18"/>
  <c r="L19" i="18" s="1"/>
  <c r="K19" i="18" s="1"/>
  <c r="M12" i="18"/>
  <c r="L18" i="18" s="1"/>
  <c r="K18" i="18" s="1"/>
  <c r="D1" i="16"/>
  <c r="E1" i="16" s="1"/>
  <c r="F1" i="16" s="1"/>
  <c r="G1" i="16" s="1"/>
  <c r="H1" i="16" s="1"/>
  <c r="I1" i="16" s="1"/>
  <c r="J1" i="16" s="1"/>
  <c r="K1" i="16" s="1"/>
  <c r="L1" i="16" s="1"/>
  <c r="M1" i="16" s="1"/>
  <c r="M18" i="18" l="1"/>
  <c r="M21" i="18"/>
  <c r="L8" i="18"/>
  <c r="D8" i="18"/>
  <c r="M8" i="18"/>
  <c r="M19" i="18"/>
  <c r="I8" i="18"/>
  <c r="E8" i="18"/>
  <c r="K8" i="18"/>
  <c r="G8" i="18"/>
  <c r="C8" i="18"/>
  <c r="J8" i="18"/>
  <c r="F8" i="18"/>
  <c r="M14" i="18"/>
  <c r="M40" i="10"/>
  <c r="M41" i="10"/>
  <c r="F12" i="12" l="1"/>
  <c r="E12" i="12"/>
  <c r="H12" i="12"/>
  <c r="G12" i="12"/>
  <c r="D12" i="12"/>
  <c r="L11" i="12"/>
  <c r="K11" i="12"/>
  <c r="J11" i="12"/>
  <c r="I11" i="12"/>
  <c r="H11" i="12"/>
  <c r="G11" i="12"/>
  <c r="F11" i="12"/>
  <c r="E11" i="12"/>
  <c r="D11" i="12"/>
  <c r="L10" i="12"/>
  <c r="K10" i="12"/>
  <c r="J10" i="12"/>
  <c r="I10" i="12"/>
  <c r="H10" i="12"/>
  <c r="G10" i="12"/>
  <c r="F10" i="12"/>
  <c r="E10" i="12"/>
  <c r="D10" i="12"/>
  <c r="K9" i="12"/>
  <c r="J9" i="12"/>
  <c r="I9" i="12"/>
  <c r="F9" i="12"/>
  <c r="E9" i="12"/>
  <c r="D9" i="12"/>
  <c r="L8" i="12"/>
  <c r="K8" i="12"/>
  <c r="J8" i="12"/>
  <c r="I8" i="12"/>
  <c r="H8" i="12"/>
  <c r="G8" i="12"/>
  <c r="F8" i="12"/>
  <c r="E8" i="12"/>
  <c r="D8" i="12"/>
  <c r="L7" i="12"/>
  <c r="K7" i="12"/>
  <c r="J7" i="12"/>
  <c r="I7" i="12"/>
  <c r="H7" i="12"/>
  <c r="G7" i="12"/>
  <c r="F7" i="12"/>
  <c r="E7" i="12"/>
  <c r="D7" i="12"/>
  <c r="N40" i="10" l="1"/>
  <c r="O40" i="10" s="1"/>
  <c r="N41" i="10"/>
  <c r="O41" i="10" s="1"/>
  <c r="B19" i="11" l="1"/>
  <c r="D3" i="13" l="1"/>
  <c r="E3" i="13"/>
  <c r="I3" i="13"/>
  <c r="F6" i="13"/>
  <c r="G6" i="13"/>
  <c r="H6" i="13"/>
  <c r="I6" i="13"/>
  <c r="J7" i="13"/>
  <c r="E6" i="13"/>
  <c r="D6" i="13"/>
  <c r="B6" i="13"/>
  <c r="C6" i="13"/>
  <c r="A6" i="13"/>
  <c r="I4" i="13"/>
  <c r="I2" i="13"/>
  <c r="I1" i="13"/>
  <c r="G4" i="13"/>
  <c r="H4" i="13"/>
  <c r="G5" i="13"/>
  <c r="H5" i="13"/>
  <c r="F5" i="13"/>
  <c r="F4" i="13"/>
  <c r="G1" i="13"/>
  <c r="H1" i="13"/>
  <c r="G2" i="13"/>
  <c r="H2" i="13"/>
  <c r="G3" i="13"/>
  <c r="H3" i="13"/>
  <c r="F2" i="13"/>
  <c r="F3" i="13"/>
  <c r="F1" i="13"/>
  <c r="E2" i="13"/>
  <c r="D1" i="13"/>
  <c r="D5" i="13"/>
  <c r="E5" i="13"/>
  <c r="E4" i="13"/>
  <c r="D4" i="13"/>
  <c r="B4" i="13"/>
  <c r="C4" i="13"/>
  <c r="B5" i="13"/>
  <c r="C5" i="13"/>
  <c r="A4" i="13"/>
  <c r="B2" i="13"/>
  <c r="C2" i="13"/>
  <c r="B3" i="13"/>
  <c r="C3" i="13"/>
  <c r="B1" i="13"/>
  <c r="C1" i="13"/>
  <c r="A1" i="13"/>
  <c r="D28" i="12" l="1"/>
  <c r="M9" i="12"/>
  <c r="J3" i="13" s="1"/>
  <c r="M12" i="12"/>
  <c r="J6" i="13" s="1"/>
  <c r="A3" i="13"/>
  <c r="D31" i="12"/>
  <c r="M11" i="12"/>
  <c r="J5" i="13" s="1"/>
  <c r="A5" i="13"/>
  <c r="D30" i="12"/>
  <c r="M10" i="12"/>
  <c r="J4" i="13" s="1"/>
  <c r="D29" i="12"/>
  <c r="D2" i="13"/>
  <c r="G13" i="12"/>
  <c r="H13" i="12"/>
  <c r="E1" i="13"/>
  <c r="I5" i="13"/>
  <c r="L13" i="12"/>
  <c r="I7" i="13" s="1"/>
  <c r="I13" i="12"/>
  <c r="D25" i="12" s="1"/>
  <c r="M8" i="12"/>
  <c r="J2" i="13" s="1"/>
  <c r="A2" i="13"/>
  <c r="K13" i="12"/>
  <c r="J13" i="12"/>
  <c r="F13" i="12"/>
  <c r="E13" i="12"/>
  <c r="D13" i="12"/>
  <c r="M7" i="12"/>
  <c r="J1" i="13" s="1"/>
  <c r="D8" i="9"/>
  <c r="D12" i="9"/>
  <c r="N13" i="10"/>
  <c r="N36" i="10" s="1"/>
  <c r="K13" i="10"/>
  <c r="K12" i="10"/>
  <c r="K11" i="10"/>
  <c r="K10" i="10"/>
  <c r="J15" i="10"/>
  <c r="J14" i="10"/>
  <c r="J9" i="10"/>
  <c r="J8" i="10"/>
  <c r="J7" i="10"/>
  <c r="F13" i="10"/>
  <c r="G13" i="10"/>
  <c r="G12" i="10"/>
  <c r="F12" i="10"/>
  <c r="F11" i="10"/>
  <c r="G11" i="10"/>
  <c r="G10" i="10"/>
  <c r="F10" i="10"/>
  <c r="G19" i="10"/>
  <c r="F19" i="10"/>
  <c r="M19" i="10" s="1"/>
  <c r="D17" i="10"/>
  <c r="M17" i="10" s="1"/>
  <c r="E18" i="10"/>
  <c r="M18" i="10" s="1"/>
  <c r="C16" i="10"/>
  <c r="M16" i="10" s="1"/>
  <c r="D14" i="10"/>
  <c r="E14" i="10"/>
  <c r="D15" i="10"/>
  <c r="E15" i="10"/>
  <c r="C15" i="10"/>
  <c r="C14" i="10"/>
  <c r="C8" i="10"/>
  <c r="D8" i="10"/>
  <c r="E8" i="10"/>
  <c r="E7" i="10"/>
  <c r="D7" i="10"/>
  <c r="D21" i="10" s="1"/>
  <c r="C7" i="10"/>
  <c r="D44" i="10"/>
  <c r="E44" i="10"/>
  <c r="F44" i="10"/>
  <c r="G44" i="10"/>
  <c r="H44" i="10"/>
  <c r="I44" i="10"/>
  <c r="J44" i="10"/>
  <c r="K44" i="10"/>
  <c r="C44" i="10"/>
  <c r="M31" i="10"/>
  <c r="M32" i="10"/>
  <c r="M33" i="10"/>
  <c r="M34" i="10"/>
  <c r="M35" i="10"/>
  <c r="M36" i="10"/>
  <c r="M37" i="10"/>
  <c r="M38" i="10"/>
  <c r="M39" i="10"/>
  <c r="M42" i="10"/>
  <c r="M30" i="10"/>
  <c r="C6" i="9"/>
  <c r="C7" i="9"/>
  <c r="C8" i="9"/>
  <c r="C9" i="9"/>
  <c r="D9" i="9" s="1"/>
  <c r="C10" i="9"/>
  <c r="C11" i="9"/>
  <c r="N15" i="10" s="1"/>
  <c r="C12" i="9"/>
  <c r="G21" i="10" l="1"/>
  <c r="A7" i="13"/>
  <c r="Q10" i="12"/>
  <c r="Q11" i="12"/>
  <c r="Q7" i="12"/>
  <c r="Q8" i="12"/>
  <c r="Q9" i="12"/>
  <c r="D7" i="13"/>
  <c r="T9" i="12"/>
  <c r="T7" i="12"/>
  <c r="T10" i="12"/>
  <c r="T8" i="12"/>
  <c r="T11" i="12"/>
  <c r="B7" i="13"/>
  <c r="R9" i="12"/>
  <c r="R7" i="12"/>
  <c r="R8" i="12"/>
  <c r="R11" i="12"/>
  <c r="R10" i="12"/>
  <c r="C7" i="13"/>
  <c r="S11" i="12"/>
  <c r="S9" i="12"/>
  <c r="S8" i="12"/>
  <c r="S7" i="12"/>
  <c r="S10" i="12"/>
  <c r="E7" i="13"/>
  <c r="U9" i="12"/>
  <c r="U8" i="12"/>
  <c r="U7" i="12"/>
  <c r="U10" i="12"/>
  <c r="U11" i="12"/>
  <c r="M13" i="10"/>
  <c r="F21" i="10"/>
  <c r="C21" i="10"/>
  <c r="E9" i="9"/>
  <c r="C29" i="12" s="1"/>
  <c r="E8" i="9"/>
  <c r="C28" i="12" s="1"/>
  <c r="D7" i="9"/>
  <c r="E7" i="9" s="1"/>
  <c r="C27" i="12" s="1"/>
  <c r="J22" i="10"/>
  <c r="J45" i="10" s="1"/>
  <c r="J46" i="10" s="1"/>
  <c r="E22" i="10"/>
  <c r="N9" i="10" s="1"/>
  <c r="N32" i="10" s="1"/>
  <c r="O32" i="10" s="1"/>
  <c r="C22" i="10"/>
  <c r="D22" i="10"/>
  <c r="E12" i="9"/>
  <c r="O36" i="10"/>
  <c r="N12" i="10"/>
  <c r="N14" i="10"/>
  <c r="N37" i="10" s="1"/>
  <c r="O37" i="10" s="1"/>
  <c r="I22" i="10"/>
  <c r="I45" i="10" s="1"/>
  <c r="I46" i="10" s="1"/>
  <c r="D11" i="9"/>
  <c r="E11" i="9" s="1"/>
  <c r="C31" i="12" s="1"/>
  <c r="C33" i="12"/>
  <c r="C5" i="9"/>
  <c r="D10" i="9"/>
  <c r="E10" i="9" s="1"/>
  <c r="C30" i="12" s="1"/>
  <c r="D6" i="9"/>
  <c r="E6" i="9" s="1"/>
  <c r="C26" i="12" s="1"/>
  <c r="F7" i="13"/>
  <c r="D27" i="12"/>
  <c r="H7" i="13"/>
  <c r="D26" i="12"/>
  <c r="G7" i="13"/>
  <c r="N38" i="10"/>
  <c r="O38" i="10" s="1"/>
  <c r="E21" i="10"/>
  <c r="M11" i="10"/>
  <c r="M12" i="10"/>
  <c r="M9" i="10"/>
  <c r="N39" i="10"/>
  <c r="O39" i="10" s="1"/>
  <c r="K21" i="10"/>
  <c r="M10" i="10"/>
  <c r="J21" i="10"/>
  <c r="AE7" i="12" l="1" a="1"/>
  <c r="E45" i="10"/>
  <c r="E46" i="10" s="1"/>
  <c r="C35" i="12"/>
  <c r="C34" i="12"/>
  <c r="N8" i="10"/>
  <c r="N31" i="10" s="1"/>
  <c r="O31" i="10" s="1"/>
  <c r="D45" i="10"/>
  <c r="D46" i="10" s="1"/>
  <c r="C15" i="9"/>
  <c r="H22" i="10"/>
  <c r="D5" i="9"/>
  <c r="E5" i="9" s="1"/>
  <c r="C25" i="12" s="1"/>
  <c r="N7" i="10"/>
  <c r="N30" i="10" s="1"/>
  <c r="O30" i="10" s="1"/>
  <c r="C45" i="10"/>
  <c r="N35" i="10"/>
  <c r="O35" i="10" s="1"/>
  <c r="N42" i="10"/>
  <c r="O42" i="10" s="1"/>
  <c r="F22" i="10"/>
  <c r="G22" i="10"/>
  <c r="K22" i="10"/>
  <c r="C46" i="10" l="1"/>
  <c r="D22" i="31"/>
  <c r="C22" i="31"/>
  <c r="E22" i="31"/>
  <c r="AH7" i="12"/>
  <c r="AH10" i="12"/>
  <c r="AG7" i="12"/>
  <c r="AI8" i="12"/>
  <c r="AE11" i="12"/>
  <c r="AI7" i="12"/>
  <c r="AE10" i="12"/>
  <c r="AI9" i="12"/>
  <c r="AF11" i="12"/>
  <c r="AE8" i="12"/>
  <c r="AF10" i="12"/>
  <c r="AE7" i="12"/>
  <c r="AF9" i="12"/>
  <c r="AE9" i="12"/>
  <c r="AG10" i="12"/>
  <c r="AF7" i="12"/>
  <c r="AG9" i="12"/>
  <c r="AH11" i="12"/>
  <c r="AG8" i="12"/>
  <c r="AG11" i="12"/>
  <c r="AF8" i="12"/>
  <c r="AH9" i="12"/>
  <c r="AI11" i="12"/>
  <c r="AH8" i="12"/>
  <c r="AI10" i="12"/>
  <c r="N11" i="10"/>
  <c r="N34" i="10" s="1"/>
  <c r="O34" i="10" s="1"/>
  <c r="G45" i="10"/>
  <c r="G46" i="10" s="1"/>
  <c r="K45" i="10"/>
  <c r="K46" i="10" s="1"/>
  <c r="H45" i="10"/>
  <c r="H46" i="10" s="1"/>
  <c r="N10" i="10"/>
  <c r="N33" i="10" s="1"/>
  <c r="O33" i="10" s="1"/>
  <c r="F45" i="10"/>
  <c r="F46" i="10" s="1"/>
  <c r="I14" i="10"/>
  <c r="I7" i="10"/>
  <c r="H14" i="10"/>
  <c r="H15" i="10"/>
  <c r="M15" i="10" s="1"/>
  <c r="H8" i="10"/>
  <c r="H7" i="10"/>
  <c r="I15" i="10"/>
  <c r="I8" i="10"/>
  <c r="N9" i="31" l="1"/>
  <c r="N32" i="31" s="1"/>
  <c r="O32" i="31" s="1"/>
  <c r="E45" i="31"/>
  <c r="E46" i="31" s="1"/>
  <c r="C45" i="31"/>
  <c r="C46" i="31" s="1"/>
  <c r="N7" i="31"/>
  <c r="N30" i="31" s="1"/>
  <c r="O30" i="31" s="1"/>
  <c r="N8" i="31"/>
  <c r="N31" i="31" s="1"/>
  <c r="O31" i="31" s="1"/>
  <c r="D45" i="31"/>
  <c r="D46" i="31" s="1"/>
  <c r="I21" i="10"/>
  <c r="M8" i="10"/>
  <c r="H21" i="10"/>
  <c r="M7" i="10"/>
  <c r="M14" i="10"/>
</calcChain>
</file>

<file path=xl/sharedStrings.xml><?xml version="1.0" encoding="utf-8"?>
<sst xmlns="http://schemas.openxmlformats.org/spreadsheetml/2006/main" count="5277" uniqueCount="503">
  <si>
    <t>Agriculture, Hunting, Forestry and Fishing</t>
  </si>
  <si>
    <t>Mining and Quarrying</t>
  </si>
  <si>
    <t>Food, Beverages and Tobacco</t>
  </si>
  <si>
    <t>Textiles and Textile Products</t>
  </si>
  <si>
    <t>Leather, Leather and Footwear</t>
  </si>
  <si>
    <t>Wood and Products of Wood and Cork</t>
  </si>
  <si>
    <t>Pulp, Paper, Paper , Printing and Publishing</t>
  </si>
  <si>
    <t>Coke, Refined Petroleum and Nuclear Fuel</t>
  </si>
  <si>
    <t>Chemicals and Chemical Products</t>
  </si>
  <si>
    <t>Rubber and Plastics</t>
  </si>
  <si>
    <t>Other Non-Metallic Mineral</t>
  </si>
  <si>
    <t>Basic Metals and Fabricated Metal</t>
  </si>
  <si>
    <t>Machinery, Nec</t>
  </si>
  <si>
    <t>Electrical and Optical Equipment</t>
  </si>
  <si>
    <t>Transport Equipment</t>
  </si>
  <si>
    <t>Manufacturing, Nec; Recycling</t>
  </si>
  <si>
    <t>Electricity, Gas and Water Supply</t>
  </si>
  <si>
    <t>Construction</t>
  </si>
  <si>
    <t>Sale, Maintenance and Repair of Motor Vehicles and Motorcycles; Retail Sale of Fuel</t>
  </si>
  <si>
    <t>Wholesale Trade and Commission Trade, Except of Motor Vehicles and Motorcycles</t>
  </si>
  <si>
    <t>Retail Trade, Except of Motor Vehicles and Motorcycles; Repair of Household Goods</t>
  </si>
  <si>
    <t>Hotels and Restaurants</t>
  </si>
  <si>
    <t>Inland Transport</t>
  </si>
  <si>
    <t>Water Transport</t>
  </si>
  <si>
    <t>Air Transport</t>
  </si>
  <si>
    <t>Other Supporting and Auxiliary Transport Activities; Activities of Travel Agencies</t>
  </si>
  <si>
    <t>Post and Telecommunications</t>
  </si>
  <si>
    <t>Financial Intermediation</t>
  </si>
  <si>
    <t>Real Estate Activities</t>
  </si>
  <si>
    <t>Renting of M&amp;Eq and Other Business Activities</t>
  </si>
  <si>
    <t>Public Admin and Defence; Compulsory Social Security</t>
  </si>
  <si>
    <t>Education</t>
  </si>
  <si>
    <t>Health and Social Work</t>
  </si>
  <si>
    <t>Other Community, Social and Personal Services</t>
  </si>
  <si>
    <t>Private Households with Employed Persons</t>
  </si>
  <si>
    <t>Final consumption expenditure by households</t>
  </si>
  <si>
    <t>Final consumption expenditure by non-profit organisations serving households (NPISH)</t>
  </si>
  <si>
    <t>Final consumption expenditure by government</t>
  </si>
  <si>
    <t>Gross fixed capital formation</t>
  </si>
  <si>
    <t>Changes in inventories and valuables</t>
  </si>
  <si>
    <t>USA</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</si>
  <si>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</si>
  <si>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</si>
  <si>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</si>
  <si>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</si>
  <si>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</si>
  <si>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</si>
  <si>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</si>
  <si>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</si>
  <si>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</si>
  <si>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</si>
  <si>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</si>
  <si>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</si>
  <si>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</si>
  <si>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</si>
  <si>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</si>
  <si>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</si>
  <si>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</si>
  <si>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</si>
  <si>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</si>
  <si>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</si>
  <si>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</si>
  <si>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</si>
  <si>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</si>
  <si>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</si>
  <si>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</si>
  <si>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</si>
  <si>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</si>
  <si>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</si>
  <si>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</si>
  <si>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</si>
  <si>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</si>
  <si>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</si>
  <si>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</si>
  <si>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</si>
  <si>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</si>
  <si>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c37</t>
  </si>
  <si>
    <t>c38</t>
  </si>
  <si>
    <t>c39</t>
  </si>
  <si>
    <t>c41</t>
  </si>
  <si>
    <t>c42</t>
  </si>
  <si>
    <t>ROW</t>
  </si>
  <si>
    <t>Services</t>
  </si>
  <si>
    <t>Intermediate inputs</t>
  </si>
  <si>
    <t>Final demand</t>
  </si>
  <si>
    <t>USA-Goods</t>
  </si>
  <si>
    <t>USA-Services</t>
  </si>
  <si>
    <t>USA-Construction</t>
  </si>
  <si>
    <t>ROW-Goods</t>
  </si>
  <si>
    <t>ROW-Services</t>
  </si>
  <si>
    <t>Value added</t>
  </si>
  <si>
    <t>Gross output</t>
  </si>
  <si>
    <t>ROW-Cons</t>
  </si>
  <si>
    <t>USA-Gov</t>
  </si>
  <si>
    <t>USA-Cons</t>
  </si>
  <si>
    <t>USA-Inv</t>
  </si>
  <si>
    <t>Notes:</t>
  </si>
  <si>
    <t>Goods sectors</t>
  </si>
  <si>
    <t>Country aggregation</t>
  </si>
  <si>
    <t>All others</t>
  </si>
  <si>
    <t>Production sector aggregation</t>
  </si>
  <si>
    <t>Final demand aggregation</t>
  </si>
  <si>
    <t>Table 1.1.5. Gross Domestic Product</t>
  </si>
  <si>
    <t>[Billions of dollars]</t>
  </si>
  <si>
    <t>Bureau of Economic Analysis</t>
  </si>
  <si>
    <t>Last Revised on: January 30, 2015 - Next Release Date February 27, 2015</t>
  </si>
  <si>
    <t>Line</t>
  </si>
  <si>
    <t> </t>
  </si>
  <si>
    <t>1</t>
  </si>
  <si>
    <t xml:space="preserve">    Gross domestic product</t>
  </si>
  <si>
    <t>2</t>
  </si>
  <si>
    <t>Personal consumption expenditures</t>
  </si>
  <si>
    <t>3</t>
  </si>
  <si>
    <t xml:space="preserve">  Goods</t>
  </si>
  <si>
    <t>4</t>
  </si>
  <si>
    <t xml:space="preserve">    Durable goods</t>
  </si>
  <si>
    <t>5</t>
  </si>
  <si>
    <t xml:space="preserve">    Nondurable goods</t>
  </si>
  <si>
    <t>6</t>
  </si>
  <si>
    <t xml:space="preserve">  Services</t>
  </si>
  <si>
    <t>7</t>
  </si>
  <si>
    <t>Gross private domestic investment</t>
  </si>
  <si>
    <t>8</t>
  </si>
  <si>
    <t xml:space="preserve">  Fixed investment</t>
  </si>
  <si>
    <t>9</t>
  </si>
  <si>
    <t xml:space="preserve">    Nonresidential</t>
  </si>
  <si>
    <t>10</t>
  </si>
  <si>
    <t xml:space="preserve">      Structures</t>
  </si>
  <si>
    <t>11</t>
  </si>
  <si>
    <t xml:space="preserve">      Equipment</t>
  </si>
  <si>
    <t>12</t>
  </si>
  <si>
    <t xml:space="preserve">      Intellectual property products</t>
  </si>
  <si>
    <t>13</t>
  </si>
  <si>
    <t xml:space="preserve">    Residential</t>
  </si>
  <si>
    <t>14</t>
  </si>
  <si>
    <t xml:space="preserve">  Change in private inventories</t>
  </si>
  <si>
    <t>15</t>
  </si>
  <si>
    <t>Net exports of goods and services</t>
  </si>
  <si>
    <t>16</t>
  </si>
  <si>
    <t xml:space="preserve">  Exports</t>
  </si>
  <si>
    <t>17</t>
  </si>
  <si>
    <t xml:space="preserve">    Goods</t>
  </si>
  <si>
    <t>18</t>
  </si>
  <si>
    <t xml:space="preserve">    Services</t>
  </si>
  <si>
    <t>19</t>
  </si>
  <si>
    <t xml:space="preserve">  Imports</t>
  </si>
  <si>
    <t>20</t>
  </si>
  <si>
    <t>21</t>
  </si>
  <si>
    <t>22</t>
  </si>
  <si>
    <t>Government consumption expenditures and gross investment</t>
  </si>
  <si>
    <t>23</t>
  </si>
  <si>
    <t xml:space="preserve">  Federal</t>
  </si>
  <si>
    <t>24</t>
  </si>
  <si>
    <t xml:space="preserve">    National defense</t>
  </si>
  <si>
    <t>25</t>
  </si>
  <si>
    <t xml:space="preserve">    Nondefense</t>
  </si>
  <si>
    <t>26</t>
  </si>
  <si>
    <t xml:space="preserve">  State and local</t>
  </si>
  <si>
    <t>Step 1: Aggregate WIOD data by sector and country</t>
  </si>
  <si>
    <t>Table 5.1. Saving and Investment by Sector</t>
  </si>
  <si>
    <t xml:space="preserve">    Gross saving</t>
  </si>
  <si>
    <t>Net saving</t>
  </si>
  <si>
    <t xml:space="preserve">  Net private saving</t>
  </si>
  <si>
    <t xml:space="preserve">    Domestic business</t>
  </si>
  <si>
    <t xml:space="preserve">      Undistributed corporate profits</t>
  </si>
  <si>
    <t xml:space="preserve">      Inventory valuation adjustment, corporate</t>
  </si>
  <si>
    <t xml:space="preserve">      Capital consumption adjustment, corporate</t>
  </si>
  <si>
    <t xml:space="preserve">    Households and institutions</t>
  </si>
  <si>
    <t xml:space="preserve">      Personal saving</t>
  </si>
  <si>
    <t xml:space="preserve">  Net government saving</t>
  </si>
  <si>
    <t xml:space="preserve">    Federal</t>
  </si>
  <si>
    <t xml:space="preserve">    State and local</t>
  </si>
  <si>
    <t>Consumption of fixed capital</t>
  </si>
  <si>
    <t xml:space="preserve">  Private</t>
  </si>
  <si>
    <t xml:space="preserve">  Government</t>
  </si>
  <si>
    <t xml:space="preserve">    Gross domestic investment, capital account transactions, and net lending, NIPAs</t>
  </si>
  <si>
    <t>Gross domestic investment</t>
  </si>
  <si>
    <t xml:space="preserve">  Gross private domestic investment</t>
  </si>
  <si>
    <t xml:space="preserve">  Gross government investment</t>
  </si>
  <si>
    <t>27</t>
  </si>
  <si>
    <t>28</t>
  </si>
  <si>
    <t>Capital account transactions (net) 1</t>
  </si>
  <si>
    <t>29</t>
  </si>
  <si>
    <t>30</t>
  </si>
  <si>
    <t>31</t>
  </si>
  <si>
    <t>32</t>
  </si>
  <si>
    <t>33</t>
  </si>
  <si>
    <t>34</t>
  </si>
  <si>
    <t>35</t>
  </si>
  <si>
    <t>Net lending or net borrowing (-), NIPAs</t>
  </si>
  <si>
    <t>36</t>
  </si>
  <si>
    <t>37</t>
  </si>
  <si>
    <t>38</t>
  </si>
  <si>
    <t>39</t>
  </si>
  <si>
    <t>40</t>
  </si>
  <si>
    <t>41</t>
  </si>
  <si>
    <t>42</t>
  </si>
  <si>
    <t xml:space="preserve">    Statistical discrepancy</t>
  </si>
  <si>
    <t>Addenda:</t>
  </si>
  <si>
    <t/>
  </si>
  <si>
    <t>43</t>
  </si>
  <si>
    <t xml:space="preserve">  Gross private saving</t>
  </si>
  <si>
    <t>44</t>
  </si>
  <si>
    <t>45</t>
  </si>
  <si>
    <t>46</t>
  </si>
  <si>
    <t xml:space="preserve">  Gross government saving</t>
  </si>
  <si>
    <t>47</t>
  </si>
  <si>
    <t>48</t>
  </si>
  <si>
    <t>49</t>
  </si>
  <si>
    <t xml:space="preserve">  Net domestic investment</t>
  </si>
  <si>
    <t>50</t>
  </si>
  <si>
    <t xml:space="preserve">    Private</t>
  </si>
  <si>
    <t>51</t>
  </si>
  <si>
    <t xml:space="preserve">      Domestic business</t>
  </si>
  <si>
    <t>52</t>
  </si>
  <si>
    <t xml:space="preserve">      Households and institutions</t>
  </si>
  <si>
    <t>53</t>
  </si>
  <si>
    <t xml:space="preserve">    Government</t>
  </si>
  <si>
    <t>54</t>
  </si>
  <si>
    <t xml:space="preserve">      Federal</t>
  </si>
  <si>
    <t>55</t>
  </si>
  <si>
    <t xml:space="preserve">      State and local</t>
  </si>
  <si>
    <t>56</t>
  </si>
  <si>
    <t xml:space="preserve">  Gross saving as a percentage of gross national income</t>
  </si>
  <si>
    <t>57</t>
  </si>
  <si>
    <t xml:space="preserve">  Net saving as a percentage of gross national income</t>
  </si>
  <si>
    <t>58</t>
  </si>
  <si>
    <t xml:space="preserve">  Disaster losses 2</t>
  </si>
  <si>
    <t>59</t>
  </si>
  <si>
    <t>60</t>
  </si>
  <si>
    <t>61</t>
  </si>
  <si>
    <t>62</t>
  </si>
  <si>
    <t>63</t>
  </si>
  <si>
    <t>64</t>
  </si>
  <si>
    <t>Legend / Footnotes:</t>
  </si>
  <si>
    <t>1. Consists of capital transfers and the acquisition and disposal of nonproduced nonfinancial assets.  Prior to 1982, reflects only capital grants paid to the U.S. territories and the Commonwealths of Puerto Rico and Northern Mariana Islands.</t>
  </si>
  <si>
    <t>2. Consists of damages to fixed assets.</t>
  </si>
  <si>
    <t>Private consumption</t>
  </si>
  <si>
    <t>Government consumption</t>
  </si>
  <si>
    <t>Investment</t>
  </si>
  <si>
    <t>Goods exports</t>
  </si>
  <si>
    <t>Services exports</t>
  </si>
  <si>
    <t>Goods imports</t>
  </si>
  <si>
    <t>Services imports</t>
  </si>
  <si>
    <t>Main aggregates</t>
  </si>
  <si>
    <t>GDP</t>
  </si>
  <si>
    <t>Step 3: Set up auxilliary world IO matrix and balance it</t>
  </si>
  <si>
    <t>USA-Goods-Domestic</t>
  </si>
  <si>
    <t>USA-Services-Domestic</t>
  </si>
  <si>
    <t>USA-Construction-Domestic</t>
  </si>
  <si>
    <t>ROW-Goods-Domestic</t>
  </si>
  <si>
    <t>ROW-Services-Domestic</t>
  </si>
  <si>
    <t>USA-Goods-Export</t>
  </si>
  <si>
    <t>USA-Services-Export</t>
  </si>
  <si>
    <t>ROW-Goods-Export</t>
  </si>
  <si>
    <t>ROW-Services-Export</t>
  </si>
  <si>
    <t>initial row sum</t>
  </si>
  <si>
    <t>Desired row sum</t>
  </si>
  <si>
    <t>Initial col sum</t>
  </si>
  <si>
    <t>Desired col sum</t>
  </si>
  <si>
    <t>Shares</t>
  </si>
  <si>
    <t>Private share of consumption</t>
  </si>
  <si>
    <t>ROW-Value added</t>
  </si>
  <si>
    <t>FRED Graph Observations</t>
  </si>
  <si>
    <t>Federal Reserve Economic Data</t>
  </si>
  <si>
    <t>Link: http://research.stlouisfed.org/fred2</t>
  </si>
  <si>
    <t>Help: http://research.stlouisfed.org/fred2/help-faq</t>
  </si>
  <si>
    <t>Economic Research Division</t>
  </si>
  <si>
    <t>Federal Reserve Bank of St. Louis</t>
  </si>
  <si>
    <t>CPIAUCSL</t>
  </si>
  <si>
    <t>Consumer Price Index for All Urban Consumers: All Items, Index 1982-84=100, Annual, Seasonally Adjusted</t>
  </si>
  <si>
    <t>Frequency: Annual</t>
  </si>
  <si>
    <t>observation_date</t>
  </si>
  <si>
    <t>^</t>
  </si>
  <si>
    <t>1990 NIPA gov't consumption adjusted for inflation</t>
  </si>
  <si>
    <t>NIPA private consumption adjusted for inflation</t>
  </si>
  <si>
    <t>1990 NIPA iunvestment adjusted for inflation</t>
  </si>
  <si>
    <t>&lt;</t>
  </si>
  <si>
    <t>(Ratio of ROW GDP to US GDP from 1995 WIOD) * (inflation-adjusted 1990 GDP from NIPA)</t>
  </si>
  <si>
    <t>Input to RAS</t>
  </si>
  <si>
    <t>Output from RAS</t>
  </si>
  <si>
    <t>ROW cons implied by market clearing</t>
  </si>
  <si>
    <t>US goods G.O. from 1995 WIOD * (Ratio of US GDP from 1995 WIOD to inflation-adjusted 1990 US GDP from NIPA)</t>
  </si>
  <si>
    <t>US services G.O. from 1995 WIOD * (Ratio of US GDP from 1995 WIOD to inflation-adjusted 1990 US GDP from NIPA)</t>
  </si>
  <si>
    <t>(US construction G.O. from 1995 WIOD less exports of construction to ROW)  * (Ratio of US GDP from 1995 WIOD to inflation-adjusted 1990 US GDP from NIPA)</t>
  </si>
  <si>
    <t>(ROW goods G.O. from 1995 WIOD less imports of US construction) * (Ratio of ROW GDP from 1995 WIOD to desired ROW GDP in N17)</t>
  </si>
  <si>
    <t>ROW services G.O. from 1995 WIOD less imports of US construction * (Ratio of ROW GDP from 1995 WIOD to desired ROW GDP in N17)</t>
  </si>
  <si>
    <t>Desired US services G.O. (in D21) less inflation-adjusted 1990 services exports from NIPA</t>
  </si>
  <si>
    <t>Desired US construction G.O. (in E21)</t>
  </si>
  <si>
    <t>Desired ROW goods G.O. (in F21) less inflation-adjusted goods imports from NIPA</t>
  </si>
  <si>
    <t>Desired ROW services G.O. (in G21) less inflation-adjusted 1990 services imports from NIPA</t>
  </si>
  <si>
    <t>Desired US goods GO (in C21) less inflation-adjusted 1990 goods exports from NIPA</t>
  </si>
  <si>
    <t>Inflation-adjusted 1990 goods exports from NIPA</t>
  </si>
  <si>
    <t>Inflation-adjusted 1990 services exports from NIPA</t>
  </si>
  <si>
    <t>Inflation-adjusted 1990 goods imports from NIPA</t>
  </si>
  <si>
    <t>Inflation-adjusted 1990 services imports from NIPA</t>
  </si>
  <si>
    <t>This step reconciles the shares implied by aggregated WIOD data from 1995 with main economic aggregates from 1990 U.S. NIPA tables.</t>
  </si>
  <si>
    <t>The basic approach is to adjust the 1990 NIPA data for inflation (thereby making the units consistent --- 1995 dollars ---) across the two data sources.</t>
  </si>
  <si>
    <t>Then we use the RAS algorithm to adjust the WIOD input-output matrix so that its row and column sums match the inflation-adjusted NIPA data.</t>
  </si>
  <si>
    <t>Goods</t>
  </si>
  <si>
    <t>Consumption</t>
  </si>
  <si>
    <t>Government</t>
  </si>
  <si>
    <t>Check shares of GDP from NIPA</t>
  </si>
  <si>
    <t>NIPA</t>
  </si>
  <si>
    <t>IO table</t>
  </si>
  <si>
    <t>Goods trade balance</t>
  </si>
  <si>
    <t>Services trade balance</t>
  </si>
  <si>
    <t>Aggregate trade balance</t>
  </si>
  <si>
    <t>Final row sum</t>
  </si>
  <si>
    <t>Final col sum</t>
  </si>
  <si>
    <t>Difference</t>
  </si>
  <si>
    <t>1992</t>
  </si>
  <si>
    <t>Inflation between 1992 and 1995</t>
  </si>
  <si>
    <t>USA-Goods-Value added</t>
  </si>
  <si>
    <t>USA-Services-Value added</t>
  </si>
  <si>
    <t>USA-Construction-Value added</t>
  </si>
  <si>
    <t>USA-Servivces-Value added</t>
  </si>
  <si>
    <t>USA-Goods Value added</t>
  </si>
  <si>
    <t>Inflation-adjusted 1990 GDP from NIPA * Services share of GDP from IVA</t>
  </si>
  <si>
    <t>Inflation-adjusted 1990 GDP from NIPA * Construction share of GDP from IVA</t>
  </si>
  <si>
    <t>Inflation-adjusted 1990 GDP from NIPA * Goods share of GDP from IVA</t>
  </si>
  <si>
    <t xml:space="preserve">Code </t>
  </si>
  <si>
    <t>Industry Title</t>
  </si>
  <si>
    <t>Value added (Millions of dollars)</t>
  </si>
  <si>
    <t>VA</t>
  </si>
  <si>
    <t>Gross domestic product</t>
  </si>
  <si>
    <t xml:space="preserve">  Private industries</t>
  </si>
  <si>
    <t xml:space="preserve">      Agriculture, forestry, fishing, and hunting</t>
  </si>
  <si>
    <t xml:space="preserve">          Farms</t>
  </si>
  <si>
    <t xml:space="preserve">          Forestry, fishing, and related activities</t>
  </si>
  <si>
    <t xml:space="preserve">      Mining</t>
  </si>
  <si>
    <t xml:space="preserve">          Oil and gas extraction</t>
  </si>
  <si>
    <t xml:space="preserve">          Mining, except oil and gas</t>
  </si>
  <si>
    <t xml:space="preserve">          Support activities for mining</t>
  </si>
  <si>
    <t xml:space="preserve">      Utilities</t>
  </si>
  <si>
    <t xml:space="preserve">      Construction</t>
  </si>
  <si>
    <t xml:space="preserve">      Manufacturing</t>
  </si>
  <si>
    <t xml:space="preserve">        Durable goods</t>
  </si>
  <si>
    <t xml:space="preserve">          Wood products</t>
  </si>
  <si>
    <t xml:space="preserve">          Nonmetallic mineral products</t>
  </si>
  <si>
    <t xml:space="preserve">          Primary metals</t>
  </si>
  <si>
    <t xml:space="preserve">          Fabricated metal products</t>
  </si>
  <si>
    <t xml:space="preserve">          Machinery</t>
  </si>
  <si>
    <t xml:space="preserve">          Computer and electronic products</t>
  </si>
  <si>
    <t xml:space="preserve">          Electrical equipment, appliances, and components</t>
  </si>
  <si>
    <t xml:space="preserve">          Motor vehicles, bodies and trailers, and parts</t>
  </si>
  <si>
    <t xml:space="preserve">          Other transportation equipment</t>
  </si>
  <si>
    <t xml:space="preserve">          Furniture and related products</t>
  </si>
  <si>
    <t xml:space="preserve">          Miscellaneous manufacturing</t>
  </si>
  <si>
    <t xml:space="preserve">        Nondurable goods</t>
  </si>
  <si>
    <t xml:space="preserve">          Food and beverage and tobacco products</t>
  </si>
  <si>
    <t xml:space="preserve">          Textile mills and textile product mills</t>
  </si>
  <si>
    <t xml:space="preserve">          Apparel and leather and allied products</t>
  </si>
  <si>
    <t xml:space="preserve">          Paper products</t>
  </si>
  <si>
    <t xml:space="preserve">          Printing and related support activities</t>
  </si>
  <si>
    <t xml:space="preserve">          Petroleum and coal products</t>
  </si>
  <si>
    <t xml:space="preserve">          Chemical products</t>
  </si>
  <si>
    <t xml:space="preserve">          Plastics and rubber products</t>
  </si>
  <si>
    <t xml:space="preserve">      Wholesale trade</t>
  </si>
  <si>
    <t xml:space="preserve">      Retail trade</t>
  </si>
  <si>
    <t xml:space="preserve">      Transportation and warehousing</t>
  </si>
  <si>
    <t xml:space="preserve">          Air transportation</t>
  </si>
  <si>
    <t xml:space="preserve">          Rail transportation</t>
  </si>
  <si>
    <t xml:space="preserve">          Water transportation</t>
  </si>
  <si>
    <t xml:space="preserve">          Truck transportation</t>
  </si>
  <si>
    <t xml:space="preserve">          Transit and ground passenger transportation</t>
  </si>
  <si>
    <t xml:space="preserve">          Pipeline transportation</t>
  </si>
  <si>
    <t xml:space="preserve">          Other transportation and support activities</t>
  </si>
  <si>
    <t xml:space="preserve">          Warehousing and storage</t>
  </si>
  <si>
    <t xml:space="preserve">      Information</t>
  </si>
  <si>
    <t xml:space="preserve">          Publishing industries (includes software)</t>
  </si>
  <si>
    <t xml:space="preserve">          Motion picture and sound recording industries</t>
  </si>
  <si>
    <t xml:space="preserve">          Broadcasting and telecommunications</t>
  </si>
  <si>
    <t xml:space="preserve">          Information and data processing services</t>
  </si>
  <si>
    <t xml:space="preserve">    Finance, insurance, real estate, rental, and leasing</t>
  </si>
  <si>
    <t xml:space="preserve">      Finance and insurance</t>
  </si>
  <si>
    <t xml:space="preserve">          Federal Reserve banks, credit intermediation, and related activities</t>
  </si>
  <si>
    <t xml:space="preserve">          Securities, commodity contracts, and investments</t>
  </si>
  <si>
    <t xml:space="preserve">          Insurance carriers and related activities</t>
  </si>
  <si>
    <t xml:space="preserve">          Funds, trusts, and other financial vehicles</t>
  </si>
  <si>
    <t xml:space="preserve">      Real estate and rental and leasing</t>
  </si>
  <si>
    <t xml:space="preserve">          Real estate</t>
  </si>
  <si>
    <t xml:space="preserve">          Rental and leasing services and lessors of intangible assets</t>
  </si>
  <si>
    <t xml:space="preserve">    Professional and business services</t>
  </si>
  <si>
    <t xml:space="preserve">      Professional, scientific, and technical services</t>
  </si>
  <si>
    <t xml:space="preserve">          Legal services</t>
  </si>
  <si>
    <t xml:space="preserve">          Computer systems design and related services</t>
  </si>
  <si>
    <t xml:space="preserve">          Miscellaneous professional, scientific, and technical services</t>
  </si>
  <si>
    <t xml:space="preserve">      Management of companies and enterprises</t>
  </si>
  <si>
    <t xml:space="preserve">      Administrative and waste management services</t>
  </si>
  <si>
    <t xml:space="preserve">          Administrative and support services</t>
  </si>
  <si>
    <t xml:space="preserve">          Waste management and remediation services</t>
  </si>
  <si>
    <t xml:space="preserve">    Educational services, health care, and social assistance</t>
  </si>
  <si>
    <t xml:space="preserve">      Educational services</t>
  </si>
  <si>
    <t xml:space="preserve">      Health care and social assistance</t>
  </si>
  <si>
    <t xml:space="preserve">          Ambulatory health care services</t>
  </si>
  <si>
    <t xml:space="preserve">          Hospitals and nursing and residential care facilities</t>
  </si>
  <si>
    <t xml:space="preserve">          Social assistance</t>
  </si>
  <si>
    <t xml:space="preserve">    Arts, entertainment, recreation, accommodation, and food services</t>
  </si>
  <si>
    <t xml:space="preserve">      Arts, entertainment, and recreation</t>
  </si>
  <si>
    <t xml:space="preserve">          Performing arts, spectator sports, museums, and related activities</t>
  </si>
  <si>
    <t xml:space="preserve">          Amusements, gambling, and recreation industries</t>
  </si>
  <si>
    <t xml:space="preserve">      Accommodation and food services</t>
  </si>
  <si>
    <t xml:space="preserve">          Accommodation</t>
  </si>
  <si>
    <t xml:space="preserve">          Food services and drinking places</t>
  </si>
  <si>
    <t xml:space="preserve">      Other services, except government</t>
  </si>
  <si>
    <t xml:space="preserve">          General government</t>
  </si>
  <si>
    <t xml:space="preserve">          Government enterprises</t>
  </si>
  <si>
    <t xml:space="preserve">  Private goods-producing industries /2/</t>
  </si>
  <si>
    <t xml:space="preserve">  Private services-producing industries /3/</t>
  </si>
  <si>
    <t xml:space="preserve">  Information-communications-technology-producing industries/4/</t>
  </si>
  <si>
    <t>Value added as a percentage of gross domestic product (Percent)</t>
  </si>
  <si>
    <t>VAPCT</t>
  </si>
  <si>
    <t>Value added (Millions of chained (2005) dollars)</t>
  </si>
  <si>
    <t>VACHN</t>
  </si>
  <si>
    <t xml:space="preserve">    Other services, except government</t>
  </si>
  <si>
    <t xml:space="preserve">  Not allocated by industry /1/</t>
  </si>
  <si>
    <t>Chain-type quantity indexes for value added (2005=100)</t>
  </si>
  <si>
    <t>VAQI</t>
  </si>
  <si>
    <t>Chain-type price indexes for value added (2005=100)</t>
  </si>
  <si>
    <t>VAPI</t>
  </si>
  <si>
    <t>Gross output (Millions of dollars)</t>
  </si>
  <si>
    <t>GO</t>
  </si>
  <si>
    <t>All industries</t>
  </si>
  <si>
    <t>Chain-type quantity indexes for gross output (2005=100)</t>
  </si>
  <si>
    <t>GOQI</t>
  </si>
  <si>
    <t>Chain-type price indexes for gross output (2005=100)</t>
  </si>
  <si>
    <t>GOPI</t>
  </si>
  <si>
    <t>Intermediate inputs (Millions of dollars)</t>
  </si>
  <si>
    <t>II</t>
  </si>
  <si>
    <t>Chain-type quantity indexes for intermediate inputs (2005=100)</t>
  </si>
  <si>
    <t>IIQI</t>
  </si>
  <si>
    <t>Chain-type price indexes for intermediate inputs (2005=100)</t>
  </si>
  <si>
    <t>IIPI</t>
  </si>
  <si>
    <t>/1/ Chained (2005) dollar series are calculated as the product of the chain-type quantity index and the 2005 current-dollar value of the corresponding series, divided by 100.  Because the formula for the chain-type quantity indexes uses weights of more than one period, the corresponding chained-dollar estimates are usually not additive.  The value of not allocated by industry reflects the difference between the first line and the sum of the most detailed lines, as well as the differences in source data used to estimate GDP by industry and the expenditures measure of real GDP.</t>
  </si>
  <si>
    <t>/2/ Consists of agriculture, forestry, fishing, and hunting; mining; construction; and manufacturing.</t>
  </si>
  <si>
    <t>/3/ Consists of utilities; wholesale trade; retail trade; transportation and warehousing; information; finance and insurance; real estate and rental and leasing; professional, scientific and technical services; management of companies and enterprises; administrative and waste management services; educational services; health care and social assistance; arts, entertainment, and recreation; accommodation and food services; and other services, except government.</t>
  </si>
  <si>
    <t>/4/ Consists of computer and electronic products; publishing industries (includes software); information and data processing services; and computer systems design and related services.</t>
  </si>
  <si>
    <t xml:space="preserve">          Motor Vehicle and Parts Dealers</t>
  </si>
  <si>
    <t xml:space="preserve">          Food and Beverage Stores</t>
  </si>
  <si>
    <t xml:space="preserve">          General Merchandise Stores</t>
  </si>
  <si>
    <t xml:space="preserve">          Other Retail</t>
  </si>
  <si>
    <t xml:space="preserve">          Publishing industries, except internet (includes software)</t>
  </si>
  <si>
    <t xml:space="preserve">          Data processing, internet publishing, and other information services</t>
  </si>
  <si>
    <t xml:space="preserve">             Housing</t>
  </si>
  <si>
    <t xml:space="preserve">             Other real estate</t>
  </si>
  <si>
    <t xml:space="preserve">          Hospitals</t>
  </si>
  <si>
    <t xml:space="preserve">          Nursing and residential care facilities</t>
  </si>
  <si>
    <t xml:space="preserve">          Federal general government</t>
  </si>
  <si>
    <t xml:space="preserve">              Federal general government (defense)</t>
  </si>
  <si>
    <t xml:space="preserve">              Federal general government (nondefense)</t>
  </si>
  <si>
    <t xml:space="preserve">          Federal government enterprises</t>
  </si>
  <si>
    <t xml:space="preserve">          State and local general government</t>
  </si>
  <si>
    <t xml:space="preserve">          State and local government enterprises</t>
  </si>
  <si>
    <r>
      <t xml:space="preserve">  Private goods-producing industries</t>
    </r>
    <r>
      <rPr>
        <vertAlign val="superscript"/>
        <sz val="10"/>
        <rFont val="Arial"/>
        <family val="2"/>
      </rPr>
      <t>1</t>
    </r>
  </si>
  <si>
    <r>
      <t xml:space="preserve">  Private services-producing industries</t>
    </r>
    <r>
      <rPr>
        <vertAlign val="superscript"/>
        <sz val="10"/>
        <rFont val="Arial"/>
        <family val="2"/>
      </rPr>
      <t>2</t>
    </r>
  </si>
  <si>
    <r>
      <t xml:space="preserve">  Information-communications-technology-producing industries</t>
    </r>
    <r>
      <rPr>
        <vertAlign val="superscript"/>
        <sz val="10"/>
        <rFont val="Arial"/>
        <family val="2"/>
      </rPr>
      <t>3</t>
    </r>
  </si>
  <si>
    <r>
      <t>Value added (Millions of chained (2009) dollars)</t>
    </r>
    <r>
      <rPr>
        <b/>
        <vertAlign val="superscript"/>
        <sz val="10"/>
        <rFont val="Arial"/>
        <family val="2"/>
      </rPr>
      <t>4</t>
    </r>
  </si>
  <si>
    <t>Not allocated by industry</t>
  </si>
  <si>
    <t>Chain-type quantity indexes for value added (2009=100)</t>
  </si>
  <si>
    <t>Chain-type price indexes for value added (2009=100)</t>
  </si>
  <si>
    <r>
      <t xml:space="preserve">Gross domestic product </t>
    </r>
    <r>
      <rPr>
        <vertAlign val="superscript"/>
        <sz val="10"/>
        <rFont val="Arial"/>
        <family val="2"/>
      </rPr>
      <t>5</t>
    </r>
  </si>
  <si>
    <t>Chain-type quantity indexes for gross output (2009=100)</t>
  </si>
  <si>
    <t>Chain-type price indexes for gross output (2009=100)</t>
  </si>
  <si>
    <t>Chain-type quantity indexes for intermediate inputs (2009=100)</t>
  </si>
  <si>
    <t>Chain-type price indexes for intermediate inputs (2009=100)</t>
  </si>
  <si>
    <t>1.  Consists of agriculture, forestry, fishing, and hunting; mining; construction; and manufacturing.</t>
  </si>
  <si>
    <t>2.  Consists of utilities; wholesale trade; retail trade; transportation and warehousing; information; finance, insurance, real estate, rental, and leasing; professional and business services; educational services, health care, and social assistance; arts, entertainment, recreation, accommodation, and food services; and other services, except government.</t>
  </si>
  <si>
    <t>3.  Consists of computer and electronic product manufacturing (excluding navigational, measuring, electromedical, and control instruments manufacturing); software publishers; broadcasting and telecommunications; data processing, hosting and related services; internet publishing and broadcasting and web search portals; and computer systems design and related services.</t>
  </si>
  <si>
    <t>4.  Chained (2009) dollar series are calculated as the product of the chain-type quantity index and the 2009 current-dollar value of the corresponding series, divided by 100. Because the formula for the chain-type quantity indexes uses weights of more than one period, the corresponding chained-dollar estimates are usually not additive. The value of not allocated by industry reflects the difference between the first line and the sum of the most detailed lines, as well as the differences in source data used to estimate GDP by industry and the expenditures measure of real GDP.</t>
  </si>
  <si>
    <t xml:space="preserve">   5. Reflects the implicit price deflator found on line 1 of NIPA table 1.1.9.</t>
  </si>
  <si>
    <t>Step 2a: Calculations on NIPA data</t>
  </si>
  <si>
    <t>Billions $1992</t>
  </si>
  <si>
    <t>Share 1992 GDP</t>
  </si>
  <si>
    <t>Millions $1995</t>
  </si>
  <si>
    <t>Step 2b: Calculations on Industry Value Added data</t>
  </si>
  <si>
    <t>Goods VA</t>
  </si>
  <si>
    <t>Services VA</t>
  </si>
  <si>
    <t>Construction VA</t>
  </si>
  <si>
    <t>Construction share (raw)</t>
  </si>
  <si>
    <t>Services share (raw)</t>
  </si>
  <si>
    <t>Goods share (raw)</t>
  </si>
  <si>
    <t>Old data</t>
  </si>
  <si>
    <t>New data</t>
  </si>
  <si>
    <t>Spliced</t>
  </si>
  <si>
    <t>Goods trade Balance-NoIO</t>
  </si>
  <si>
    <t>Services trade Balance-NoIO</t>
  </si>
  <si>
    <t>Aggregate trade Balance-NoIO</t>
  </si>
  <si>
    <t>Same as N16</t>
  </si>
  <si>
    <t>Same as N17</t>
  </si>
  <si>
    <t>Same as N18</t>
  </si>
  <si>
    <t>RW Goods value added from Step3-Balance</t>
  </si>
  <si>
    <t>RW services value added from Step3-Balance</t>
  </si>
  <si>
    <t>Step 4: Normalize balanced matrix so all values expressed as percentages of US GDP in 1992</t>
  </si>
  <si>
    <t>Alternative 1: Same GO/GDP in all US sectors</t>
  </si>
  <si>
    <t>Baseline</t>
  </si>
  <si>
    <t>DR</t>
  </si>
  <si>
    <t>TR</t>
  </si>
  <si>
    <t>Gross output share</t>
  </si>
  <si>
    <t>Inflation-adjusted 1990 GDP from NIPA * Services share of GDP</t>
  </si>
  <si>
    <t>Inflation-adjusted 1990 GDP from NIPA * Goods share of GDP from 1992</t>
  </si>
  <si>
    <t>Inflation-adjusted 1990 GDP from NIPA * Construction share of GDP</t>
  </si>
  <si>
    <t xml:space="preserve">Cells represent raw data from the 1995 WIOD world input-output table, aggregated by sector and country using the aggregation scheme listed below.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</si>
</sst>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5" formatCode="yyyy\-mm\-dd"/>
    <numFmt numFmtId="166" formatCode="0.000"/>
    <numFmt numFmtId="167" formatCode="0.00000000000"/>
    <numFmt numFmtId="168" formatCode="0.0"/>
    <numFmt numFmtId="169" formatCode="#,##0.000"/>
  </numFmts>
  <fonts count="24">
    <font>
      <sz val="11"/>
      <color theme="1"/>
      <name val="Calibri"/>
      <family val="2"/>
      <scheme val="minor"/>
    </font>
    <font>
      <sz val="11"/>
      <color theme="1"/>
      <name val="Calibri"/>
      <family val="2"/>
      <scheme val="minor"/>
    </font>
    <font>
      <b/>
      <sz val="11"/>
      <color theme="1"/>
      <name val="Calibri"/>
      <family val="2"/>
      <scheme val="minor"/>
    </font>
    <font>
      <b/>
      <sz val="10"/>
      <name val="Arial"/>
      <family val="2"/>
    </font>
    <font>
      <sz val="10"/>
      <name val="Arial"/>
      <family val="2"/>
    </font>
    <font>
      <b/>
      <i/>
      <sz val="11"/>
      <color theme="1"/>
      <name val="Calibri"/>
      <family val="2"/>
      <scheme val="minor"/>
    </font>
    <font>
      <i/>
      <sz val="11"/>
      <color theme="1"/>
      <name val="Calibri"/>
      <family val="2"/>
      <scheme val="minor"/>
    </font>
    <font>
      <b/>
      <sz val="14"/>
      <color theme="1"/>
      <name val="Calibri"/>
      <family val="2"/>
      <scheme val="minor"/>
    </font>
    <font>
      <b/>
      <sz val="14"/>
      <name val="Arial"/>
      <family val="2"/>
    </font>
    <font>
      <sz val="13"/>
      <name val="Arial"/>
      <family val="2"/>
    </font>
    <font>
      <b/>
      <sz val="10"/>
      <color indexed="9"/>
      <name val="Arial"/>
      <family val="2"/>
    </font>
    <font>
      <b/>
      <i/>
      <sz val="15"/>
      <name val="Arial"/>
      <family val="2"/>
    </font>
    <font>
      <i/>
      <sz val="10"/>
      <name val="Arial"/>
      <family val="2"/>
    </font>
    <font>
      <sz val="11"/>
      <name val="Calibri"/>
      <family val="2"/>
      <scheme val="minor"/>
    </font>
    <font>
      <u/>
      <sz val="10"/>
      <color indexed="12"/>
      <name val="Arial"/>
      <family val="2"/>
    </font>
    <font>
      <vertAlign val="superscript"/>
      <sz val="10"/>
      <name val="Arial"/>
      <family val="2"/>
    </font>
    <font>
      <b/>
      <vertAlign val="superscript"/>
      <sz val="10"/>
      <name val="Arial"/>
      <family val="2"/>
    </font>
    <font>
      <sz val="8"/>
      <color rgb="FF000000"/>
      <name val="Inherit"/>
    </font>
    <font>
      <sz val="12"/>
      <color theme="1"/>
      <name val="Times New Roman"/>
      <family val="1"/>
    </font>
    <font>
      <b/>
      <i/>
      <sz val="12"/>
      <color theme="1"/>
      <name val="Times New Roman"/>
      <family val="1"/>
    </font>
    <font>
      <b/>
      <sz val="12"/>
      <color theme="1"/>
      <name val="Times New Roman"/>
      <family val="1"/>
    </font>
    <font>
      <i/>
      <sz val="12"/>
      <color theme="1"/>
      <name val="Times New Roman"/>
      <family val="1"/>
    </font>
    <font>
      <b/>
      <sz val="11"/>
      <color theme="1"/>
      <name val="Times"/>
      <family val="1"/>
    </font>
    <font>
      <b/>
      <sz val="12"/>
      <color theme="1"/>
      <name val="Times"/>
      <family val="1"/>
    </font>
  </fonts>
  <fills count="3">
    <fill>
      <patternFill patternType="none"/>
    </fill>
    <fill>
      <patternFill patternType="gray125"/>
    </fill>
    <fill>
      <patternFill patternType="solid">
        <fgColor indexed="56"/>
        <bgColor indexed="23"/>
      </patternFill>
    </fill>
  </fills>
  <borders count="34">
    <border>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9"/>
      </left>
      <right style="thin">
        <color indexed="9"/>
      </right>
      <top style="thin">
        <color indexed="9"/>
      </top>
      <bottom style="thin">
        <color indexed="9"/>
      </bottom>
      <diagonal/>
    </border>
    <border>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ck">
        <color auto="1"/>
      </top>
      <bottom/>
      <diagonal/>
    </border>
    <border>
      <left/>
      <right/>
      <top style="thick">
        <color auto="1"/>
      </top>
      <bottom style="thin">
        <color indexed="64"/>
      </bottom>
      <diagonal/>
    </border>
    <border>
      <left/>
      <right style="thin">
        <color indexed="64"/>
      </right>
      <top style="thick">
        <color auto="1"/>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ck">
        <color auto="1"/>
      </top>
      <bottom/>
      <diagonal/>
    </border>
    <border>
      <left style="thin">
        <color indexed="64"/>
      </left>
      <right/>
      <top style="thick">
        <color auto="1"/>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dashed">
        <color indexed="64"/>
      </right>
      <top style="thin">
        <color indexed="64"/>
      </top>
      <bottom style="thin">
        <color indexed="64"/>
      </bottom>
      <diagonal/>
    </border>
    <border>
      <left/>
      <right style="dashed">
        <color indexed="64"/>
      </right>
      <top/>
      <bottom style="thin">
        <color indexed="64"/>
      </bottom>
      <diagonal/>
    </border>
    <border>
      <left/>
      <right style="dashed">
        <color indexed="64"/>
      </right>
      <top/>
      <bottom/>
      <diagonal/>
    </border>
    <border>
      <left/>
      <right style="dashed">
        <color indexed="64"/>
      </right>
      <top style="thin">
        <color indexed="64"/>
      </top>
      <bottom/>
      <diagonal/>
    </border>
    <border>
      <left/>
      <right style="dashed">
        <color indexed="64"/>
      </right>
      <top style="thin">
        <color indexed="64"/>
      </top>
      <bottom style="medium">
        <color indexed="64"/>
      </bottom>
      <diagonal/>
    </border>
    <border>
      <left/>
      <right/>
      <top/>
      <bottom style="dashed">
        <color indexed="64"/>
      </bottom>
      <diagonal/>
    </border>
    <border>
      <left/>
      <right style="thin">
        <color indexed="64"/>
      </right>
      <top/>
      <bottom style="dashed">
        <color indexed="64"/>
      </bottom>
      <diagonal/>
    </border>
    <border>
      <left style="thin">
        <color indexed="64"/>
      </left>
      <right/>
      <top/>
      <bottom style="dashed">
        <color indexed="64"/>
      </bottom>
      <diagonal/>
    </border>
    <border>
      <left/>
      <right style="dashed">
        <color indexed="64"/>
      </right>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dashed">
        <color indexed="64"/>
      </bottom>
      <diagonal/>
    </border>
    <border>
      <left style="thin">
        <color indexed="64"/>
      </left>
      <right style="thin">
        <color indexed="64"/>
      </right>
      <top/>
      <bottom style="thin">
        <color indexed="64"/>
      </bottom>
      <diagonal/>
    </border>
  </borders>
  <cellStyleXfs count="4">
    <xf numFmtId="0" fontId="0" fillId="0" borderId="0"/>
    <xf numFmtId="0" fontId="4" fillId="0" borderId="0"/>
    <xf numFmtId="0" fontId="14" fillId="0" borderId="0" applyNumberFormat="0" applyFill="0" applyBorder="0" applyAlignment="0" applyProtection="0">
      <alignment vertical="top"/>
      <protection locked="0"/>
    </xf>
    <xf numFmtId="0" fontId="1" fillId="0" borderId="0"/>
  </cellStyleXfs>
  <cellXfs count="239">
    <xf numFmtId="0" fontId="0" fillId="0" borderId="0" xfId="0"/>
    <xf numFmtId="0" fontId="0" fillId="0" borderId="0" xfId="0" applyAlignment="1">
      <alignment horizontal="center" wrapText="1"/>
    </xf>
    <xf numFmtId="0" fontId="0" fillId="0" borderId="0" xfId="0" applyBorder="1"/>
    <xf numFmtId="0" fontId="2" fillId="0" borderId="0" xfId="0" applyFont="1"/>
    <xf numFmtId="0" fontId="2" fillId="0" borderId="0" xfId="0" applyFont="1" applyAlignment="1">
      <alignment horizontal="center"/>
    </xf>
    <xf numFmtId="0" fontId="0" fillId="0" borderId="0" xfId="0" applyAlignment="1">
      <alignment horizontal="center"/>
    </xf>
    <xf numFmtId="4" fontId="0" fillId="0" borderId="0" xfId="0" applyNumberFormat="1"/>
    <xf numFmtId="0" fontId="0" fillId="0" borderId="0" xfId="0" applyFont="1"/>
    <xf numFmtId="0" fontId="5" fillId="0" borderId="0" xfId="0" applyFont="1"/>
    <xf numFmtId="0" fontId="6" fillId="0" borderId="0" xfId="0" applyFont="1"/>
    <xf numFmtId="0" fontId="7" fillId="0" borderId="0" xfId="0" applyFont="1"/>
    <xf numFmtId="4" fontId="0" fillId="0" borderId="0" xfId="0" applyNumberFormat="1" applyBorder="1"/>
    <xf numFmtId="0" fontId="2" fillId="0" borderId="0" xfId="0" applyFont="1" applyBorder="1"/>
    <xf numFmtId="0" fontId="2" fillId="0" borderId="0" xfId="0" applyFont="1" applyBorder="1" applyAlignment="1">
      <alignment wrapText="1"/>
    </xf>
    <xf numFmtId="0" fontId="2" fillId="0" borderId="0" xfId="0" applyFont="1" applyBorder="1" applyAlignment="1">
      <alignment horizontal="center"/>
    </xf>
    <xf numFmtId="0" fontId="4" fillId="0" borderId="0" xfId="1"/>
    <xf numFmtId="0" fontId="10" fillId="2" borderId="6" xfId="1" applyFont="1" applyFill="1" applyBorder="1" applyAlignment="1">
      <alignment horizontal="center"/>
    </xf>
    <xf numFmtId="0" fontId="3" fillId="0" borderId="0" xfId="1" applyFont="1"/>
    <xf numFmtId="0" fontId="2" fillId="0" borderId="0" xfId="0" applyFont="1" applyFill="1" applyBorder="1"/>
    <xf numFmtId="0" fontId="2" fillId="0" borderId="0" xfId="0" applyFont="1" applyFill="1" applyBorder="1" applyAlignment="1">
      <alignment horizontal="center"/>
    </xf>
    <xf numFmtId="0" fontId="2" fillId="0" borderId="0" xfId="0" applyFont="1" applyFill="1" applyBorder="1" applyAlignment="1">
      <alignment horizontal="left"/>
    </xf>
    <xf numFmtId="165" fontId="0" fillId="0" borderId="0" xfId="0" applyNumberFormat="1" applyFont="1" applyFill="1" applyBorder="1" applyAlignment="1" applyProtection="1"/>
    <xf numFmtId="166" fontId="0" fillId="0" borderId="0" xfId="0" applyNumberFormat="1" applyFont="1" applyFill="1" applyBorder="1" applyAlignment="1" applyProtection="1"/>
    <xf numFmtId="0" fontId="6" fillId="0" borderId="0" xfId="0" applyFont="1" applyAlignment="1">
      <alignment horizontal="center" wrapText="1"/>
    </xf>
    <xf numFmtId="0" fontId="6" fillId="0" borderId="0" xfId="0" applyFont="1" applyBorder="1"/>
    <xf numFmtId="0" fontId="6" fillId="0" borderId="0" xfId="0" applyFont="1" applyFill="1" applyBorder="1"/>
    <xf numFmtId="0" fontId="5" fillId="0" borderId="0" xfId="0" applyFont="1" applyAlignment="1"/>
    <xf numFmtId="0" fontId="0" fillId="0" borderId="8" xfId="0" applyBorder="1"/>
    <xf numFmtId="0" fontId="2" fillId="0" borderId="9" xfId="0" applyFont="1" applyBorder="1" applyAlignment="1">
      <alignment vertical="center"/>
    </xf>
    <xf numFmtId="0" fontId="0" fillId="0" borderId="9" xfId="0" applyBorder="1"/>
    <xf numFmtId="0" fontId="2" fillId="0" borderId="8" xfId="0" applyFont="1" applyBorder="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2" fillId="0" borderId="1" xfId="0" applyFont="1" applyBorder="1"/>
    <xf numFmtId="0" fontId="2" fillId="0" borderId="13" xfId="0" applyFont="1" applyBorder="1"/>
    <xf numFmtId="0" fontId="2" fillId="0" borderId="14" xfId="0" applyFont="1" applyBorder="1"/>
    <xf numFmtId="0" fontId="2" fillId="0" borderId="14" xfId="0" applyFont="1" applyBorder="1" applyAlignment="1">
      <alignment horizontal="center" wrapText="1"/>
    </xf>
    <xf numFmtId="0" fontId="2" fillId="0" borderId="13" xfId="0" applyFont="1" applyBorder="1" applyAlignment="1">
      <alignment horizontal="center"/>
    </xf>
    <xf numFmtId="0" fontId="2" fillId="0" borderId="19" xfId="0" applyFont="1" applyBorder="1" applyAlignment="1">
      <alignment horizontal="center"/>
    </xf>
    <xf numFmtId="0" fontId="2" fillId="0" borderId="22" xfId="0" applyFont="1" applyBorder="1" applyAlignment="1">
      <alignment horizontal="center"/>
    </xf>
    <xf numFmtId="0" fontId="2" fillId="0" borderId="1" xfId="0" applyFont="1" applyFill="1" applyBorder="1"/>
    <xf numFmtId="0" fontId="2" fillId="0" borderId="4" xfId="0" applyFont="1" applyBorder="1"/>
    <xf numFmtId="0" fontId="2" fillId="0" borderId="27" xfId="0" applyFont="1" applyBorder="1"/>
    <xf numFmtId="167" fontId="0" fillId="0" borderId="0" xfId="0" applyNumberFormat="1"/>
    <xf numFmtId="0" fontId="6" fillId="0" borderId="9" xfId="0" applyFont="1" applyBorder="1"/>
    <xf numFmtId="0" fontId="6" fillId="0" borderId="8" xfId="0" applyFont="1" applyBorder="1"/>
    <xf numFmtId="166" fontId="5" fillId="0" borderId="0" xfId="0" applyNumberFormat="1" applyFont="1" applyBorder="1"/>
    <xf numFmtId="0" fontId="6" fillId="0" borderId="7" xfId="0" applyFont="1" applyBorder="1"/>
    <xf numFmtId="0" fontId="5" fillId="0" borderId="15" xfId="0" applyFont="1" applyFill="1" applyBorder="1"/>
    <xf numFmtId="11" fontId="0" fillId="0" borderId="0" xfId="0" applyNumberFormat="1"/>
    <xf numFmtId="0" fontId="13" fillId="0" borderId="0" xfId="0" applyFont="1"/>
    <xf numFmtId="166" fontId="13" fillId="0" borderId="0" xfId="0" applyNumberFormat="1" applyFont="1"/>
    <xf numFmtId="0" fontId="5" fillId="0" borderId="0" xfId="0" applyFont="1" applyFill="1" applyBorder="1"/>
    <xf numFmtId="0" fontId="4" fillId="0" borderId="0" xfId="1"/>
    <xf numFmtId="168" fontId="4" fillId="0" borderId="0" xfId="1" applyNumberFormat="1"/>
    <xf numFmtId="166" fontId="4" fillId="0" borderId="0" xfId="1" applyNumberFormat="1"/>
    <xf numFmtId="0" fontId="4" fillId="0" borderId="0" xfId="1" quotePrefix="1" applyAlignment="1">
      <alignment horizontal="left"/>
    </xf>
    <xf numFmtId="1" fontId="4" fillId="0" borderId="0" xfId="1" applyNumberFormat="1"/>
    <xf numFmtId="0" fontId="3" fillId="0" borderId="0" xfId="1" quotePrefix="1" applyFont="1" applyAlignment="1">
      <alignment horizontal="left"/>
    </xf>
    <xf numFmtId="0" fontId="4" fillId="0" borderId="0" xfId="1" applyAlignment="1">
      <alignment horizontal="left"/>
    </xf>
    <xf numFmtId="0" fontId="3" fillId="0" borderId="0" xfId="1" applyFont="1" applyAlignment="1">
      <alignment horizontal="right"/>
    </xf>
    <xf numFmtId="0" fontId="4" fillId="0" borderId="0" xfId="1" applyAlignment="1">
      <alignment horizontal="right"/>
    </xf>
    <xf numFmtId="1" fontId="4" fillId="0" borderId="0" xfId="1" applyNumberFormat="1" applyAlignment="1">
      <alignment horizontal="right"/>
    </xf>
    <xf numFmtId="0" fontId="4" fillId="0" borderId="0" xfId="1" applyFill="1"/>
    <xf numFmtId="1" fontId="4" fillId="0" borderId="0" xfId="1" applyNumberFormat="1" applyFill="1" applyAlignment="1">
      <alignment horizontal="right"/>
    </xf>
    <xf numFmtId="0" fontId="4" fillId="0" borderId="0" xfId="1" applyFill="1" applyAlignment="1">
      <alignment horizontal="right"/>
    </xf>
    <xf numFmtId="0" fontId="4" fillId="0" borderId="0" xfId="1" applyFont="1" applyFill="1"/>
    <xf numFmtId="0" fontId="4" fillId="0" borderId="0" xfId="1" applyFont="1"/>
    <xf numFmtId="0" fontId="0" fillId="0" borderId="0" xfId="2" quotePrefix="1" applyFont="1" applyFill="1" applyAlignment="1" applyProtection="1">
      <alignment horizontal="left"/>
    </xf>
    <xf numFmtId="0" fontId="4" fillId="0" borderId="0" xfId="1" quotePrefix="1" applyFont="1"/>
    <xf numFmtId="168" fontId="4" fillId="0" borderId="0" xfId="1" applyNumberFormat="1" applyAlignment="1">
      <alignment horizontal="right"/>
    </xf>
    <xf numFmtId="2" fontId="4" fillId="0" borderId="0" xfId="1" applyNumberFormat="1"/>
    <xf numFmtId="3" fontId="17" fillId="0" borderId="0" xfId="1" applyNumberFormat="1" applyFont="1" applyFill="1" applyAlignment="1">
      <alignment horizontal="left" vertical="top" wrapText="1" indent="1"/>
    </xf>
    <xf numFmtId="1" fontId="4" fillId="0" borderId="0" xfId="1" applyNumberFormat="1" applyFill="1"/>
    <xf numFmtId="1" fontId="4" fillId="0" borderId="0" xfId="1" applyNumberFormat="1" applyFont="1" applyFill="1"/>
    <xf numFmtId="0" fontId="4" fillId="0" borderId="0" xfId="2" quotePrefix="1" applyFont="1" applyFill="1" applyAlignment="1" applyProtection="1">
      <alignment horizontal="left"/>
    </xf>
    <xf numFmtId="0" fontId="4" fillId="0" borderId="0" xfId="1" quotePrefix="1"/>
    <xf numFmtId="166" fontId="4" fillId="0" borderId="0" xfId="1" applyNumberFormat="1" applyFill="1"/>
    <xf numFmtId="166" fontId="4" fillId="0" borderId="0" xfId="1" applyNumberFormat="1" applyAlignment="1">
      <alignment horizontal="right"/>
    </xf>
    <xf numFmtId="166" fontId="4" fillId="0" borderId="0" xfId="1" applyNumberFormat="1" applyFill="1" applyAlignment="1">
      <alignment horizontal="right"/>
    </xf>
    <xf numFmtId="169" fontId="4" fillId="0" borderId="0" xfId="1" applyNumberFormat="1" applyFill="1"/>
    <xf numFmtId="169" fontId="4" fillId="0" borderId="0" xfId="1" applyNumberFormat="1"/>
    <xf numFmtId="166" fontId="4" fillId="0" borderId="0" xfId="1" applyNumberFormat="1" applyFont="1"/>
    <xf numFmtId="0" fontId="4" fillId="0" borderId="0" xfId="1" applyNumberFormat="1"/>
    <xf numFmtId="1" fontId="0" fillId="0" borderId="0" xfId="0" applyNumberFormat="1"/>
    <xf numFmtId="1" fontId="0" fillId="0" borderId="0" xfId="0" applyNumberFormat="1" applyBorder="1"/>
    <xf numFmtId="0" fontId="2" fillId="0" borderId="7" xfId="0" applyFont="1" applyBorder="1"/>
    <xf numFmtId="2" fontId="0" fillId="0" borderId="2" xfId="0" applyNumberFormat="1" applyBorder="1"/>
    <xf numFmtId="2" fontId="0" fillId="0" borderId="3" xfId="0" applyNumberFormat="1" applyBorder="1"/>
    <xf numFmtId="2" fontId="0" fillId="0" borderId="24" xfId="0" applyNumberFormat="1" applyBorder="1"/>
    <xf numFmtId="2" fontId="0" fillId="0" borderId="4" xfId="0" applyNumberFormat="1" applyBorder="1"/>
    <xf numFmtId="2" fontId="5" fillId="0" borderId="3" xfId="0" applyNumberFormat="1" applyFont="1" applyBorder="1"/>
    <xf numFmtId="2" fontId="0" fillId="0" borderId="5" xfId="0" applyNumberFormat="1" applyBorder="1"/>
    <xf numFmtId="2" fontId="0" fillId="0" borderId="0" xfId="0" applyNumberFormat="1" applyBorder="1"/>
    <xf numFmtId="2" fontId="0" fillId="0" borderId="23" xfId="0" applyNumberFormat="1" applyBorder="1"/>
    <xf numFmtId="2" fontId="0" fillId="0" borderId="1" xfId="0" applyNumberFormat="1" applyBorder="1"/>
    <xf numFmtId="2" fontId="5" fillId="0" borderId="0" xfId="0" applyNumberFormat="1" applyFont="1" applyBorder="1"/>
    <xf numFmtId="2" fontId="0" fillId="0" borderId="28" xfId="0" applyNumberFormat="1" applyBorder="1"/>
    <xf numFmtId="2" fontId="0" fillId="0" borderId="26" xfId="0" applyNumberFormat="1" applyBorder="1"/>
    <xf numFmtId="2" fontId="0" fillId="0" borderId="29" xfId="0" applyNumberFormat="1" applyBorder="1"/>
    <xf numFmtId="2" fontId="0" fillId="0" borderId="27" xfId="0" applyNumberFormat="1" applyBorder="1"/>
    <xf numFmtId="2" fontId="5" fillId="0" borderId="26" xfId="0" applyNumberFormat="1" applyFont="1" applyBorder="1"/>
    <xf numFmtId="2" fontId="0" fillId="0" borderId="19" xfId="0" applyNumberFormat="1" applyBorder="1"/>
    <xf numFmtId="2" fontId="0" fillId="0" borderId="8" xfId="0" applyNumberFormat="1" applyBorder="1"/>
    <xf numFmtId="2" fontId="0" fillId="0" borderId="22" xfId="0" applyNumberFormat="1" applyBorder="1"/>
    <xf numFmtId="2" fontId="0" fillId="0" borderId="13" xfId="0" applyNumberFormat="1" applyBorder="1"/>
    <xf numFmtId="2" fontId="5" fillId="0" borderId="8" xfId="0" applyNumberFormat="1" applyFont="1" applyBorder="1"/>
    <xf numFmtId="2" fontId="0" fillId="0" borderId="18" xfId="0" applyNumberFormat="1" applyBorder="1"/>
    <xf numFmtId="2" fontId="0" fillId="0" borderId="9" xfId="0" applyNumberFormat="1" applyBorder="1"/>
    <xf numFmtId="2" fontId="0" fillId="0" borderId="21" xfId="0" applyNumberFormat="1" applyBorder="1"/>
    <xf numFmtId="2" fontId="0" fillId="0" borderId="14" xfId="0" applyNumberFormat="1" applyBorder="1"/>
    <xf numFmtId="2" fontId="5" fillId="0" borderId="9" xfId="0" applyNumberFormat="1" applyFont="1" applyBorder="1"/>
    <xf numFmtId="2" fontId="5" fillId="0" borderId="20" xfId="0" applyNumberFormat="1" applyFont="1" applyBorder="1"/>
    <xf numFmtId="2" fontId="5" fillId="0" borderId="7" xfId="0" applyNumberFormat="1" applyFont="1" applyBorder="1"/>
    <xf numFmtId="2" fontId="5" fillId="0" borderId="25" xfId="0" applyNumberFormat="1" applyFont="1" applyBorder="1"/>
    <xf numFmtId="2" fontId="5" fillId="0" borderId="15" xfId="0" applyNumberFormat="1" applyFont="1" applyBorder="1"/>
    <xf numFmtId="2" fontId="6" fillId="0" borderId="7" xfId="0" applyNumberFormat="1" applyFont="1" applyBorder="1"/>
    <xf numFmtId="0" fontId="5" fillId="0" borderId="10" xfId="0" applyFont="1" applyBorder="1" applyAlignment="1">
      <alignment horizontal="center"/>
    </xf>
    <xf numFmtId="0" fontId="2" fillId="0" borderId="0" xfId="0" applyFont="1" applyBorder="1" applyAlignment="1">
      <alignment horizontal="center"/>
    </xf>
    <xf numFmtId="0" fontId="18" fillId="0" borderId="11" xfId="0" applyFont="1" applyBorder="1"/>
    <xf numFmtId="0" fontId="18" fillId="0" borderId="12" xfId="0" applyFont="1" applyBorder="1"/>
    <xf numFmtId="0" fontId="19" fillId="0" borderId="10" xfId="0" applyFont="1" applyBorder="1" applyAlignment="1">
      <alignment horizontal="center"/>
    </xf>
    <xf numFmtId="0" fontId="18" fillId="0" borderId="8" xfId="0" applyFont="1" applyBorder="1"/>
    <xf numFmtId="0" fontId="18" fillId="0" borderId="13" xfId="0" applyFont="1" applyBorder="1"/>
    <xf numFmtId="0" fontId="20" fillId="0" borderId="14" xfId="0" applyFont="1" applyBorder="1" applyAlignment="1">
      <alignment horizontal="center" wrapText="1"/>
    </xf>
    <xf numFmtId="0" fontId="21" fillId="0" borderId="9" xfId="0" applyFont="1" applyBorder="1"/>
    <xf numFmtId="0" fontId="18" fillId="0" borderId="9" xfId="0" applyFont="1" applyBorder="1"/>
    <xf numFmtId="0" fontId="18" fillId="0" borderId="14" xfId="0" applyFont="1" applyBorder="1"/>
    <xf numFmtId="0" fontId="21" fillId="0" borderId="8" xfId="0" applyFont="1" applyBorder="1"/>
    <xf numFmtId="0" fontId="20" fillId="0" borderId="4" xfId="0" applyFont="1" applyBorder="1"/>
    <xf numFmtId="2" fontId="18" fillId="0" borderId="2" xfId="0" applyNumberFormat="1" applyFont="1" applyBorder="1"/>
    <xf numFmtId="2" fontId="18" fillId="0" borderId="3" xfId="0" applyNumberFormat="1" applyFont="1" applyBorder="1"/>
    <xf numFmtId="2" fontId="18" fillId="0" borderId="24" xfId="0" applyNumberFormat="1" applyFont="1" applyBorder="1"/>
    <xf numFmtId="2" fontId="18" fillId="0" borderId="4" xfId="0" applyNumberFormat="1" applyFont="1" applyBorder="1"/>
    <xf numFmtId="2" fontId="19" fillId="0" borderId="3" xfId="0" applyNumberFormat="1" applyFont="1" applyBorder="1"/>
    <xf numFmtId="0" fontId="20" fillId="0" borderId="1" xfId="0" applyFont="1" applyBorder="1"/>
    <xf numFmtId="2" fontId="18" fillId="0" borderId="5" xfId="0" applyNumberFormat="1" applyFont="1" applyBorder="1"/>
    <xf numFmtId="2" fontId="18" fillId="0" borderId="0" xfId="0" applyNumberFormat="1" applyFont="1" applyBorder="1"/>
    <xf numFmtId="2" fontId="18" fillId="0" borderId="23" xfId="0" applyNumberFormat="1" applyFont="1" applyBorder="1"/>
    <xf numFmtId="2" fontId="18" fillId="0" borderId="1" xfId="0" applyNumberFormat="1" applyFont="1" applyBorder="1"/>
    <xf numFmtId="2" fontId="19" fillId="0" borderId="0" xfId="0" applyNumberFormat="1" applyFont="1" applyBorder="1"/>
    <xf numFmtId="0" fontId="20" fillId="0" borderId="27" xfId="0" applyFont="1" applyBorder="1"/>
    <xf numFmtId="2" fontId="18" fillId="0" borderId="28" xfId="0" applyNumberFormat="1" applyFont="1" applyBorder="1"/>
    <xf numFmtId="2" fontId="18" fillId="0" borderId="26" xfId="0" applyNumberFormat="1" applyFont="1" applyBorder="1"/>
    <xf numFmtId="2" fontId="18" fillId="0" borderId="29" xfId="0" applyNumberFormat="1" applyFont="1" applyBorder="1"/>
    <xf numFmtId="2" fontId="18" fillId="0" borderId="27" xfId="0" applyNumberFormat="1" applyFont="1" applyBorder="1"/>
    <xf numFmtId="2" fontId="19" fillId="0" borderId="26" xfId="0" applyNumberFormat="1" applyFont="1" applyBorder="1"/>
    <xf numFmtId="0" fontId="20" fillId="0" borderId="1" xfId="0" applyFont="1" applyFill="1" applyBorder="1"/>
    <xf numFmtId="0" fontId="20" fillId="0" borderId="13" xfId="0" applyFont="1" applyBorder="1"/>
    <xf numFmtId="2" fontId="18" fillId="0" borderId="19" xfId="0" applyNumberFormat="1" applyFont="1" applyBorder="1"/>
    <xf numFmtId="2" fontId="18" fillId="0" borderId="8" xfId="0" applyNumberFormat="1" applyFont="1" applyBorder="1"/>
    <xf numFmtId="2" fontId="18" fillId="0" borderId="22" xfId="0" applyNumberFormat="1" applyFont="1" applyBorder="1"/>
    <xf numFmtId="2" fontId="18" fillId="0" borderId="13" xfId="0" applyNumberFormat="1" applyFont="1" applyBorder="1"/>
    <xf numFmtId="2" fontId="19" fillId="0" borderId="8" xfId="0" applyNumberFormat="1" applyFont="1" applyBorder="1"/>
    <xf numFmtId="0" fontId="20" fillId="0" borderId="9" xfId="0" applyFont="1" applyBorder="1" applyAlignment="1">
      <alignment vertical="center"/>
    </xf>
    <xf numFmtId="0" fontId="20" fillId="0" borderId="14" xfId="0" applyFont="1" applyBorder="1"/>
    <xf numFmtId="2" fontId="18" fillId="0" borderId="18" xfId="0" applyNumberFormat="1" applyFont="1" applyBorder="1"/>
    <xf numFmtId="2" fontId="18" fillId="0" borderId="9" xfId="0" applyNumberFormat="1" applyFont="1" applyBorder="1"/>
    <xf numFmtId="2" fontId="18" fillId="0" borderId="21" xfId="0" applyNumberFormat="1" applyFont="1" applyBorder="1"/>
    <xf numFmtId="2" fontId="18" fillId="0" borderId="14" xfId="0" applyNumberFormat="1" applyFont="1" applyBorder="1"/>
    <xf numFmtId="2" fontId="19" fillId="0" borderId="9" xfId="0" applyNumberFormat="1" applyFont="1" applyBorder="1"/>
    <xf numFmtId="0" fontId="21" fillId="0" borderId="7" xfId="0" applyFont="1" applyBorder="1"/>
    <xf numFmtId="0" fontId="19" fillId="0" borderId="15" xfId="0" applyFont="1" applyFill="1" applyBorder="1"/>
    <xf numFmtId="2" fontId="19" fillId="0" borderId="20" xfId="0" applyNumberFormat="1" applyFont="1" applyBorder="1"/>
    <xf numFmtId="2" fontId="19" fillId="0" borderId="7" xfId="0" applyNumberFormat="1" applyFont="1" applyBorder="1"/>
    <xf numFmtId="2" fontId="19" fillId="0" borderId="25" xfId="0" applyNumberFormat="1" applyFont="1" applyBorder="1"/>
    <xf numFmtId="2" fontId="19" fillId="0" borderId="15" xfId="0" applyNumberFormat="1" applyFont="1" applyBorder="1"/>
    <xf numFmtId="2" fontId="21" fillId="0" borderId="7" xfId="0" applyNumberFormat="1" applyFont="1" applyBorder="1"/>
    <xf numFmtId="0" fontId="20" fillId="0" borderId="19" xfId="0" applyFont="1" applyBorder="1" applyAlignment="1">
      <alignment horizontal="center" textRotation="90"/>
    </xf>
    <xf numFmtId="0" fontId="20" fillId="0" borderId="8" xfId="0" applyFont="1" applyBorder="1" applyAlignment="1">
      <alignment horizontal="center" textRotation="90"/>
    </xf>
    <xf numFmtId="0" fontId="20" fillId="0" borderId="22" xfId="0" applyFont="1" applyBorder="1" applyAlignment="1">
      <alignment horizontal="center" textRotation="90"/>
    </xf>
    <xf numFmtId="0" fontId="20" fillId="0" borderId="13" xfId="0" applyFont="1" applyBorder="1" applyAlignment="1">
      <alignment horizontal="center" textRotation="90"/>
    </xf>
    <xf numFmtId="0" fontId="2" fillId="0" borderId="0" xfId="0" applyFont="1" applyBorder="1" applyAlignment="1">
      <alignment horizontal="center"/>
    </xf>
    <xf numFmtId="0" fontId="19" fillId="0" borderId="10" xfId="0" applyFont="1" applyBorder="1" applyAlignment="1">
      <alignment horizontal="center"/>
    </xf>
    <xf numFmtId="0" fontId="20" fillId="0" borderId="3" xfId="0" applyFont="1" applyBorder="1"/>
    <xf numFmtId="0" fontId="20" fillId="0" borderId="0" xfId="0" applyFont="1" applyBorder="1"/>
    <xf numFmtId="0" fontId="20" fillId="0" borderId="26" xfId="0" applyFont="1" applyBorder="1"/>
    <xf numFmtId="0" fontId="20" fillId="0" borderId="0" xfId="0" applyFont="1" applyFill="1" applyBorder="1"/>
    <xf numFmtId="0" fontId="20" fillId="0" borderId="8" xfId="0" applyFont="1" applyBorder="1"/>
    <xf numFmtId="0" fontId="20" fillId="0" borderId="5" xfId="0" applyFont="1" applyBorder="1" applyAlignment="1">
      <alignment horizontal="center" textRotation="90"/>
    </xf>
    <xf numFmtId="0" fontId="20" fillId="0" borderId="0" xfId="0" applyFont="1" applyBorder="1" applyAlignment="1">
      <alignment horizontal="center" textRotation="90"/>
    </xf>
    <xf numFmtId="0" fontId="20" fillId="0" borderId="23" xfId="0" applyFont="1" applyBorder="1" applyAlignment="1">
      <alignment horizontal="center" textRotation="90"/>
    </xf>
    <xf numFmtId="0" fontId="20" fillId="0" borderId="1" xfId="0" applyFont="1" applyBorder="1" applyAlignment="1">
      <alignment horizontal="center" textRotation="90"/>
    </xf>
    <xf numFmtId="0" fontId="18" fillId="0" borderId="0" xfId="0" applyFont="1" applyBorder="1"/>
    <xf numFmtId="0" fontId="2" fillId="0" borderId="0" xfId="0" applyFont="1" applyBorder="1" applyAlignment="1">
      <alignment horizontal="center"/>
    </xf>
    <xf numFmtId="0" fontId="8" fillId="0" borderId="0" xfId="1" applyFont="1"/>
    <xf numFmtId="0" fontId="4" fillId="0" borderId="0" xfId="1"/>
    <xf numFmtId="0" fontId="9" fillId="0" borderId="0" xfId="1" applyFont="1"/>
    <xf numFmtId="0" fontId="12" fillId="0" borderId="0" xfId="1" applyFont="1" applyAlignment="1">
      <alignment wrapText="1"/>
    </xf>
    <xf numFmtId="0" fontId="11" fillId="0" borderId="0" xfId="1" applyFont="1" applyAlignment="1">
      <alignment wrapText="1"/>
    </xf>
    <xf numFmtId="0" fontId="4" fillId="0" borderId="0" xfId="1" applyAlignment="1">
      <alignment horizontal="left" vertical="top" wrapText="1"/>
    </xf>
    <xf numFmtId="0" fontId="4" fillId="0" borderId="0" xfId="1" applyAlignment="1">
      <alignment vertical="top" wrapText="1"/>
    </xf>
    <xf numFmtId="0" fontId="4" fillId="0" borderId="0" xfId="1" applyFont="1" applyBorder="1" applyAlignment="1">
      <alignment vertical="top" wrapText="1"/>
    </xf>
    <xf numFmtId="0" fontId="4" fillId="0" borderId="0" xfId="1" applyAlignment="1">
      <alignment horizontal="left" wrapText="1" indent="1"/>
    </xf>
    <xf numFmtId="0" fontId="4" fillId="0" borderId="0" xfId="1" applyNumberFormat="1" applyFont="1" applyAlignment="1">
      <alignment horizontal="left" wrapText="1" indent="1"/>
    </xf>
    <xf numFmtId="0" fontId="4" fillId="0" borderId="0" xfId="1" applyAlignment="1">
      <alignment horizontal="left" indent="1"/>
    </xf>
    <xf numFmtId="0" fontId="6" fillId="0" borderId="0" xfId="0" applyFont="1" applyAlignment="1">
      <alignment horizontal="left" vertical="center"/>
    </xf>
    <xf numFmtId="0" fontId="2" fillId="0" borderId="0" xfId="0" applyFont="1" applyBorder="1" applyAlignment="1">
      <alignment horizontal="center" wrapText="1"/>
    </xf>
    <xf numFmtId="0" fontId="2" fillId="0" borderId="0" xfId="0" applyFont="1" applyBorder="1" applyAlignment="1">
      <alignment horizontal="center"/>
    </xf>
    <xf numFmtId="0" fontId="20" fillId="0" borderId="0" xfId="0" applyFont="1" applyBorder="1" applyAlignment="1">
      <alignment horizontal="center" vertical="center"/>
    </xf>
    <xf numFmtId="0" fontId="20" fillId="0" borderId="8" xfId="0" applyFont="1" applyBorder="1" applyAlignment="1">
      <alignment horizontal="center" vertical="center"/>
    </xf>
    <xf numFmtId="0" fontId="20" fillId="0" borderId="18" xfId="0" applyFont="1" applyBorder="1" applyAlignment="1">
      <alignment horizontal="center" wrapText="1"/>
    </xf>
    <xf numFmtId="0" fontId="20" fillId="0" borderId="9" xfId="0" applyFont="1" applyBorder="1" applyAlignment="1">
      <alignment horizontal="center" wrapText="1"/>
    </xf>
    <xf numFmtId="0" fontId="20" fillId="0" borderId="21" xfId="0" applyFont="1" applyBorder="1" applyAlignment="1">
      <alignment horizontal="center" wrapText="1"/>
    </xf>
    <xf numFmtId="0" fontId="20" fillId="0" borderId="3" xfId="0" applyFont="1" applyBorder="1" applyAlignment="1">
      <alignment horizontal="center" vertical="center"/>
    </xf>
    <xf numFmtId="0" fontId="20" fillId="0" borderId="26" xfId="0" applyFont="1" applyBorder="1" applyAlignment="1">
      <alignment horizontal="center" vertical="center"/>
    </xf>
    <xf numFmtId="0" fontId="19" fillId="0" borderId="17" xfId="0" applyFont="1" applyBorder="1" applyAlignment="1">
      <alignment horizontal="center"/>
    </xf>
    <xf numFmtId="0" fontId="19" fillId="0" borderId="10" xfId="0" applyFont="1" applyBorder="1" applyAlignment="1">
      <alignment horizontal="center"/>
    </xf>
    <xf numFmtId="0" fontId="19" fillId="0" borderId="16" xfId="0" applyFont="1" applyBorder="1" applyAlignment="1">
      <alignment horizontal="center"/>
    </xf>
    <xf numFmtId="0" fontId="19" fillId="0" borderId="10" xfId="0" applyFont="1" applyBorder="1" applyAlignment="1">
      <alignment horizontal="center" wrapText="1"/>
    </xf>
    <xf numFmtId="0" fontId="19" fillId="0" borderId="16" xfId="0" applyFont="1" applyBorder="1" applyAlignment="1">
      <alignment horizontal="center" wrapText="1"/>
    </xf>
    <xf numFmtId="0" fontId="20" fillId="0" borderId="18" xfId="0" applyFont="1" applyBorder="1" applyAlignment="1">
      <alignment horizontal="center"/>
    </xf>
    <xf numFmtId="0" fontId="20" fillId="0" borderId="9" xfId="0" applyFont="1" applyBorder="1" applyAlignment="1">
      <alignment horizontal="center"/>
    </xf>
    <xf numFmtId="0" fontId="20" fillId="0" borderId="21" xfId="0" applyFont="1" applyBorder="1" applyAlignment="1">
      <alignment horizontal="center"/>
    </xf>
    <xf numFmtId="0" fontId="20" fillId="0" borderId="14" xfId="0" applyFont="1" applyBorder="1" applyAlignment="1">
      <alignment horizontal="center"/>
    </xf>
    <xf numFmtId="0" fontId="20" fillId="0" borderId="30" xfId="0" applyFont="1" applyBorder="1" applyAlignment="1">
      <alignment horizontal="center" vertical="center"/>
    </xf>
    <xf numFmtId="0" fontId="20" fillId="0" borderId="31" xfId="0" applyFont="1" applyBorder="1" applyAlignment="1">
      <alignment horizontal="center" vertical="center"/>
    </xf>
    <xf numFmtId="0" fontId="20" fillId="0" borderId="32" xfId="0" applyFont="1" applyBorder="1" applyAlignment="1">
      <alignment horizontal="center" vertical="center"/>
    </xf>
    <xf numFmtId="0" fontId="20" fillId="0" borderId="33" xfId="0" applyFont="1" applyBorder="1" applyAlignment="1">
      <alignment horizontal="center" vertical="center"/>
    </xf>
    <xf numFmtId="0" fontId="22" fillId="0" borderId="0" xfId="0" applyFont="1" applyAlignment="1">
      <alignment horizontal="center" vertical="center"/>
    </xf>
    <xf numFmtId="0" fontId="2" fillId="0" borderId="0" xfId="0" applyFont="1" applyBorder="1" applyAlignment="1">
      <alignment horizontal="center" vertical="center"/>
    </xf>
    <xf numFmtId="0" fontId="2" fillId="0" borderId="8" xfId="0" applyFont="1" applyBorder="1" applyAlignment="1">
      <alignment horizontal="center" vertical="center"/>
    </xf>
    <xf numFmtId="0" fontId="5" fillId="0" borderId="17" xfId="0" applyFont="1" applyBorder="1" applyAlignment="1">
      <alignment horizontal="center"/>
    </xf>
    <xf numFmtId="0" fontId="5" fillId="0" borderId="10" xfId="0" applyFont="1" applyBorder="1" applyAlignment="1">
      <alignment horizontal="center"/>
    </xf>
    <xf numFmtId="0" fontId="5" fillId="0" borderId="16" xfId="0" applyFont="1" applyBorder="1" applyAlignment="1">
      <alignment horizontal="center"/>
    </xf>
    <xf numFmtId="0" fontId="5" fillId="0" borderId="10" xfId="0" applyFont="1" applyBorder="1" applyAlignment="1">
      <alignment horizontal="center" wrapText="1"/>
    </xf>
    <xf numFmtId="0" fontId="5" fillId="0" borderId="16" xfId="0" applyFont="1" applyBorder="1" applyAlignment="1">
      <alignment horizontal="center" wrapText="1"/>
    </xf>
    <xf numFmtId="0" fontId="2" fillId="0" borderId="18" xfId="0" applyFont="1" applyBorder="1" applyAlignment="1">
      <alignment horizontal="center"/>
    </xf>
    <xf numFmtId="0" fontId="2" fillId="0" borderId="9" xfId="0" applyFont="1" applyBorder="1" applyAlignment="1">
      <alignment horizontal="center"/>
    </xf>
    <xf numFmtId="0" fontId="2" fillId="0" borderId="21" xfId="0" applyFont="1" applyBorder="1" applyAlignment="1">
      <alignment horizontal="center"/>
    </xf>
    <xf numFmtId="0" fontId="2" fillId="0" borderId="14" xfId="0" applyFont="1" applyBorder="1" applyAlignment="1">
      <alignment horizontal="center"/>
    </xf>
    <xf numFmtId="0" fontId="2" fillId="0" borderId="18" xfId="0" applyFont="1" applyBorder="1" applyAlignment="1">
      <alignment horizontal="center" wrapText="1"/>
    </xf>
    <xf numFmtId="0" fontId="2" fillId="0" borderId="9" xfId="0" applyFont="1" applyBorder="1" applyAlignment="1">
      <alignment horizontal="center" wrapText="1"/>
    </xf>
    <xf numFmtId="0" fontId="2" fillId="0" borderId="21" xfId="0" applyFont="1" applyBorder="1" applyAlignment="1">
      <alignment horizontal="center" wrapText="1"/>
    </xf>
    <xf numFmtId="0" fontId="2" fillId="0" borderId="3" xfId="0" applyFont="1" applyBorder="1" applyAlignment="1">
      <alignment horizontal="center" vertical="center"/>
    </xf>
    <xf numFmtId="0" fontId="2" fillId="0" borderId="26" xfId="0" applyFont="1" applyBorder="1" applyAlignment="1">
      <alignment horizontal="center" vertical="center"/>
    </xf>
    <xf numFmtId="0" fontId="23" fillId="0" borderId="0" xfId="0" applyFont="1" applyAlignment="1">
      <alignment horizontal="center" vertical="center"/>
    </xf>
  </cellXfs>
  <cellStyles count="4">
    <cellStyle name="Hyperlink" xfId="2" builtinId="8"/>
    <cellStyle name="Normal" xfId="0" builtinId="0"/>
    <cellStyle name="Normal 2" xfId="1"/>
    <cellStyle name="Normal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pane ySplit="6" topLeftCell="A7" activePane="bottomLeft" state="frozen"/>
      <selection pane="bottomLeft" activeCell="C6" sqref="C6:C32"/>
    </sheetView>
  </sheetViews>
  <sheetFormatPr defaultColWidth="9.125" defaultRowHeight="12.75"/>
  <cols>
    <col min="1" max="1" width="9.125" style="15"/>
    <col min="2" max="2" width="58" style="15" bestFit="1" customWidth="1"/>
    <col min="3" max="3" width="7" style="15" bestFit="1" customWidth="1"/>
    <col min="4" max="16384" width="9.125" style="15"/>
  </cols>
  <sheetData>
    <row r="1" spans="1:3" ht="18">
      <c r="A1" s="187" t="s">
        <v>102</v>
      </c>
      <c r="B1" s="188"/>
      <c r="C1" s="188"/>
    </row>
    <row r="2" spans="1:3" ht="16.5">
      <c r="A2" s="189" t="s">
        <v>103</v>
      </c>
      <c r="B2" s="188"/>
      <c r="C2" s="188"/>
    </row>
    <row r="3" spans="1:3">
      <c r="A3" s="188" t="s">
        <v>104</v>
      </c>
      <c r="B3" s="188"/>
      <c r="C3" s="188"/>
    </row>
    <row r="4" spans="1:3">
      <c r="A4" s="188" t="s">
        <v>105</v>
      </c>
      <c r="B4" s="188"/>
      <c r="C4" s="188"/>
    </row>
    <row r="6" spans="1:3">
      <c r="A6" s="16" t="s">
        <v>106</v>
      </c>
      <c r="B6" s="16" t="s">
        <v>107</v>
      </c>
      <c r="C6" s="16" t="s">
        <v>311</v>
      </c>
    </row>
    <row r="7" spans="1:3">
      <c r="A7" s="15" t="s">
        <v>108</v>
      </c>
      <c r="B7" s="17" t="s">
        <v>109</v>
      </c>
      <c r="C7" s="15">
        <v>6539.3</v>
      </c>
    </row>
    <row r="8" spans="1:3">
      <c r="A8" s="15" t="s">
        <v>110</v>
      </c>
      <c r="B8" s="17" t="s">
        <v>111</v>
      </c>
      <c r="C8" s="15">
        <v>4215.7</v>
      </c>
    </row>
    <row r="9" spans="1:3">
      <c r="A9" s="15" t="s">
        <v>112</v>
      </c>
      <c r="B9" s="15" t="s">
        <v>113</v>
      </c>
      <c r="C9" s="15">
        <v>1563.3</v>
      </c>
    </row>
    <row r="10" spans="1:3">
      <c r="A10" s="15" t="s">
        <v>114</v>
      </c>
      <c r="B10" s="15" t="s">
        <v>115</v>
      </c>
      <c r="C10" s="15">
        <v>508.1</v>
      </c>
    </row>
    <row r="11" spans="1:3">
      <c r="A11" s="15" t="s">
        <v>116</v>
      </c>
      <c r="B11" s="15" t="s">
        <v>117</v>
      </c>
      <c r="C11" s="15">
        <v>1055.2</v>
      </c>
    </row>
    <row r="12" spans="1:3">
      <c r="A12" s="15" t="s">
        <v>118</v>
      </c>
      <c r="B12" s="15" t="s">
        <v>119</v>
      </c>
      <c r="C12" s="15">
        <v>2652.4</v>
      </c>
    </row>
    <row r="13" spans="1:3">
      <c r="A13" s="15" t="s">
        <v>120</v>
      </c>
      <c r="B13" s="17" t="s">
        <v>121</v>
      </c>
      <c r="C13" s="15">
        <v>1013</v>
      </c>
    </row>
    <row r="14" spans="1:3">
      <c r="A14" s="15" t="s">
        <v>122</v>
      </c>
      <c r="B14" s="15" t="s">
        <v>123</v>
      </c>
      <c r="C14" s="15">
        <v>996.7</v>
      </c>
    </row>
    <row r="15" spans="1:3">
      <c r="A15" s="15" t="s">
        <v>124</v>
      </c>
      <c r="B15" s="15" t="s">
        <v>125</v>
      </c>
      <c r="C15" s="15">
        <v>741.9</v>
      </c>
    </row>
    <row r="16" spans="1:3">
      <c r="A16" s="15" t="s">
        <v>126</v>
      </c>
      <c r="B16" s="15" t="s">
        <v>127</v>
      </c>
      <c r="C16" s="15">
        <v>172.6</v>
      </c>
    </row>
    <row r="17" spans="1:3">
      <c r="A17" s="15" t="s">
        <v>128</v>
      </c>
      <c r="B17" s="15" t="s">
        <v>129</v>
      </c>
      <c r="C17" s="15">
        <v>381.7</v>
      </c>
    </row>
    <row r="18" spans="1:3">
      <c r="A18" s="15" t="s">
        <v>130</v>
      </c>
      <c r="B18" s="15" t="s">
        <v>131</v>
      </c>
      <c r="C18" s="15">
        <v>187.7</v>
      </c>
    </row>
    <row r="19" spans="1:3">
      <c r="A19" s="15" t="s">
        <v>132</v>
      </c>
      <c r="B19" s="15" t="s">
        <v>133</v>
      </c>
      <c r="C19" s="15">
        <v>254.7</v>
      </c>
    </row>
    <row r="20" spans="1:3">
      <c r="A20" s="15" t="s">
        <v>134</v>
      </c>
      <c r="B20" s="15" t="s">
        <v>135</v>
      </c>
      <c r="C20" s="15">
        <v>16.3</v>
      </c>
    </row>
    <row r="21" spans="1:3">
      <c r="A21" s="15" t="s">
        <v>136</v>
      </c>
      <c r="B21" s="17" t="s">
        <v>137</v>
      </c>
      <c r="C21" s="15">
        <v>-34.700000000000003</v>
      </c>
    </row>
    <row r="22" spans="1:3">
      <c r="A22" s="15" t="s">
        <v>138</v>
      </c>
      <c r="B22" s="15" t="s">
        <v>139</v>
      </c>
      <c r="C22" s="15">
        <v>633.1</v>
      </c>
    </row>
    <row r="23" spans="1:3">
      <c r="A23" s="15" t="s">
        <v>140</v>
      </c>
      <c r="B23" s="15" t="s">
        <v>141</v>
      </c>
      <c r="C23" s="15">
        <v>455.3</v>
      </c>
    </row>
    <row r="24" spans="1:3">
      <c r="A24" s="15" t="s">
        <v>142</v>
      </c>
      <c r="B24" s="15" t="s">
        <v>143</v>
      </c>
      <c r="C24" s="15">
        <v>177.7</v>
      </c>
    </row>
    <row r="25" spans="1:3">
      <c r="A25" s="15" t="s">
        <v>144</v>
      </c>
      <c r="B25" s="15" t="s">
        <v>145</v>
      </c>
      <c r="C25" s="15">
        <v>667.8</v>
      </c>
    </row>
    <row r="26" spans="1:3">
      <c r="A26" s="15" t="s">
        <v>146</v>
      </c>
      <c r="B26" s="15" t="s">
        <v>141</v>
      </c>
      <c r="C26" s="15">
        <v>544.9</v>
      </c>
    </row>
    <row r="27" spans="1:3">
      <c r="A27" s="15" t="s">
        <v>147</v>
      </c>
      <c r="B27" s="15" t="s">
        <v>143</v>
      </c>
      <c r="C27" s="15">
        <v>122.9</v>
      </c>
    </row>
    <row r="28" spans="1:3">
      <c r="A28" s="15" t="s">
        <v>148</v>
      </c>
      <c r="B28" s="17" t="s">
        <v>149</v>
      </c>
      <c r="C28" s="15">
        <v>1345.4</v>
      </c>
    </row>
    <row r="29" spans="1:3">
      <c r="A29" s="15" t="s">
        <v>150</v>
      </c>
      <c r="B29" s="15" t="s">
        <v>151</v>
      </c>
      <c r="C29" s="15">
        <v>586.6</v>
      </c>
    </row>
    <row r="30" spans="1:3">
      <c r="A30" s="15" t="s">
        <v>152</v>
      </c>
      <c r="B30" s="15" t="s">
        <v>153</v>
      </c>
      <c r="C30" s="15">
        <v>404.7</v>
      </c>
    </row>
    <row r="31" spans="1:3">
      <c r="A31" s="15" t="s">
        <v>154</v>
      </c>
      <c r="B31" s="15" t="s">
        <v>155</v>
      </c>
      <c r="C31" s="15">
        <v>181.9</v>
      </c>
    </row>
    <row r="32" spans="1:3">
      <c r="A32" s="15" t="s">
        <v>156</v>
      </c>
      <c r="B32" s="15" t="s">
        <v>157</v>
      </c>
      <c r="C32" s="15">
        <v>758.8</v>
      </c>
    </row>
  </sheetData>
  <mergeCells count="4">
    <mergeCell ref="A1:C1"/>
    <mergeCell ref="A2:C2"/>
    <mergeCell ref="A3:C3"/>
    <mergeCell ref="A4:C4"/>
  </mergeCells>
  <pageMargins left="0.75" right="0.75" top="1" bottom="1" header="0.5" footer="0.5"/>
  <pageSetup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4"/>
  <sheetViews>
    <sheetView workbookViewId="0">
      <pane ySplit="6" topLeftCell="A52" activePane="bottomLeft" state="frozen"/>
      <selection pane="bottomLeft" activeCell="C6" sqref="C6:C71"/>
    </sheetView>
  </sheetViews>
  <sheetFormatPr defaultColWidth="9.125" defaultRowHeight="12.75"/>
  <cols>
    <col min="1" max="1" width="9.125" style="15"/>
    <col min="2" max="2" width="78" style="15" bestFit="1" customWidth="1"/>
    <col min="3" max="16384" width="9.125" style="15"/>
  </cols>
  <sheetData>
    <row r="1" spans="1:3" ht="18">
      <c r="A1" s="187" t="s">
        <v>159</v>
      </c>
      <c r="B1" s="188"/>
      <c r="C1" s="188"/>
    </row>
    <row r="2" spans="1:3" ht="16.5">
      <c r="A2" s="189" t="s">
        <v>103</v>
      </c>
      <c r="B2" s="188"/>
      <c r="C2" s="188"/>
    </row>
    <row r="3" spans="1:3">
      <c r="A3" s="188" t="s">
        <v>104</v>
      </c>
      <c r="B3" s="188"/>
      <c r="C3" s="188"/>
    </row>
    <row r="4" spans="1:3">
      <c r="A4" s="188" t="s">
        <v>105</v>
      </c>
      <c r="B4" s="188"/>
      <c r="C4" s="188"/>
    </row>
    <row r="6" spans="1:3">
      <c r="A6" s="16" t="s">
        <v>106</v>
      </c>
      <c r="B6" s="16" t="s">
        <v>107</v>
      </c>
      <c r="C6" s="16" t="s">
        <v>311</v>
      </c>
    </row>
    <row r="7" spans="1:3">
      <c r="A7" s="15" t="s">
        <v>108</v>
      </c>
      <c r="B7" s="17" t="s">
        <v>160</v>
      </c>
      <c r="C7" s="15">
        <v>1152.7</v>
      </c>
    </row>
    <row r="8" spans="1:3">
      <c r="A8" s="15" t="s">
        <v>110</v>
      </c>
      <c r="B8" s="17" t="s">
        <v>161</v>
      </c>
      <c r="C8" s="15">
        <v>192.9</v>
      </c>
    </row>
    <row r="9" spans="1:3">
      <c r="A9" s="15" t="s">
        <v>112</v>
      </c>
      <c r="B9" s="15" t="s">
        <v>162</v>
      </c>
      <c r="C9" s="15">
        <v>563.1</v>
      </c>
    </row>
    <row r="10" spans="1:3">
      <c r="A10" s="15" t="s">
        <v>114</v>
      </c>
      <c r="B10" s="15" t="s">
        <v>163</v>
      </c>
      <c r="C10" s="15">
        <v>137.1</v>
      </c>
    </row>
    <row r="11" spans="1:3">
      <c r="A11" s="15" t="s">
        <v>116</v>
      </c>
      <c r="B11" s="15" t="s">
        <v>164</v>
      </c>
      <c r="C11" s="15">
        <v>124.4</v>
      </c>
    </row>
    <row r="12" spans="1:3">
      <c r="A12" s="15" t="s">
        <v>118</v>
      </c>
      <c r="B12" s="15" t="s">
        <v>165</v>
      </c>
      <c r="C12" s="15">
        <v>-2.8</v>
      </c>
    </row>
    <row r="13" spans="1:3">
      <c r="A13" s="15" t="s">
        <v>120</v>
      </c>
      <c r="B13" s="15" t="s">
        <v>166</v>
      </c>
      <c r="C13" s="15">
        <v>15.5</v>
      </c>
    </row>
    <row r="14" spans="1:3">
      <c r="A14" s="15" t="s">
        <v>122</v>
      </c>
      <c r="B14" s="15" t="s">
        <v>167</v>
      </c>
      <c r="C14" s="15">
        <v>426</v>
      </c>
    </row>
    <row r="15" spans="1:3">
      <c r="A15" s="15" t="s">
        <v>124</v>
      </c>
      <c r="B15" s="15" t="s">
        <v>168</v>
      </c>
      <c r="C15" s="15">
        <v>426</v>
      </c>
    </row>
    <row r="16" spans="1:3">
      <c r="A16" s="15" t="s">
        <v>126</v>
      </c>
      <c r="B16" s="15" t="s">
        <v>169</v>
      </c>
      <c r="C16" s="15">
        <v>-370.2</v>
      </c>
    </row>
    <row r="17" spans="1:3">
      <c r="A17" s="15" t="s">
        <v>128</v>
      </c>
      <c r="B17" s="15" t="s">
        <v>170</v>
      </c>
      <c r="C17" s="15">
        <v>-332.7</v>
      </c>
    </row>
    <row r="18" spans="1:3">
      <c r="A18" s="15" t="s">
        <v>130</v>
      </c>
      <c r="B18" s="15" t="s">
        <v>171</v>
      </c>
      <c r="C18" s="15">
        <v>-37.5</v>
      </c>
    </row>
    <row r="19" spans="1:3">
      <c r="A19" s="15" t="s">
        <v>132</v>
      </c>
      <c r="B19" s="17" t="s">
        <v>172</v>
      </c>
      <c r="C19" s="15">
        <v>959.7</v>
      </c>
    </row>
    <row r="20" spans="1:3">
      <c r="A20" s="15" t="s">
        <v>134</v>
      </c>
      <c r="B20" s="15" t="s">
        <v>173</v>
      </c>
      <c r="C20" s="15">
        <v>744.2</v>
      </c>
    </row>
    <row r="21" spans="1:3">
      <c r="A21" s="15" t="s">
        <v>136</v>
      </c>
      <c r="B21" s="15" t="s">
        <v>163</v>
      </c>
      <c r="C21" s="15">
        <v>607.9</v>
      </c>
    </row>
    <row r="22" spans="1:3">
      <c r="A22" s="15" t="s">
        <v>138</v>
      </c>
      <c r="B22" s="15" t="s">
        <v>167</v>
      </c>
      <c r="C22" s="15">
        <v>136.30000000000001</v>
      </c>
    </row>
    <row r="23" spans="1:3">
      <c r="A23" s="15" t="s">
        <v>140</v>
      </c>
      <c r="B23" s="15" t="s">
        <v>174</v>
      </c>
      <c r="C23" s="15">
        <v>215.6</v>
      </c>
    </row>
    <row r="24" spans="1:3">
      <c r="A24" s="15" t="s">
        <v>142</v>
      </c>
      <c r="B24" s="15" t="s">
        <v>170</v>
      </c>
      <c r="C24" s="15">
        <v>141.4</v>
      </c>
    </row>
    <row r="25" spans="1:3">
      <c r="A25" s="15" t="s">
        <v>144</v>
      </c>
      <c r="B25" s="15" t="s">
        <v>171</v>
      </c>
      <c r="C25" s="15">
        <v>74.099999999999994</v>
      </c>
    </row>
    <row r="26" spans="1:3">
      <c r="A26" s="15" t="s">
        <v>146</v>
      </c>
      <c r="B26" s="17" t="s">
        <v>175</v>
      </c>
      <c r="C26" s="15">
        <v>1263.5999999999999</v>
      </c>
    </row>
    <row r="27" spans="1:3">
      <c r="A27" s="15" t="s">
        <v>147</v>
      </c>
      <c r="B27" s="17" t="s">
        <v>176</v>
      </c>
      <c r="C27" s="15">
        <v>1309.0999999999999</v>
      </c>
    </row>
    <row r="28" spans="1:3">
      <c r="A28" s="15" t="s">
        <v>148</v>
      </c>
      <c r="B28" s="15" t="s">
        <v>177</v>
      </c>
      <c r="C28" s="15">
        <v>1013</v>
      </c>
    </row>
    <row r="29" spans="1:3">
      <c r="A29" s="15" t="s">
        <v>150</v>
      </c>
      <c r="B29" s="15" t="s">
        <v>163</v>
      </c>
      <c r="C29" s="15">
        <v>747.7</v>
      </c>
    </row>
    <row r="30" spans="1:3">
      <c r="A30" s="15" t="s">
        <v>152</v>
      </c>
      <c r="B30" s="15" t="s">
        <v>167</v>
      </c>
      <c r="C30" s="15">
        <v>265.3</v>
      </c>
    </row>
    <row r="31" spans="1:3">
      <c r="A31" s="15" t="s">
        <v>154</v>
      </c>
      <c r="B31" s="15" t="s">
        <v>178</v>
      </c>
      <c r="C31" s="15">
        <v>296.10000000000002</v>
      </c>
    </row>
    <row r="32" spans="1:3">
      <c r="A32" s="15" t="s">
        <v>156</v>
      </c>
      <c r="B32" s="15" t="s">
        <v>170</v>
      </c>
      <c r="C32" s="15">
        <v>156.4</v>
      </c>
    </row>
    <row r="33" spans="1:3">
      <c r="A33" s="15" t="s">
        <v>179</v>
      </c>
      <c r="B33" s="15" t="s">
        <v>171</v>
      </c>
      <c r="C33" s="15">
        <v>139.69999999999999</v>
      </c>
    </row>
    <row r="34" spans="1:3">
      <c r="A34" s="15" t="s">
        <v>180</v>
      </c>
      <c r="B34" s="17" t="s">
        <v>181</v>
      </c>
      <c r="C34" s="15">
        <v>-1.3</v>
      </c>
    </row>
    <row r="35" spans="1:3">
      <c r="A35" s="15" t="s">
        <v>182</v>
      </c>
      <c r="B35" s="15" t="s">
        <v>173</v>
      </c>
      <c r="C35" s="15">
        <v>8.3000000000000007</v>
      </c>
    </row>
    <row r="36" spans="1:3">
      <c r="A36" s="15" t="s">
        <v>183</v>
      </c>
      <c r="B36" s="15" t="s">
        <v>163</v>
      </c>
      <c r="C36" s="15">
        <v>6.8</v>
      </c>
    </row>
    <row r="37" spans="1:3">
      <c r="A37" s="15" t="s">
        <v>184</v>
      </c>
      <c r="B37" s="15" t="s">
        <v>167</v>
      </c>
      <c r="C37" s="15">
        <v>1.4</v>
      </c>
    </row>
    <row r="38" spans="1:3">
      <c r="A38" s="15" t="s">
        <v>185</v>
      </c>
      <c r="B38" s="15" t="s">
        <v>174</v>
      </c>
      <c r="C38" s="15">
        <v>-9.5</v>
      </c>
    </row>
    <row r="39" spans="1:3">
      <c r="A39" s="15" t="s">
        <v>186</v>
      </c>
      <c r="B39" s="15" t="s">
        <v>170</v>
      </c>
      <c r="C39" s="15">
        <v>11.5</v>
      </c>
    </row>
    <row r="40" spans="1:3">
      <c r="A40" s="15" t="s">
        <v>187</v>
      </c>
      <c r="B40" s="15" t="s">
        <v>171</v>
      </c>
      <c r="C40" s="15">
        <v>-21</v>
      </c>
    </row>
    <row r="41" spans="1:3">
      <c r="A41" s="15" t="s">
        <v>188</v>
      </c>
      <c r="B41" s="17" t="s">
        <v>189</v>
      </c>
      <c r="C41" s="15">
        <v>-44.3</v>
      </c>
    </row>
    <row r="42" spans="1:3">
      <c r="A42" s="15" t="s">
        <v>190</v>
      </c>
      <c r="B42" s="15" t="s">
        <v>173</v>
      </c>
      <c r="C42" s="15">
        <v>396.9</v>
      </c>
    </row>
    <row r="43" spans="1:3">
      <c r="A43" s="15" t="s">
        <v>191</v>
      </c>
      <c r="B43" s="15" t="s">
        <v>163</v>
      </c>
      <c r="C43" s="15">
        <v>101.3</v>
      </c>
    </row>
    <row r="44" spans="1:3">
      <c r="A44" s="15" t="s">
        <v>192</v>
      </c>
      <c r="B44" s="15" t="s">
        <v>167</v>
      </c>
      <c r="C44" s="15">
        <v>295.60000000000002</v>
      </c>
    </row>
    <row r="45" spans="1:3">
      <c r="A45" s="15" t="s">
        <v>193</v>
      </c>
      <c r="B45" s="15" t="s">
        <v>174</v>
      </c>
      <c r="C45" s="15">
        <v>-441.2</v>
      </c>
    </row>
    <row r="46" spans="1:3">
      <c r="A46" s="15" t="s">
        <v>194</v>
      </c>
      <c r="B46" s="15" t="s">
        <v>170</v>
      </c>
      <c r="C46" s="15">
        <v>-359.1</v>
      </c>
    </row>
    <row r="47" spans="1:3">
      <c r="A47" s="15" t="s">
        <v>195</v>
      </c>
      <c r="B47" s="15" t="s">
        <v>171</v>
      </c>
      <c r="C47" s="15">
        <v>-82</v>
      </c>
    </row>
    <row r="48" spans="1:3">
      <c r="A48" s="15" t="s">
        <v>196</v>
      </c>
      <c r="B48" s="17" t="s">
        <v>197</v>
      </c>
      <c r="C48" s="15">
        <v>110.9</v>
      </c>
    </row>
    <row r="49" spans="1:3">
      <c r="A49" s="15" t="s">
        <v>107</v>
      </c>
      <c r="B49" s="17" t="s">
        <v>198</v>
      </c>
      <c r="C49" s="15" t="s">
        <v>199</v>
      </c>
    </row>
    <row r="50" spans="1:3">
      <c r="A50" s="15" t="s">
        <v>200</v>
      </c>
      <c r="B50" s="15" t="s">
        <v>201</v>
      </c>
      <c r="C50" s="15">
        <v>1307.3</v>
      </c>
    </row>
    <row r="51" spans="1:3">
      <c r="A51" s="15" t="s">
        <v>202</v>
      </c>
      <c r="B51" s="15" t="s">
        <v>163</v>
      </c>
      <c r="C51" s="15">
        <v>745</v>
      </c>
    </row>
    <row r="52" spans="1:3">
      <c r="A52" s="15" t="s">
        <v>203</v>
      </c>
      <c r="B52" s="15" t="s">
        <v>167</v>
      </c>
      <c r="C52" s="15">
        <v>562.29999999999995</v>
      </c>
    </row>
    <row r="53" spans="1:3">
      <c r="A53" s="15" t="s">
        <v>204</v>
      </c>
      <c r="B53" s="15" t="s">
        <v>205</v>
      </c>
      <c r="C53" s="15">
        <v>-154.6</v>
      </c>
    </row>
    <row r="54" spans="1:3">
      <c r="A54" s="15" t="s">
        <v>206</v>
      </c>
      <c r="B54" s="15" t="s">
        <v>170</v>
      </c>
      <c r="C54" s="15">
        <v>-191.2</v>
      </c>
    </row>
    <row r="55" spans="1:3">
      <c r="A55" s="15" t="s">
        <v>207</v>
      </c>
      <c r="B55" s="15" t="s">
        <v>171</v>
      </c>
      <c r="C55" s="15">
        <v>36.6</v>
      </c>
    </row>
    <row r="56" spans="1:3">
      <c r="A56" s="15" t="s">
        <v>208</v>
      </c>
      <c r="B56" s="15" t="s">
        <v>209</v>
      </c>
      <c r="C56" s="15">
        <v>349.4</v>
      </c>
    </row>
    <row r="57" spans="1:3">
      <c r="A57" s="15" t="s">
        <v>210</v>
      </c>
      <c r="B57" s="15" t="s">
        <v>211</v>
      </c>
      <c r="C57" s="15">
        <v>268.89999999999998</v>
      </c>
    </row>
    <row r="58" spans="1:3">
      <c r="A58" s="15" t="s">
        <v>212</v>
      </c>
      <c r="B58" s="15" t="s">
        <v>213</v>
      </c>
      <c r="C58" s="15">
        <v>139.80000000000001</v>
      </c>
    </row>
    <row r="59" spans="1:3">
      <c r="A59" s="15" t="s">
        <v>214</v>
      </c>
      <c r="B59" s="15" t="s">
        <v>215</v>
      </c>
      <c r="C59" s="15">
        <v>129</v>
      </c>
    </row>
    <row r="60" spans="1:3">
      <c r="A60" s="15" t="s">
        <v>216</v>
      </c>
      <c r="B60" s="15" t="s">
        <v>217</v>
      </c>
      <c r="C60" s="15">
        <v>80.599999999999994</v>
      </c>
    </row>
    <row r="61" spans="1:3">
      <c r="A61" s="15" t="s">
        <v>218</v>
      </c>
      <c r="B61" s="15" t="s">
        <v>219</v>
      </c>
      <c r="C61" s="15">
        <v>15</v>
      </c>
    </row>
    <row r="62" spans="1:3">
      <c r="A62" s="15" t="s">
        <v>220</v>
      </c>
      <c r="B62" s="15" t="s">
        <v>221</v>
      </c>
      <c r="C62" s="15">
        <v>65.599999999999994</v>
      </c>
    </row>
    <row r="63" spans="1:3">
      <c r="A63" s="15" t="s">
        <v>222</v>
      </c>
      <c r="B63" s="17" t="s">
        <v>223</v>
      </c>
      <c r="C63" s="15">
        <v>17.8</v>
      </c>
    </row>
    <row r="64" spans="1:3">
      <c r="A64" s="15" t="s">
        <v>224</v>
      </c>
      <c r="B64" s="17" t="s">
        <v>225</v>
      </c>
      <c r="C64" s="15">
        <v>3</v>
      </c>
    </row>
    <row r="65" spans="1:3">
      <c r="A65" s="15" t="s">
        <v>226</v>
      </c>
      <c r="B65" s="17" t="s">
        <v>227</v>
      </c>
      <c r="C65" s="15">
        <v>17.899999999999999</v>
      </c>
    </row>
    <row r="66" spans="1:3">
      <c r="A66" s="15" t="s">
        <v>228</v>
      </c>
      <c r="B66" s="15" t="s">
        <v>211</v>
      </c>
      <c r="C66" s="15">
        <v>17.899999999999999</v>
      </c>
    </row>
    <row r="67" spans="1:3">
      <c r="A67" s="15" t="s">
        <v>229</v>
      </c>
      <c r="B67" s="15" t="s">
        <v>213</v>
      </c>
      <c r="C67" s="15">
        <v>8.1999999999999993</v>
      </c>
    </row>
    <row r="68" spans="1:3">
      <c r="A68" s="15" t="s">
        <v>230</v>
      </c>
      <c r="B68" s="15" t="s">
        <v>215</v>
      </c>
      <c r="C68" s="15">
        <v>9.8000000000000007</v>
      </c>
    </row>
    <row r="69" spans="1:3">
      <c r="A69" s="15" t="s">
        <v>231</v>
      </c>
      <c r="B69" s="15" t="s">
        <v>217</v>
      </c>
      <c r="C69" s="15">
        <v>0</v>
      </c>
    </row>
    <row r="70" spans="1:3">
      <c r="A70" s="15" t="s">
        <v>232</v>
      </c>
      <c r="B70" s="15" t="s">
        <v>219</v>
      </c>
      <c r="C70" s="15">
        <v>0</v>
      </c>
    </row>
    <row r="71" spans="1:3">
      <c r="A71" s="15" t="s">
        <v>233</v>
      </c>
      <c r="B71" s="15" t="s">
        <v>221</v>
      </c>
      <c r="C71" s="15">
        <v>0</v>
      </c>
    </row>
    <row r="72" spans="1:3" ht="14.25">
      <c r="A72" s="191" t="s">
        <v>234</v>
      </c>
      <c r="B72" s="188"/>
      <c r="C72" s="188"/>
    </row>
    <row r="73" spans="1:3">
      <c r="A73" s="190" t="s">
        <v>235</v>
      </c>
      <c r="B73" s="188"/>
      <c r="C73" s="188"/>
    </row>
    <row r="74" spans="1:3">
      <c r="A74" s="190" t="s">
        <v>236</v>
      </c>
      <c r="B74" s="188"/>
      <c r="C74" s="188"/>
    </row>
  </sheetData>
  <mergeCells count="7">
    <mergeCell ref="A74:C74"/>
    <mergeCell ref="A1:C1"/>
    <mergeCell ref="A2:C2"/>
    <mergeCell ref="A3:C3"/>
    <mergeCell ref="A4:C4"/>
    <mergeCell ref="A72:C72"/>
    <mergeCell ref="A73:C73"/>
  </mergeCells>
  <pageMargins left="0.75" right="0.75" top="1" bottom="1" header="0.5" footer="0.5"/>
  <pageSetup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K1029"/>
  <sheetViews>
    <sheetView workbookViewId="0">
      <pane xSplit="2" ySplit="1" topLeftCell="C66" activePane="bottomRight" state="frozen"/>
      <selection sqref="A1:C1"/>
      <selection pane="topRight" sqref="A1:C1"/>
      <selection pane="bottomLeft" sqref="A1:C1"/>
      <selection pane="bottomRight" activeCell="C93" sqref="C93"/>
    </sheetView>
  </sheetViews>
  <sheetFormatPr defaultRowHeight="12.75"/>
  <cols>
    <col min="1" max="1" width="8.375" style="55" customWidth="1"/>
    <col min="2" max="2" width="62.125" style="55" customWidth="1"/>
    <col min="3" max="3" width="12.25" style="55" customWidth="1"/>
    <col min="4" max="43" width="9.75" style="55" customWidth="1"/>
    <col min="44" max="256" width="9.125" style="55"/>
    <col min="257" max="257" width="8.375" style="55" customWidth="1"/>
    <col min="258" max="258" width="62.125" style="55" customWidth="1"/>
    <col min="259" max="259" width="12.25" style="55" customWidth="1"/>
    <col min="260" max="299" width="9.75" style="55" customWidth="1"/>
    <col min="300" max="512" width="9.125" style="55"/>
    <col min="513" max="513" width="8.375" style="55" customWidth="1"/>
    <col min="514" max="514" width="62.125" style="55" customWidth="1"/>
    <col min="515" max="515" width="12.25" style="55" customWidth="1"/>
    <col min="516" max="555" width="9.75" style="55" customWidth="1"/>
    <col min="556" max="768" width="9.125" style="55"/>
    <col min="769" max="769" width="8.375" style="55" customWidth="1"/>
    <col min="770" max="770" width="62.125" style="55" customWidth="1"/>
    <col min="771" max="771" width="12.25" style="55" customWidth="1"/>
    <col min="772" max="811" width="9.75" style="55" customWidth="1"/>
    <col min="812" max="1024" width="9.125" style="55"/>
    <col min="1025" max="1025" width="8.375" style="55" customWidth="1"/>
    <col min="1026" max="1026" width="62.125" style="55" customWidth="1"/>
    <col min="1027" max="1027" width="12.25" style="55" customWidth="1"/>
    <col min="1028" max="1067" width="9.75" style="55" customWidth="1"/>
    <col min="1068" max="1280" width="9.125" style="55"/>
    <col min="1281" max="1281" width="8.375" style="55" customWidth="1"/>
    <col min="1282" max="1282" width="62.125" style="55" customWidth="1"/>
    <col min="1283" max="1283" width="12.25" style="55" customWidth="1"/>
    <col min="1284" max="1323" width="9.75" style="55" customWidth="1"/>
    <col min="1324" max="1536" width="9.125" style="55"/>
    <col min="1537" max="1537" width="8.375" style="55" customWidth="1"/>
    <col min="1538" max="1538" width="62.125" style="55" customWidth="1"/>
    <col min="1539" max="1539" width="12.25" style="55" customWidth="1"/>
    <col min="1540" max="1579" width="9.75" style="55" customWidth="1"/>
    <col min="1580" max="1792" width="9.125" style="55"/>
    <col min="1793" max="1793" width="8.375" style="55" customWidth="1"/>
    <col min="1794" max="1794" width="62.125" style="55" customWidth="1"/>
    <col min="1795" max="1795" width="12.25" style="55" customWidth="1"/>
    <col min="1796" max="1835" width="9.75" style="55" customWidth="1"/>
    <col min="1836" max="2048" width="9.125" style="55"/>
    <col min="2049" max="2049" width="8.375" style="55" customWidth="1"/>
    <col min="2050" max="2050" width="62.125" style="55" customWidth="1"/>
    <col min="2051" max="2051" width="12.25" style="55" customWidth="1"/>
    <col min="2052" max="2091" width="9.75" style="55" customWidth="1"/>
    <col min="2092" max="2304" width="9.125" style="55"/>
    <col min="2305" max="2305" width="8.375" style="55" customWidth="1"/>
    <col min="2306" max="2306" width="62.125" style="55" customWidth="1"/>
    <col min="2307" max="2307" width="12.25" style="55" customWidth="1"/>
    <col min="2308" max="2347" width="9.75" style="55" customWidth="1"/>
    <col min="2348" max="2560" width="9.125" style="55"/>
    <col min="2561" max="2561" width="8.375" style="55" customWidth="1"/>
    <col min="2562" max="2562" width="62.125" style="55" customWidth="1"/>
    <col min="2563" max="2563" width="12.25" style="55" customWidth="1"/>
    <col min="2564" max="2603" width="9.75" style="55" customWidth="1"/>
    <col min="2604" max="2816" width="9.125" style="55"/>
    <col min="2817" max="2817" width="8.375" style="55" customWidth="1"/>
    <col min="2818" max="2818" width="62.125" style="55" customWidth="1"/>
    <col min="2819" max="2819" width="12.25" style="55" customWidth="1"/>
    <col min="2820" max="2859" width="9.75" style="55" customWidth="1"/>
    <col min="2860" max="3072" width="9.125" style="55"/>
    <col min="3073" max="3073" width="8.375" style="55" customWidth="1"/>
    <col min="3074" max="3074" width="62.125" style="55" customWidth="1"/>
    <col min="3075" max="3075" width="12.25" style="55" customWidth="1"/>
    <col min="3076" max="3115" width="9.75" style="55" customWidth="1"/>
    <col min="3116" max="3328" width="9.125" style="55"/>
    <col min="3329" max="3329" width="8.375" style="55" customWidth="1"/>
    <col min="3330" max="3330" width="62.125" style="55" customWidth="1"/>
    <col min="3331" max="3331" width="12.25" style="55" customWidth="1"/>
    <col min="3332" max="3371" width="9.75" style="55" customWidth="1"/>
    <col min="3372" max="3584" width="9.125" style="55"/>
    <col min="3585" max="3585" width="8.375" style="55" customWidth="1"/>
    <col min="3586" max="3586" width="62.125" style="55" customWidth="1"/>
    <col min="3587" max="3587" width="12.25" style="55" customWidth="1"/>
    <col min="3588" max="3627" width="9.75" style="55" customWidth="1"/>
    <col min="3628" max="3840" width="9.125" style="55"/>
    <col min="3841" max="3841" width="8.375" style="55" customWidth="1"/>
    <col min="3842" max="3842" width="62.125" style="55" customWidth="1"/>
    <col min="3843" max="3843" width="12.25" style="55" customWidth="1"/>
    <col min="3844" max="3883" width="9.75" style="55" customWidth="1"/>
    <col min="3884" max="4096" width="9.125" style="55"/>
    <col min="4097" max="4097" width="8.375" style="55" customWidth="1"/>
    <col min="4098" max="4098" width="62.125" style="55" customWidth="1"/>
    <col min="4099" max="4099" width="12.25" style="55" customWidth="1"/>
    <col min="4100" max="4139" width="9.75" style="55" customWidth="1"/>
    <col min="4140" max="4352" width="9.125" style="55"/>
    <col min="4353" max="4353" width="8.375" style="55" customWidth="1"/>
    <col min="4354" max="4354" width="62.125" style="55" customWidth="1"/>
    <col min="4355" max="4355" width="12.25" style="55" customWidth="1"/>
    <col min="4356" max="4395" width="9.75" style="55" customWidth="1"/>
    <col min="4396" max="4608" width="9.125" style="55"/>
    <col min="4609" max="4609" width="8.375" style="55" customWidth="1"/>
    <col min="4610" max="4610" width="62.125" style="55" customWidth="1"/>
    <col min="4611" max="4611" width="12.25" style="55" customWidth="1"/>
    <col min="4612" max="4651" width="9.75" style="55" customWidth="1"/>
    <col min="4652" max="4864" width="9.125" style="55"/>
    <col min="4865" max="4865" width="8.375" style="55" customWidth="1"/>
    <col min="4866" max="4866" width="62.125" style="55" customWidth="1"/>
    <col min="4867" max="4867" width="12.25" style="55" customWidth="1"/>
    <col min="4868" max="4907" width="9.75" style="55" customWidth="1"/>
    <col min="4908" max="5120" width="9.125" style="55"/>
    <col min="5121" max="5121" width="8.375" style="55" customWidth="1"/>
    <col min="5122" max="5122" width="62.125" style="55" customWidth="1"/>
    <col min="5123" max="5123" width="12.25" style="55" customWidth="1"/>
    <col min="5124" max="5163" width="9.75" style="55" customWidth="1"/>
    <col min="5164" max="5376" width="9.125" style="55"/>
    <col min="5377" max="5377" width="8.375" style="55" customWidth="1"/>
    <col min="5378" max="5378" width="62.125" style="55" customWidth="1"/>
    <col min="5379" max="5379" width="12.25" style="55" customWidth="1"/>
    <col min="5380" max="5419" width="9.75" style="55" customWidth="1"/>
    <col min="5420" max="5632" width="9.125" style="55"/>
    <col min="5633" max="5633" width="8.375" style="55" customWidth="1"/>
    <col min="5634" max="5634" width="62.125" style="55" customWidth="1"/>
    <col min="5635" max="5635" width="12.25" style="55" customWidth="1"/>
    <col min="5636" max="5675" width="9.75" style="55" customWidth="1"/>
    <col min="5676" max="5888" width="9.125" style="55"/>
    <col min="5889" max="5889" width="8.375" style="55" customWidth="1"/>
    <col min="5890" max="5890" width="62.125" style="55" customWidth="1"/>
    <col min="5891" max="5891" width="12.25" style="55" customWidth="1"/>
    <col min="5892" max="5931" width="9.75" style="55" customWidth="1"/>
    <col min="5932" max="6144" width="9.125" style="55"/>
    <col min="6145" max="6145" width="8.375" style="55" customWidth="1"/>
    <col min="6146" max="6146" width="62.125" style="55" customWidth="1"/>
    <col min="6147" max="6147" width="12.25" style="55" customWidth="1"/>
    <col min="6148" max="6187" width="9.75" style="55" customWidth="1"/>
    <col min="6188" max="6400" width="9.125" style="55"/>
    <col min="6401" max="6401" width="8.375" style="55" customWidth="1"/>
    <col min="6402" max="6402" width="62.125" style="55" customWidth="1"/>
    <col min="6403" max="6403" width="12.25" style="55" customWidth="1"/>
    <col min="6404" max="6443" width="9.75" style="55" customWidth="1"/>
    <col min="6444" max="6656" width="9.125" style="55"/>
    <col min="6657" max="6657" width="8.375" style="55" customWidth="1"/>
    <col min="6658" max="6658" width="62.125" style="55" customWidth="1"/>
    <col min="6659" max="6659" width="12.25" style="55" customWidth="1"/>
    <col min="6660" max="6699" width="9.75" style="55" customWidth="1"/>
    <col min="6700" max="6912" width="9.125" style="55"/>
    <col min="6913" max="6913" width="8.375" style="55" customWidth="1"/>
    <col min="6914" max="6914" width="62.125" style="55" customWidth="1"/>
    <col min="6915" max="6915" width="12.25" style="55" customWidth="1"/>
    <col min="6916" max="6955" width="9.75" style="55" customWidth="1"/>
    <col min="6956" max="7168" width="9.125" style="55"/>
    <col min="7169" max="7169" width="8.375" style="55" customWidth="1"/>
    <col min="7170" max="7170" width="62.125" style="55" customWidth="1"/>
    <col min="7171" max="7171" width="12.25" style="55" customWidth="1"/>
    <col min="7172" max="7211" width="9.75" style="55" customWidth="1"/>
    <col min="7212" max="7424" width="9.125" style="55"/>
    <col min="7425" max="7425" width="8.375" style="55" customWidth="1"/>
    <col min="7426" max="7426" width="62.125" style="55" customWidth="1"/>
    <col min="7427" max="7427" width="12.25" style="55" customWidth="1"/>
    <col min="7428" max="7467" width="9.75" style="55" customWidth="1"/>
    <col min="7468" max="7680" width="9.125" style="55"/>
    <col min="7681" max="7681" width="8.375" style="55" customWidth="1"/>
    <col min="7682" max="7682" width="62.125" style="55" customWidth="1"/>
    <col min="7683" max="7683" width="12.25" style="55" customWidth="1"/>
    <col min="7684" max="7723" width="9.75" style="55" customWidth="1"/>
    <col min="7724" max="7936" width="9.125" style="55"/>
    <col min="7937" max="7937" width="8.375" style="55" customWidth="1"/>
    <col min="7938" max="7938" width="62.125" style="55" customWidth="1"/>
    <col min="7939" max="7939" width="12.25" style="55" customWidth="1"/>
    <col min="7940" max="7979" width="9.75" style="55" customWidth="1"/>
    <col min="7980" max="8192" width="9.125" style="55"/>
    <col min="8193" max="8193" width="8.375" style="55" customWidth="1"/>
    <col min="8194" max="8194" width="62.125" style="55" customWidth="1"/>
    <col min="8195" max="8195" width="12.25" style="55" customWidth="1"/>
    <col min="8196" max="8235" width="9.75" style="55" customWidth="1"/>
    <col min="8236" max="8448" width="9.125" style="55"/>
    <col min="8449" max="8449" width="8.375" style="55" customWidth="1"/>
    <col min="8450" max="8450" width="62.125" style="55" customWidth="1"/>
    <col min="8451" max="8451" width="12.25" style="55" customWidth="1"/>
    <col min="8452" max="8491" width="9.75" style="55" customWidth="1"/>
    <col min="8492" max="8704" width="9.125" style="55"/>
    <col min="8705" max="8705" width="8.375" style="55" customWidth="1"/>
    <col min="8706" max="8706" width="62.125" style="55" customWidth="1"/>
    <col min="8707" max="8707" width="12.25" style="55" customWidth="1"/>
    <col min="8708" max="8747" width="9.75" style="55" customWidth="1"/>
    <col min="8748" max="8960" width="9.125" style="55"/>
    <col min="8961" max="8961" width="8.375" style="55" customWidth="1"/>
    <col min="8962" max="8962" width="62.125" style="55" customWidth="1"/>
    <col min="8963" max="8963" width="12.25" style="55" customWidth="1"/>
    <col min="8964" max="9003" width="9.75" style="55" customWidth="1"/>
    <col min="9004" max="9216" width="9.125" style="55"/>
    <col min="9217" max="9217" width="8.375" style="55" customWidth="1"/>
    <col min="9218" max="9218" width="62.125" style="55" customWidth="1"/>
    <col min="9219" max="9219" width="12.25" style="55" customWidth="1"/>
    <col min="9220" max="9259" width="9.75" style="55" customWidth="1"/>
    <col min="9260" max="9472" width="9.125" style="55"/>
    <col min="9473" max="9473" width="8.375" style="55" customWidth="1"/>
    <col min="9474" max="9474" width="62.125" style="55" customWidth="1"/>
    <col min="9475" max="9475" width="12.25" style="55" customWidth="1"/>
    <col min="9476" max="9515" width="9.75" style="55" customWidth="1"/>
    <col min="9516" max="9728" width="9.125" style="55"/>
    <col min="9729" max="9729" width="8.375" style="55" customWidth="1"/>
    <col min="9730" max="9730" width="62.125" style="55" customWidth="1"/>
    <col min="9731" max="9731" width="12.25" style="55" customWidth="1"/>
    <col min="9732" max="9771" width="9.75" style="55" customWidth="1"/>
    <col min="9772" max="9984" width="9.125" style="55"/>
    <col min="9985" max="9985" width="8.375" style="55" customWidth="1"/>
    <col min="9986" max="9986" width="62.125" style="55" customWidth="1"/>
    <col min="9987" max="9987" width="12.25" style="55" customWidth="1"/>
    <col min="9988" max="10027" width="9.75" style="55" customWidth="1"/>
    <col min="10028" max="10240" width="9.125" style="55"/>
    <col min="10241" max="10241" width="8.375" style="55" customWidth="1"/>
    <col min="10242" max="10242" width="62.125" style="55" customWidth="1"/>
    <col min="10243" max="10243" width="12.25" style="55" customWidth="1"/>
    <col min="10244" max="10283" width="9.75" style="55" customWidth="1"/>
    <col min="10284" max="10496" width="9.125" style="55"/>
    <col min="10497" max="10497" width="8.375" style="55" customWidth="1"/>
    <col min="10498" max="10498" width="62.125" style="55" customWidth="1"/>
    <col min="10499" max="10499" width="12.25" style="55" customWidth="1"/>
    <col min="10500" max="10539" width="9.75" style="55" customWidth="1"/>
    <col min="10540" max="10752" width="9.125" style="55"/>
    <col min="10753" max="10753" width="8.375" style="55" customWidth="1"/>
    <col min="10754" max="10754" width="62.125" style="55" customWidth="1"/>
    <col min="10755" max="10755" width="12.25" style="55" customWidth="1"/>
    <col min="10756" max="10795" width="9.75" style="55" customWidth="1"/>
    <col min="10796" max="11008" width="9.125" style="55"/>
    <col min="11009" max="11009" width="8.375" style="55" customWidth="1"/>
    <col min="11010" max="11010" width="62.125" style="55" customWidth="1"/>
    <col min="11011" max="11011" width="12.25" style="55" customWidth="1"/>
    <col min="11012" max="11051" width="9.75" style="55" customWidth="1"/>
    <col min="11052" max="11264" width="9.125" style="55"/>
    <col min="11265" max="11265" width="8.375" style="55" customWidth="1"/>
    <col min="11266" max="11266" width="62.125" style="55" customWidth="1"/>
    <col min="11267" max="11267" width="12.25" style="55" customWidth="1"/>
    <col min="11268" max="11307" width="9.75" style="55" customWidth="1"/>
    <col min="11308" max="11520" width="9.125" style="55"/>
    <col min="11521" max="11521" width="8.375" style="55" customWidth="1"/>
    <col min="11522" max="11522" width="62.125" style="55" customWidth="1"/>
    <col min="11523" max="11523" width="12.25" style="55" customWidth="1"/>
    <col min="11524" max="11563" width="9.75" style="55" customWidth="1"/>
    <col min="11564" max="11776" width="9.125" style="55"/>
    <col min="11777" max="11777" width="8.375" style="55" customWidth="1"/>
    <col min="11778" max="11778" width="62.125" style="55" customWidth="1"/>
    <col min="11779" max="11779" width="12.25" style="55" customWidth="1"/>
    <col min="11780" max="11819" width="9.75" style="55" customWidth="1"/>
    <col min="11820" max="12032" width="9.125" style="55"/>
    <col min="12033" max="12033" width="8.375" style="55" customWidth="1"/>
    <col min="12034" max="12034" width="62.125" style="55" customWidth="1"/>
    <col min="12035" max="12035" width="12.25" style="55" customWidth="1"/>
    <col min="12036" max="12075" width="9.75" style="55" customWidth="1"/>
    <col min="12076" max="12288" width="9.125" style="55"/>
    <col min="12289" max="12289" width="8.375" style="55" customWidth="1"/>
    <col min="12290" max="12290" width="62.125" style="55" customWidth="1"/>
    <col min="12291" max="12291" width="12.25" style="55" customWidth="1"/>
    <col min="12292" max="12331" width="9.75" style="55" customWidth="1"/>
    <col min="12332" max="12544" width="9.125" style="55"/>
    <col min="12545" max="12545" width="8.375" style="55" customWidth="1"/>
    <col min="12546" max="12546" width="62.125" style="55" customWidth="1"/>
    <col min="12547" max="12547" width="12.25" style="55" customWidth="1"/>
    <col min="12548" max="12587" width="9.75" style="55" customWidth="1"/>
    <col min="12588" max="12800" width="9.125" style="55"/>
    <col min="12801" max="12801" width="8.375" style="55" customWidth="1"/>
    <col min="12802" max="12802" width="62.125" style="55" customWidth="1"/>
    <col min="12803" max="12803" width="12.25" style="55" customWidth="1"/>
    <col min="12804" max="12843" width="9.75" style="55" customWidth="1"/>
    <col min="12844" max="13056" width="9.125" style="55"/>
    <col min="13057" max="13057" width="8.375" style="55" customWidth="1"/>
    <col min="13058" max="13058" width="62.125" style="55" customWidth="1"/>
    <col min="13059" max="13059" width="12.25" style="55" customWidth="1"/>
    <col min="13060" max="13099" width="9.75" style="55" customWidth="1"/>
    <col min="13100" max="13312" width="9.125" style="55"/>
    <col min="13313" max="13313" width="8.375" style="55" customWidth="1"/>
    <col min="13314" max="13314" width="62.125" style="55" customWidth="1"/>
    <col min="13315" max="13315" width="12.25" style="55" customWidth="1"/>
    <col min="13316" max="13355" width="9.75" style="55" customWidth="1"/>
    <col min="13356" max="13568" width="9.125" style="55"/>
    <col min="13569" max="13569" width="8.375" style="55" customWidth="1"/>
    <col min="13570" max="13570" width="62.125" style="55" customWidth="1"/>
    <col min="13571" max="13571" width="12.25" style="55" customWidth="1"/>
    <col min="13572" max="13611" width="9.75" style="55" customWidth="1"/>
    <col min="13612" max="13824" width="9.125" style="55"/>
    <col min="13825" max="13825" width="8.375" style="55" customWidth="1"/>
    <col min="13826" max="13826" width="62.125" style="55" customWidth="1"/>
    <col min="13827" max="13827" width="12.25" style="55" customWidth="1"/>
    <col min="13828" max="13867" width="9.75" style="55" customWidth="1"/>
    <col min="13868" max="14080" width="9.125" style="55"/>
    <col min="14081" max="14081" width="8.375" style="55" customWidth="1"/>
    <col min="14082" max="14082" width="62.125" style="55" customWidth="1"/>
    <col min="14083" max="14083" width="12.25" style="55" customWidth="1"/>
    <col min="14084" max="14123" width="9.75" style="55" customWidth="1"/>
    <col min="14124" max="14336" width="9.125" style="55"/>
    <col min="14337" max="14337" width="8.375" style="55" customWidth="1"/>
    <col min="14338" max="14338" width="62.125" style="55" customWidth="1"/>
    <col min="14339" max="14339" width="12.25" style="55" customWidth="1"/>
    <col min="14340" max="14379" width="9.75" style="55" customWidth="1"/>
    <col min="14380" max="14592" width="9.125" style="55"/>
    <col min="14593" max="14593" width="8.375" style="55" customWidth="1"/>
    <col min="14594" max="14594" width="62.125" style="55" customWidth="1"/>
    <col min="14595" max="14595" width="12.25" style="55" customWidth="1"/>
    <col min="14596" max="14635" width="9.75" style="55" customWidth="1"/>
    <col min="14636" max="14848" width="9.125" style="55"/>
    <col min="14849" max="14849" width="8.375" style="55" customWidth="1"/>
    <col min="14850" max="14850" width="62.125" style="55" customWidth="1"/>
    <col min="14851" max="14851" width="12.25" style="55" customWidth="1"/>
    <col min="14852" max="14891" width="9.75" style="55" customWidth="1"/>
    <col min="14892" max="15104" width="9.125" style="55"/>
    <col min="15105" max="15105" width="8.375" style="55" customWidth="1"/>
    <col min="15106" max="15106" width="62.125" style="55" customWidth="1"/>
    <col min="15107" max="15107" width="12.25" style="55" customWidth="1"/>
    <col min="15108" max="15147" width="9.75" style="55" customWidth="1"/>
    <col min="15148" max="15360" width="9.125" style="55"/>
    <col min="15361" max="15361" width="8.375" style="55" customWidth="1"/>
    <col min="15362" max="15362" width="62.125" style="55" customWidth="1"/>
    <col min="15363" max="15363" width="12.25" style="55" customWidth="1"/>
    <col min="15364" max="15403" width="9.75" style="55" customWidth="1"/>
    <col min="15404" max="15616" width="9.125" style="55"/>
    <col min="15617" max="15617" width="8.375" style="55" customWidth="1"/>
    <col min="15618" max="15618" width="62.125" style="55" customWidth="1"/>
    <col min="15619" max="15619" width="12.25" style="55" customWidth="1"/>
    <col min="15620" max="15659" width="9.75" style="55" customWidth="1"/>
    <col min="15660" max="15872" width="9.125" style="55"/>
    <col min="15873" max="15873" width="8.375" style="55" customWidth="1"/>
    <col min="15874" max="15874" width="62.125" style="55" customWidth="1"/>
    <col min="15875" max="15875" width="12.25" style="55" customWidth="1"/>
    <col min="15876" max="15915" width="9.75" style="55" customWidth="1"/>
    <col min="15916" max="16128" width="9.125" style="55"/>
    <col min="16129" max="16129" width="8.375" style="55" customWidth="1"/>
    <col min="16130" max="16130" width="62.125" style="55" customWidth="1"/>
    <col min="16131" max="16131" width="12.25" style="55" customWidth="1"/>
    <col min="16132" max="16171" width="9.75" style="55" customWidth="1"/>
    <col min="16172" max="16384" width="9.125" style="55"/>
  </cols>
  <sheetData>
    <row r="1" spans="1:21">
      <c r="A1" s="55" t="s">
        <v>321</v>
      </c>
      <c r="B1" s="55" t="s">
        <v>322</v>
      </c>
      <c r="C1" s="17">
        <v>1987</v>
      </c>
      <c r="D1" s="17">
        <f>C1+1</f>
        <v>1988</v>
      </c>
      <c r="E1" s="17">
        <f t="shared" ref="E1:M1" si="0">D1+1</f>
        <v>1989</v>
      </c>
      <c r="F1" s="17">
        <f t="shared" si="0"/>
        <v>1990</v>
      </c>
      <c r="G1" s="17">
        <f t="shared" si="0"/>
        <v>1991</v>
      </c>
      <c r="H1" s="17">
        <f t="shared" si="0"/>
        <v>1992</v>
      </c>
      <c r="I1" s="17">
        <f t="shared" si="0"/>
        <v>1993</v>
      </c>
      <c r="J1" s="17">
        <f t="shared" si="0"/>
        <v>1994</v>
      </c>
      <c r="K1" s="17">
        <f t="shared" si="0"/>
        <v>1995</v>
      </c>
      <c r="L1" s="17">
        <f t="shared" si="0"/>
        <v>1996</v>
      </c>
      <c r="M1" s="17">
        <f t="shared" si="0"/>
        <v>1997</v>
      </c>
      <c r="N1" s="17"/>
      <c r="O1" s="17"/>
      <c r="P1" s="17"/>
      <c r="Q1" s="17"/>
      <c r="R1" s="17"/>
      <c r="S1" s="17"/>
      <c r="T1" s="17"/>
      <c r="U1" s="17"/>
    </row>
    <row r="2" spans="1:21">
      <c r="A2" s="17" t="s">
        <v>323</v>
      </c>
    </row>
    <row r="3" spans="1:21">
      <c r="A3" s="55" t="s">
        <v>324</v>
      </c>
      <c r="B3" s="55" t="s">
        <v>325</v>
      </c>
      <c r="C3" s="55">
        <v>4736354</v>
      </c>
      <c r="D3" s="55">
        <v>5100422</v>
      </c>
      <c r="E3" s="55">
        <v>5482146</v>
      </c>
      <c r="F3" s="55">
        <v>5800527</v>
      </c>
      <c r="G3" s="55">
        <v>5992094</v>
      </c>
      <c r="H3" s="55">
        <v>6342306</v>
      </c>
      <c r="I3" s="55">
        <v>6667350</v>
      </c>
      <c r="J3" s="55">
        <v>7085160</v>
      </c>
      <c r="K3" s="55">
        <v>7414655</v>
      </c>
      <c r="L3" s="55">
        <v>7838456</v>
      </c>
      <c r="M3" s="55">
        <v>8332362</v>
      </c>
    </row>
    <row r="4" spans="1:21">
      <c r="A4" s="55" t="s">
        <v>324</v>
      </c>
      <c r="B4" s="55" t="s">
        <v>326</v>
      </c>
      <c r="C4" s="55">
        <v>4077912</v>
      </c>
      <c r="D4" s="55">
        <v>4395276</v>
      </c>
      <c r="E4" s="55">
        <v>4729716</v>
      </c>
      <c r="F4" s="55">
        <v>4994283</v>
      </c>
      <c r="G4" s="55">
        <v>5133227</v>
      </c>
      <c r="H4" s="55">
        <v>5441958</v>
      </c>
      <c r="I4" s="55">
        <v>5735930</v>
      </c>
      <c r="J4" s="55">
        <v>6119890</v>
      </c>
      <c r="K4" s="55">
        <v>6420008</v>
      </c>
      <c r="L4" s="55">
        <v>6812550</v>
      </c>
      <c r="M4" s="55">
        <v>7271021</v>
      </c>
    </row>
    <row r="5" spans="1:21">
      <c r="A5" s="55" t="s">
        <v>324</v>
      </c>
      <c r="B5" s="55" t="s">
        <v>327</v>
      </c>
      <c r="C5" s="55">
        <v>78761</v>
      </c>
      <c r="D5" s="55">
        <v>78077</v>
      </c>
      <c r="E5" s="55">
        <v>91581</v>
      </c>
      <c r="F5" s="55">
        <v>95684</v>
      </c>
      <c r="G5" s="55">
        <v>88283</v>
      </c>
      <c r="H5" s="55">
        <v>99289</v>
      </c>
      <c r="I5" s="55">
        <v>90600</v>
      </c>
      <c r="J5" s="55">
        <v>105570</v>
      </c>
      <c r="K5" s="55">
        <v>91298</v>
      </c>
      <c r="L5" s="55">
        <v>114198</v>
      </c>
      <c r="M5" s="55">
        <v>108368</v>
      </c>
    </row>
    <row r="6" spans="1:21">
      <c r="A6" s="55" t="s">
        <v>324</v>
      </c>
      <c r="B6" s="55" t="s">
        <v>328</v>
      </c>
      <c r="C6" s="55">
        <v>61472</v>
      </c>
      <c r="D6" s="55">
        <v>60740</v>
      </c>
      <c r="E6" s="55">
        <v>73769</v>
      </c>
      <c r="F6" s="55">
        <v>77258</v>
      </c>
      <c r="G6" s="55">
        <v>70605</v>
      </c>
      <c r="H6" s="55">
        <v>80392</v>
      </c>
      <c r="I6" s="55">
        <v>71361</v>
      </c>
      <c r="J6" s="55">
        <v>83899</v>
      </c>
      <c r="K6" s="55">
        <v>69142</v>
      </c>
      <c r="L6" s="55">
        <v>93279</v>
      </c>
      <c r="M6" s="55">
        <v>87949</v>
      </c>
    </row>
    <row r="7" spans="1:21">
      <c r="A7" s="55" t="s">
        <v>324</v>
      </c>
      <c r="B7" s="55" t="s">
        <v>329</v>
      </c>
      <c r="C7" s="55">
        <v>17289</v>
      </c>
      <c r="D7" s="55">
        <v>17337</v>
      </c>
      <c r="E7" s="55">
        <v>17812</v>
      </c>
      <c r="F7" s="55">
        <v>18426</v>
      </c>
      <c r="G7" s="55">
        <v>17678</v>
      </c>
      <c r="H7" s="55">
        <v>18898</v>
      </c>
      <c r="I7" s="55">
        <v>19240</v>
      </c>
      <c r="J7" s="55">
        <v>21671</v>
      </c>
      <c r="K7" s="55">
        <v>22156</v>
      </c>
      <c r="L7" s="55">
        <v>20919</v>
      </c>
      <c r="M7" s="55">
        <v>20419</v>
      </c>
    </row>
    <row r="8" spans="1:21">
      <c r="A8" s="55" t="s">
        <v>324</v>
      </c>
      <c r="B8" s="55" t="s">
        <v>330</v>
      </c>
      <c r="C8" s="55">
        <v>73064</v>
      </c>
      <c r="D8" s="55">
        <v>74057</v>
      </c>
      <c r="E8" s="55">
        <v>78552</v>
      </c>
      <c r="F8" s="55">
        <v>88388</v>
      </c>
      <c r="G8" s="55">
        <v>79485</v>
      </c>
      <c r="H8" s="55">
        <v>73589</v>
      </c>
      <c r="I8" s="55">
        <v>74419</v>
      </c>
      <c r="J8" s="55">
        <v>75906</v>
      </c>
      <c r="K8" s="55">
        <v>76720</v>
      </c>
      <c r="L8" s="55">
        <v>90049</v>
      </c>
      <c r="M8" s="55">
        <v>94849</v>
      </c>
    </row>
    <row r="9" spans="1:21">
      <c r="A9" s="55" t="s">
        <v>324</v>
      </c>
      <c r="B9" s="55" t="s">
        <v>331</v>
      </c>
      <c r="C9" s="55">
        <v>47576</v>
      </c>
      <c r="D9" s="55">
        <v>42894</v>
      </c>
      <c r="E9" s="55">
        <v>47720</v>
      </c>
      <c r="F9" s="55">
        <v>55764</v>
      </c>
      <c r="G9" s="55">
        <v>46051</v>
      </c>
      <c r="H9" s="55">
        <v>42355</v>
      </c>
      <c r="I9" s="55">
        <v>43224</v>
      </c>
      <c r="J9" s="55">
        <v>41865</v>
      </c>
      <c r="K9" s="55">
        <v>42590</v>
      </c>
      <c r="L9" s="55">
        <v>54824</v>
      </c>
      <c r="M9" s="55">
        <v>55341</v>
      </c>
    </row>
    <row r="10" spans="1:21">
      <c r="A10" s="55" t="s">
        <v>324</v>
      </c>
      <c r="B10" s="55" t="s">
        <v>332</v>
      </c>
      <c r="C10" s="55">
        <v>18671</v>
      </c>
      <c r="D10" s="55">
        <v>22675</v>
      </c>
      <c r="E10" s="55">
        <v>22956</v>
      </c>
      <c r="F10" s="55">
        <v>23495</v>
      </c>
      <c r="G10" s="55">
        <v>23704</v>
      </c>
      <c r="H10" s="55">
        <v>23608</v>
      </c>
      <c r="I10" s="55">
        <v>22182</v>
      </c>
      <c r="J10" s="55">
        <v>25189</v>
      </c>
      <c r="K10" s="55">
        <v>25186</v>
      </c>
      <c r="L10" s="55">
        <v>25539</v>
      </c>
      <c r="M10" s="55">
        <v>26183</v>
      </c>
    </row>
    <row r="11" spans="1:21">
      <c r="A11" s="55" t="s">
        <v>324</v>
      </c>
      <c r="B11" s="55" t="s">
        <v>333</v>
      </c>
      <c r="C11" s="55">
        <v>6817</v>
      </c>
      <c r="D11" s="55">
        <v>8488</v>
      </c>
      <c r="E11" s="55">
        <v>7877</v>
      </c>
      <c r="F11" s="55">
        <v>9129</v>
      </c>
      <c r="G11" s="55">
        <v>9729</v>
      </c>
      <c r="H11" s="55">
        <v>7626</v>
      </c>
      <c r="I11" s="55">
        <v>9013</v>
      </c>
      <c r="J11" s="55">
        <v>8852</v>
      </c>
      <c r="K11" s="55">
        <v>8944</v>
      </c>
      <c r="L11" s="55">
        <v>9686</v>
      </c>
      <c r="M11" s="55">
        <v>13325</v>
      </c>
    </row>
    <row r="12" spans="1:21">
      <c r="A12" s="55" t="s">
        <v>324</v>
      </c>
      <c r="B12" s="55" t="s">
        <v>334</v>
      </c>
      <c r="C12" s="55">
        <v>125773</v>
      </c>
      <c r="D12" s="55">
        <v>125102</v>
      </c>
      <c r="E12" s="55">
        <v>138187</v>
      </c>
      <c r="F12" s="55">
        <v>145491</v>
      </c>
      <c r="G12" s="55">
        <v>153847</v>
      </c>
      <c r="H12" s="55">
        <v>159703</v>
      </c>
      <c r="I12" s="55">
        <v>164251</v>
      </c>
      <c r="J12" s="55">
        <v>171177</v>
      </c>
      <c r="K12" s="55">
        <v>175316</v>
      </c>
      <c r="L12" s="55">
        <v>173399</v>
      </c>
      <c r="M12" s="55">
        <v>169896</v>
      </c>
    </row>
    <row r="13" spans="1:21">
      <c r="A13" s="55" t="s">
        <v>324</v>
      </c>
      <c r="B13" s="55" t="s">
        <v>335</v>
      </c>
      <c r="C13" s="55">
        <v>210086</v>
      </c>
      <c r="D13" s="55">
        <v>226455</v>
      </c>
      <c r="E13" s="55">
        <v>238579</v>
      </c>
      <c r="F13" s="55">
        <v>243557</v>
      </c>
      <c r="G13" s="55">
        <v>228763</v>
      </c>
      <c r="H13" s="55">
        <v>233172</v>
      </c>
      <c r="I13" s="55">
        <v>250373</v>
      </c>
      <c r="J13" s="55">
        <v>277243</v>
      </c>
      <c r="K13" s="55">
        <v>294224</v>
      </c>
      <c r="L13" s="55">
        <v>320876</v>
      </c>
      <c r="M13" s="55">
        <v>346739</v>
      </c>
    </row>
    <row r="14" spans="1:21">
      <c r="A14" s="55" t="s">
        <v>324</v>
      </c>
      <c r="B14" s="55" t="s">
        <v>336</v>
      </c>
      <c r="C14" s="55">
        <v>823105</v>
      </c>
      <c r="D14" s="55">
        <v>900188</v>
      </c>
      <c r="E14" s="55">
        <v>950157</v>
      </c>
      <c r="F14" s="55">
        <v>968904</v>
      </c>
      <c r="G14" s="55">
        <v>976651</v>
      </c>
      <c r="H14" s="55">
        <v>1016703</v>
      </c>
      <c r="I14" s="55">
        <v>1058923</v>
      </c>
      <c r="J14" s="55">
        <v>1127344</v>
      </c>
      <c r="K14" s="55">
        <v>1180877</v>
      </c>
      <c r="L14" s="55">
        <v>1208476</v>
      </c>
      <c r="M14" s="55">
        <v>1277280</v>
      </c>
    </row>
    <row r="15" spans="1:21">
      <c r="A15" s="55" t="s">
        <v>324</v>
      </c>
      <c r="B15" s="55" t="s">
        <v>337</v>
      </c>
      <c r="C15" s="55">
        <v>492479</v>
      </c>
      <c r="D15" s="55">
        <v>537939</v>
      </c>
      <c r="E15" s="55">
        <v>562446</v>
      </c>
      <c r="F15" s="55">
        <v>558851</v>
      </c>
      <c r="G15" s="55">
        <v>554186</v>
      </c>
      <c r="H15" s="55">
        <v>574476</v>
      </c>
      <c r="I15" s="55">
        <v>602953</v>
      </c>
      <c r="J15" s="55">
        <v>650208</v>
      </c>
      <c r="K15" s="55">
        <v>675392</v>
      </c>
      <c r="L15" s="55">
        <v>704965</v>
      </c>
      <c r="M15" s="55">
        <v>748938</v>
      </c>
    </row>
    <row r="16" spans="1:21">
      <c r="A16" s="55" t="s">
        <v>324</v>
      </c>
      <c r="B16" s="55" t="s">
        <v>338</v>
      </c>
      <c r="C16" s="55">
        <v>19701</v>
      </c>
      <c r="D16" s="55">
        <v>19704</v>
      </c>
      <c r="E16" s="55">
        <v>20546</v>
      </c>
      <c r="F16" s="55">
        <v>19649</v>
      </c>
      <c r="G16" s="55">
        <v>18721</v>
      </c>
      <c r="H16" s="55">
        <v>19794</v>
      </c>
      <c r="I16" s="55">
        <v>21989</v>
      </c>
      <c r="J16" s="55">
        <v>24431</v>
      </c>
      <c r="K16" s="55">
        <v>25383</v>
      </c>
      <c r="L16" s="55">
        <v>25051</v>
      </c>
      <c r="M16" s="55">
        <v>26518</v>
      </c>
    </row>
    <row r="17" spans="1:13">
      <c r="A17" s="55" t="s">
        <v>324</v>
      </c>
      <c r="B17" s="55" t="s">
        <v>339</v>
      </c>
      <c r="C17" s="55">
        <v>24005</v>
      </c>
      <c r="D17" s="55">
        <v>25555</v>
      </c>
      <c r="E17" s="55">
        <v>26405</v>
      </c>
      <c r="F17" s="55">
        <v>25811</v>
      </c>
      <c r="G17" s="55">
        <v>23743</v>
      </c>
      <c r="H17" s="55">
        <v>26900</v>
      </c>
      <c r="I17" s="55">
        <v>27548</v>
      </c>
      <c r="J17" s="55">
        <v>31576</v>
      </c>
      <c r="K17" s="55">
        <v>33436</v>
      </c>
      <c r="L17" s="55">
        <v>33767</v>
      </c>
      <c r="M17" s="55">
        <v>39368</v>
      </c>
    </row>
    <row r="18" spans="1:13">
      <c r="A18" s="55" t="s">
        <v>324</v>
      </c>
      <c r="B18" s="55" t="s">
        <v>340</v>
      </c>
      <c r="C18" s="55">
        <v>32062</v>
      </c>
      <c r="D18" s="55">
        <v>39789</v>
      </c>
      <c r="E18" s="55">
        <v>43018</v>
      </c>
      <c r="F18" s="55">
        <v>39678</v>
      </c>
      <c r="G18" s="55">
        <v>36624</v>
      </c>
      <c r="H18" s="55">
        <v>36707</v>
      </c>
      <c r="I18" s="55">
        <v>38391</v>
      </c>
      <c r="J18" s="55">
        <v>42513</v>
      </c>
      <c r="K18" s="55">
        <v>47646</v>
      </c>
      <c r="L18" s="55">
        <v>45761</v>
      </c>
      <c r="M18" s="55">
        <v>47528</v>
      </c>
    </row>
    <row r="19" spans="1:13">
      <c r="A19" s="55" t="s">
        <v>324</v>
      </c>
      <c r="B19" s="55" t="s">
        <v>341</v>
      </c>
      <c r="C19" s="55">
        <v>68390</v>
      </c>
      <c r="D19" s="55">
        <v>72841</v>
      </c>
      <c r="E19" s="55">
        <v>76623</v>
      </c>
      <c r="F19" s="55">
        <v>78416</v>
      </c>
      <c r="G19" s="55">
        <v>76155</v>
      </c>
      <c r="H19" s="55">
        <v>78840</v>
      </c>
      <c r="I19" s="55">
        <v>82613</v>
      </c>
      <c r="J19" s="55">
        <v>92468</v>
      </c>
      <c r="K19" s="55">
        <v>97900</v>
      </c>
      <c r="L19" s="55">
        <v>104560</v>
      </c>
      <c r="M19" s="55">
        <v>109225</v>
      </c>
    </row>
    <row r="20" spans="1:13">
      <c r="A20" s="55" t="s">
        <v>324</v>
      </c>
      <c r="B20" s="55" t="s">
        <v>342</v>
      </c>
      <c r="C20" s="55">
        <v>66183</v>
      </c>
      <c r="D20" s="55">
        <v>76793</v>
      </c>
      <c r="E20" s="55">
        <v>83775</v>
      </c>
      <c r="F20" s="55">
        <v>85188</v>
      </c>
      <c r="G20" s="55">
        <v>78642</v>
      </c>
      <c r="H20" s="55">
        <v>80871</v>
      </c>
      <c r="I20" s="55">
        <v>82936</v>
      </c>
      <c r="J20" s="55">
        <v>86798</v>
      </c>
      <c r="K20" s="55">
        <v>92432</v>
      </c>
      <c r="L20" s="55">
        <v>94423</v>
      </c>
      <c r="M20" s="55">
        <v>100278</v>
      </c>
    </row>
    <row r="21" spans="1:13">
      <c r="A21" s="55" t="s">
        <v>324</v>
      </c>
      <c r="B21" s="55" t="s">
        <v>343</v>
      </c>
      <c r="C21" s="55">
        <v>85058</v>
      </c>
      <c r="D21" s="55">
        <v>93961</v>
      </c>
      <c r="E21" s="55">
        <v>97707</v>
      </c>
      <c r="F21" s="55">
        <v>100480</v>
      </c>
      <c r="G21" s="55">
        <v>102466</v>
      </c>
      <c r="H21" s="55">
        <v>105557</v>
      </c>
      <c r="I21" s="55">
        <v>108395</v>
      </c>
      <c r="J21" s="55">
        <v>120742</v>
      </c>
      <c r="K21" s="55">
        <v>135077</v>
      </c>
      <c r="L21" s="55">
        <v>141135</v>
      </c>
      <c r="M21" s="55">
        <v>155760</v>
      </c>
    </row>
    <row r="22" spans="1:13">
      <c r="A22" s="55" t="s">
        <v>324</v>
      </c>
      <c r="B22" s="55" t="s">
        <v>344</v>
      </c>
      <c r="C22" s="55">
        <v>34584</v>
      </c>
      <c r="D22" s="55">
        <v>36201</v>
      </c>
      <c r="E22" s="55">
        <v>39508</v>
      </c>
      <c r="F22" s="55">
        <v>39393</v>
      </c>
      <c r="G22" s="55">
        <v>38124</v>
      </c>
      <c r="H22" s="55">
        <v>38680</v>
      </c>
      <c r="I22" s="55">
        <v>41243</v>
      </c>
      <c r="J22" s="55">
        <v>44132</v>
      </c>
      <c r="K22" s="55">
        <v>42685</v>
      </c>
      <c r="L22" s="55">
        <v>43129</v>
      </c>
      <c r="M22" s="55">
        <v>45611</v>
      </c>
    </row>
    <row r="23" spans="1:13">
      <c r="A23" s="55" t="s">
        <v>324</v>
      </c>
      <c r="B23" s="55" t="s">
        <v>345</v>
      </c>
      <c r="C23" s="55">
        <v>63329</v>
      </c>
      <c r="D23" s="55">
        <v>66868</v>
      </c>
      <c r="E23" s="55">
        <v>65314</v>
      </c>
      <c r="F23" s="55">
        <v>54289</v>
      </c>
      <c r="G23" s="55">
        <v>56198</v>
      </c>
      <c r="H23" s="55">
        <v>71238</v>
      </c>
      <c r="I23" s="55">
        <v>83619</v>
      </c>
      <c r="J23" s="55">
        <v>100271</v>
      </c>
      <c r="K23" s="55">
        <v>93891</v>
      </c>
      <c r="L23" s="55">
        <v>93695</v>
      </c>
      <c r="M23" s="55">
        <v>96118</v>
      </c>
    </row>
    <row r="24" spans="1:13">
      <c r="A24" s="55" t="s">
        <v>324</v>
      </c>
      <c r="B24" s="55" t="s">
        <v>346</v>
      </c>
      <c r="C24" s="55">
        <v>59146</v>
      </c>
      <c r="D24" s="55">
        <v>58524</v>
      </c>
      <c r="E24" s="55">
        <v>59646</v>
      </c>
      <c r="F24" s="55">
        <v>62859</v>
      </c>
      <c r="G24" s="55">
        <v>69835</v>
      </c>
      <c r="H24" s="55">
        <v>58349</v>
      </c>
      <c r="I24" s="55">
        <v>56173</v>
      </c>
      <c r="J24" s="55">
        <v>46175</v>
      </c>
      <c r="K24" s="55">
        <v>44317</v>
      </c>
      <c r="L24" s="55">
        <v>53039</v>
      </c>
      <c r="M24" s="55">
        <v>54256</v>
      </c>
    </row>
    <row r="25" spans="1:13">
      <c r="A25" s="55" t="s">
        <v>324</v>
      </c>
      <c r="B25" s="55" t="s">
        <v>347</v>
      </c>
      <c r="C25" s="55">
        <v>17695</v>
      </c>
      <c r="D25" s="55">
        <v>18482</v>
      </c>
      <c r="E25" s="55">
        <v>19431</v>
      </c>
      <c r="F25" s="55">
        <v>18785</v>
      </c>
      <c r="G25" s="55">
        <v>18091</v>
      </c>
      <c r="H25" s="55">
        <v>19927</v>
      </c>
      <c r="I25" s="55">
        <v>21589</v>
      </c>
      <c r="J25" s="55">
        <v>22343</v>
      </c>
      <c r="K25" s="55">
        <v>23116</v>
      </c>
      <c r="L25" s="55">
        <v>24947</v>
      </c>
      <c r="M25" s="55">
        <v>27809</v>
      </c>
    </row>
    <row r="26" spans="1:13">
      <c r="A26" s="55" t="s">
        <v>324</v>
      </c>
      <c r="B26" s="55" t="s">
        <v>348</v>
      </c>
      <c r="C26" s="55">
        <v>22327</v>
      </c>
      <c r="D26" s="55">
        <v>29220</v>
      </c>
      <c r="E26" s="55">
        <v>30473</v>
      </c>
      <c r="F26" s="55">
        <v>34304</v>
      </c>
      <c r="G26" s="55">
        <v>35588</v>
      </c>
      <c r="H26" s="55">
        <v>37613</v>
      </c>
      <c r="I26" s="55">
        <v>38456</v>
      </c>
      <c r="J26" s="55">
        <v>38758</v>
      </c>
      <c r="K26" s="55">
        <v>39509</v>
      </c>
      <c r="L26" s="55">
        <v>45459</v>
      </c>
      <c r="M26" s="55">
        <v>46467</v>
      </c>
    </row>
    <row r="27" spans="1:13">
      <c r="A27" s="55" t="s">
        <v>324</v>
      </c>
      <c r="B27" s="55" t="s">
        <v>349</v>
      </c>
      <c r="C27" s="55">
        <v>330626</v>
      </c>
      <c r="D27" s="55">
        <v>362249</v>
      </c>
      <c r="E27" s="55">
        <v>387711</v>
      </c>
      <c r="F27" s="55">
        <v>410052</v>
      </c>
      <c r="G27" s="55">
        <v>422465</v>
      </c>
      <c r="H27" s="55">
        <v>442227</v>
      </c>
      <c r="I27" s="55">
        <v>455970</v>
      </c>
      <c r="J27" s="55">
        <v>477136</v>
      </c>
      <c r="K27" s="55">
        <v>505485</v>
      </c>
      <c r="L27" s="55">
        <v>503511</v>
      </c>
      <c r="M27" s="55">
        <v>528342</v>
      </c>
    </row>
    <row r="28" spans="1:13">
      <c r="A28" s="55" t="s">
        <v>324</v>
      </c>
      <c r="B28" s="55" t="s">
        <v>350</v>
      </c>
      <c r="C28" s="55">
        <v>89335</v>
      </c>
      <c r="D28" s="55">
        <v>93284</v>
      </c>
      <c r="E28" s="55">
        <v>98799</v>
      </c>
      <c r="F28" s="55">
        <v>109673</v>
      </c>
      <c r="G28" s="55">
        <v>116951</v>
      </c>
      <c r="H28" s="55">
        <v>121834</v>
      </c>
      <c r="I28" s="55">
        <v>121396</v>
      </c>
      <c r="J28" s="55">
        <v>121908</v>
      </c>
      <c r="K28" s="55">
        <v>135411</v>
      </c>
      <c r="L28" s="55">
        <v>129525</v>
      </c>
      <c r="M28" s="55">
        <v>134137</v>
      </c>
    </row>
    <row r="29" spans="1:13">
      <c r="A29" s="55" t="s">
        <v>324</v>
      </c>
      <c r="B29" s="55" t="s">
        <v>351</v>
      </c>
      <c r="C29" s="55">
        <v>20958</v>
      </c>
      <c r="D29" s="55">
        <v>21860</v>
      </c>
      <c r="E29" s="55">
        <v>22773</v>
      </c>
      <c r="F29" s="55">
        <v>23264</v>
      </c>
      <c r="G29" s="55">
        <v>23747</v>
      </c>
      <c r="H29" s="55">
        <v>26589</v>
      </c>
      <c r="I29" s="55">
        <v>26832</v>
      </c>
      <c r="J29" s="55">
        <v>27008</v>
      </c>
      <c r="K29" s="55">
        <v>26037</v>
      </c>
      <c r="L29" s="55">
        <v>26446</v>
      </c>
      <c r="M29" s="55">
        <v>27231</v>
      </c>
    </row>
    <row r="30" spans="1:13">
      <c r="A30" s="55" t="s">
        <v>324</v>
      </c>
      <c r="B30" s="55" t="s">
        <v>352</v>
      </c>
      <c r="C30" s="55">
        <v>22609</v>
      </c>
      <c r="D30" s="55">
        <v>23476</v>
      </c>
      <c r="E30" s="55">
        <v>24562</v>
      </c>
      <c r="F30" s="55">
        <v>24934</v>
      </c>
      <c r="G30" s="55">
        <v>25856</v>
      </c>
      <c r="H30" s="55">
        <v>27431</v>
      </c>
      <c r="I30" s="55">
        <v>27385</v>
      </c>
      <c r="J30" s="55">
        <v>27661</v>
      </c>
      <c r="K30" s="55">
        <v>26621</v>
      </c>
      <c r="L30" s="55">
        <v>25569</v>
      </c>
      <c r="M30" s="55">
        <v>24869</v>
      </c>
    </row>
    <row r="31" spans="1:13">
      <c r="A31" s="55" t="s">
        <v>324</v>
      </c>
      <c r="B31" s="55" t="s">
        <v>353</v>
      </c>
      <c r="C31" s="55">
        <v>38776</v>
      </c>
      <c r="D31" s="55">
        <v>44801</v>
      </c>
      <c r="E31" s="55">
        <v>47291</v>
      </c>
      <c r="F31" s="55">
        <v>46440</v>
      </c>
      <c r="G31" s="55">
        <v>45759</v>
      </c>
      <c r="H31" s="55">
        <v>46520</v>
      </c>
      <c r="I31" s="55">
        <v>47857</v>
      </c>
      <c r="J31" s="55">
        <v>51031</v>
      </c>
      <c r="K31" s="55">
        <v>61203</v>
      </c>
      <c r="L31" s="55">
        <v>56415</v>
      </c>
      <c r="M31" s="55">
        <v>53563</v>
      </c>
    </row>
    <row r="32" spans="1:13">
      <c r="A32" s="55" t="s">
        <v>324</v>
      </c>
      <c r="B32" s="55" t="s">
        <v>354</v>
      </c>
      <c r="C32" s="55">
        <v>26070</v>
      </c>
      <c r="D32" s="55">
        <v>28123</v>
      </c>
      <c r="E32" s="55">
        <v>29871</v>
      </c>
      <c r="F32" s="55">
        <v>31228</v>
      </c>
      <c r="G32" s="55">
        <v>31147</v>
      </c>
      <c r="H32" s="55">
        <v>33229</v>
      </c>
      <c r="I32" s="55">
        <v>33346</v>
      </c>
      <c r="J32" s="55">
        <v>34829</v>
      </c>
      <c r="K32" s="55">
        <v>35388</v>
      </c>
      <c r="L32" s="55">
        <v>36864</v>
      </c>
      <c r="M32" s="55">
        <v>37097</v>
      </c>
    </row>
    <row r="33" spans="1:13">
      <c r="A33" s="55" t="s">
        <v>324</v>
      </c>
      <c r="B33" s="55" t="s">
        <v>355</v>
      </c>
      <c r="C33" s="55">
        <v>18958</v>
      </c>
      <c r="D33" s="55">
        <v>27057</v>
      </c>
      <c r="E33" s="55">
        <v>28496</v>
      </c>
      <c r="F33" s="55">
        <v>32135</v>
      </c>
      <c r="G33" s="55">
        <v>30726</v>
      </c>
      <c r="H33" s="55">
        <v>30659</v>
      </c>
      <c r="I33" s="55">
        <v>36061</v>
      </c>
      <c r="J33" s="55">
        <v>33661</v>
      </c>
      <c r="K33" s="55">
        <v>30839</v>
      </c>
      <c r="L33" s="55">
        <v>33111</v>
      </c>
      <c r="M33" s="55">
        <v>43615</v>
      </c>
    </row>
    <row r="34" spans="1:13">
      <c r="A34" s="55" t="s">
        <v>324</v>
      </c>
      <c r="B34" s="55" t="s">
        <v>356</v>
      </c>
      <c r="C34" s="55">
        <v>81793</v>
      </c>
      <c r="D34" s="55">
        <v>89703</v>
      </c>
      <c r="E34" s="55">
        <v>98179</v>
      </c>
      <c r="F34" s="55">
        <v>105040</v>
      </c>
      <c r="G34" s="55">
        <v>108629</v>
      </c>
      <c r="H34" s="55">
        <v>113982</v>
      </c>
      <c r="I34" s="55">
        <v>117086</v>
      </c>
      <c r="J34" s="55">
        <v>131794</v>
      </c>
      <c r="K34" s="55">
        <v>139768</v>
      </c>
      <c r="L34" s="55">
        <v>141660</v>
      </c>
      <c r="M34" s="55">
        <v>150731</v>
      </c>
    </row>
    <row r="35" spans="1:13">
      <c r="A35" s="55" t="s">
        <v>324</v>
      </c>
      <c r="B35" s="55" t="s">
        <v>357</v>
      </c>
      <c r="C35" s="55">
        <v>32127</v>
      </c>
      <c r="D35" s="55">
        <v>33946</v>
      </c>
      <c r="E35" s="55">
        <v>37740</v>
      </c>
      <c r="F35" s="55">
        <v>37339</v>
      </c>
      <c r="G35" s="55">
        <v>39649</v>
      </c>
      <c r="H35" s="55">
        <v>41982</v>
      </c>
      <c r="I35" s="55">
        <v>46007</v>
      </c>
      <c r="J35" s="55">
        <v>49244</v>
      </c>
      <c r="K35" s="55">
        <v>50219</v>
      </c>
      <c r="L35" s="55">
        <v>53921</v>
      </c>
      <c r="M35" s="55">
        <v>57100</v>
      </c>
    </row>
    <row r="36" spans="1:13">
      <c r="A36" s="55" t="s">
        <v>324</v>
      </c>
      <c r="B36" s="55" t="s">
        <v>358</v>
      </c>
      <c r="C36" s="55">
        <v>285563</v>
      </c>
      <c r="D36" s="55">
        <v>314349</v>
      </c>
      <c r="E36" s="55">
        <v>335710</v>
      </c>
      <c r="F36" s="55">
        <v>347671</v>
      </c>
      <c r="G36" s="55">
        <v>362615</v>
      </c>
      <c r="H36" s="55">
        <v>380102</v>
      </c>
      <c r="I36" s="55">
        <v>402522</v>
      </c>
      <c r="J36" s="55">
        <v>444477</v>
      </c>
      <c r="K36" s="55">
        <v>460182</v>
      </c>
      <c r="L36" s="55">
        <v>492538</v>
      </c>
      <c r="M36" s="55">
        <v>524856</v>
      </c>
    </row>
    <row r="37" spans="1:13">
      <c r="A37" s="55" t="s">
        <v>324</v>
      </c>
      <c r="B37" s="55" t="s">
        <v>359</v>
      </c>
      <c r="C37" s="55">
        <v>345717</v>
      </c>
      <c r="D37" s="55">
        <v>366810</v>
      </c>
      <c r="E37" s="55">
        <v>390715</v>
      </c>
      <c r="F37" s="55">
        <v>400444</v>
      </c>
      <c r="G37" s="55">
        <v>407892</v>
      </c>
      <c r="H37" s="55">
        <v>429990</v>
      </c>
      <c r="I37" s="55">
        <v>462898</v>
      </c>
      <c r="J37" s="55">
        <v>500531</v>
      </c>
      <c r="K37" s="55">
        <v>525036</v>
      </c>
      <c r="L37" s="55">
        <v>556824</v>
      </c>
      <c r="M37" s="55">
        <v>589869</v>
      </c>
    </row>
    <row r="38" spans="1:13">
      <c r="A38" s="55" t="s">
        <v>324</v>
      </c>
      <c r="B38" s="55" t="s">
        <v>360</v>
      </c>
      <c r="C38" s="55">
        <v>152558</v>
      </c>
      <c r="D38" s="55">
        <v>161402</v>
      </c>
      <c r="E38" s="55">
        <v>166290</v>
      </c>
      <c r="F38" s="55">
        <v>172754</v>
      </c>
      <c r="G38" s="55">
        <v>182302</v>
      </c>
      <c r="H38" s="55">
        <v>192037</v>
      </c>
      <c r="I38" s="55">
        <v>206416</v>
      </c>
      <c r="J38" s="55">
        <v>223730</v>
      </c>
      <c r="K38" s="55">
        <v>231733</v>
      </c>
      <c r="L38" s="55">
        <v>241281</v>
      </c>
      <c r="M38" s="55">
        <v>261768</v>
      </c>
    </row>
    <row r="39" spans="1:13">
      <c r="A39" s="55" t="s">
        <v>324</v>
      </c>
      <c r="B39" s="55" t="s">
        <v>361</v>
      </c>
      <c r="C39" s="55">
        <v>24233</v>
      </c>
      <c r="D39" s="55">
        <v>30261</v>
      </c>
      <c r="E39" s="55">
        <v>30426</v>
      </c>
      <c r="F39" s="55">
        <v>31346</v>
      </c>
      <c r="G39" s="55">
        <v>32445</v>
      </c>
      <c r="H39" s="55">
        <v>34921</v>
      </c>
      <c r="I39" s="55">
        <v>39550</v>
      </c>
      <c r="J39" s="55">
        <v>43797</v>
      </c>
      <c r="K39" s="55">
        <v>46175</v>
      </c>
      <c r="L39" s="55">
        <v>46935</v>
      </c>
      <c r="M39" s="55">
        <v>53637</v>
      </c>
    </row>
    <row r="40" spans="1:13">
      <c r="A40" s="55" t="s">
        <v>324</v>
      </c>
      <c r="B40" s="55" t="s">
        <v>362</v>
      </c>
      <c r="C40" s="55">
        <v>20731</v>
      </c>
      <c r="D40" s="55">
        <v>21062</v>
      </c>
      <c r="E40" s="55">
        <v>18641</v>
      </c>
      <c r="F40" s="55">
        <v>18597</v>
      </c>
      <c r="G40" s="55">
        <v>20252</v>
      </c>
      <c r="H40" s="55">
        <v>20184</v>
      </c>
      <c r="I40" s="55">
        <v>20327</v>
      </c>
      <c r="J40" s="55">
        <v>21259</v>
      </c>
      <c r="K40" s="55">
        <v>21078</v>
      </c>
      <c r="L40" s="55">
        <v>20858</v>
      </c>
      <c r="M40" s="55">
        <v>19736</v>
      </c>
    </row>
    <row r="41" spans="1:13">
      <c r="A41" s="55" t="s">
        <v>324</v>
      </c>
      <c r="B41" s="55" t="s">
        <v>363</v>
      </c>
      <c r="C41" s="55">
        <v>4194</v>
      </c>
      <c r="D41" s="55">
        <v>4522</v>
      </c>
      <c r="E41" s="55">
        <v>4679</v>
      </c>
      <c r="F41" s="55">
        <v>5122</v>
      </c>
      <c r="G41" s="55">
        <v>5753</v>
      </c>
      <c r="H41" s="55">
        <v>5755</v>
      </c>
      <c r="I41" s="55">
        <v>5984</v>
      </c>
      <c r="J41" s="55">
        <v>6321</v>
      </c>
      <c r="K41" s="55">
        <v>6331</v>
      </c>
      <c r="L41" s="55">
        <v>6589</v>
      </c>
      <c r="M41" s="55">
        <v>6956</v>
      </c>
    </row>
    <row r="42" spans="1:13">
      <c r="A42" s="55" t="s">
        <v>324</v>
      </c>
      <c r="B42" s="55" t="s">
        <v>364</v>
      </c>
      <c r="C42" s="55">
        <v>44609</v>
      </c>
      <c r="D42" s="55">
        <v>44788</v>
      </c>
      <c r="E42" s="55">
        <v>48120</v>
      </c>
      <c r="F42" s="55">
        <v>49728</v>
      </c>
      <c r="G42" s="55">
        <v>51524</v>
      </c>
      <c r="H42" s="55">
        <v>54907</v>
      </c>
      <c r="I42" s="55">
        <v>59454</v>
      </c>
      <c r="J42" s="55">
        <v>66611</v>
      </c>
      <c r="K42" s="55">
        <v>69292</v>
      </c>
      <c r="L42" s="55">
        <v>73066</v>
      </c>
      <c r="M42" s="55">
        <v>80331</v>
      </c>
    </row>
    <row r="43" spans="1:13">
      <c r="A43" s="55" t="s">
        <v>324</v>
      </c>
      <c r="B43" s="55" t="s">
        <v>365</v>
      </c>
      <c r="C43" s="55">
        <v>7465</v>
      </c>
      <c r="D43" s="55">
        <v>7968</v>
      </c>
      <c r="E43" s="55">
        <v>8324</v>
      </c>
      <c r="F43" s="55">
        <v>9009</v>
      </c>
      <c r="G43" s="55">
        <v>9603</v>
      </c>
      <c r="H43" s="55">
        <v>9960</v>
      </c>
      <c r="I43" s="55">
        <v>10575</v>
      </c>
      <c r="J43" s="55">
        <v>11161</v>
      </c>
      <c r="K43" s="55">
        <v>11809</v>
      </c>
      <c r="L43" s="55">
        <v>12845</v>
      </c>
      <c r="M43" s="55">
        <v>14824</v>
      </c>
    </row>
    <row r="44" spans="1:13">
      <c r="A44" s="55" t="s">
        <v>324</v>
      </c>
      <c r="B44" s="55" t="s">
        <v>366</v>
      </c>
      <c r="C44" s="55">
        <v>6274</v>
      </c>
      <c r="D44" s="55">
        <v>5693</v>
      </c>
      <c r="E44" s="55">
        <v>5962</v>
      </c>
      <c r="F44" s="55">
        <v>5997</v>
      </c>
      <c r="G44" s="55">
        <v>6068</v>
      </c>
      <c r="H44" s="55">
        <v>6370</v>
      </c>
      <c r="I44" s="55">
        <v>6694</v>
      </c>
      <c r="J44" s="55">
        <v>6789</v>
      </c>
      <c r="K44" s="55">
        <v>6717</v>
      </c>
      <c r="L44" s="55">
        <v>7059</v>
      </c>
      <c r="M44" s="55">
        <v>7164</v>
      </c>
    </row>
    <row r="45" spans="1:13">
      <c r="A45" s="55" t="s">
        <v>324</v>
      </c>
      <c r="B45" s="55" t="s">
        <v>367</v>
      </c>
      <c r="C45" s="55">
        <v>34012</v>
      </c>
      <c r="D45" s="55">
        <v>35298</v>
      </c>
      <c r="E45" s="55">
        <v>37706</v>
      </c>
      <c r="F45" s="55">
        <v>39913</v>
      </c>
      <c r="G45" s="55">
        <v>43127</v>
      </c>
      <c r="H45" s="55">
        <v>45181</v>
      </c>
      <c r="I45" s="55">
        <v>47930</v>
      </c>
      <c r="J45" s="55">
        <v>50418</v>
      </c>
      <c r="K45" s="55">
        <v>51565</v>
      </c>
      <c r="L45" s="55">
        <v>54318</v>
      </c>
      <c r="M45" s="55">
        <v>57183</v>
      </c>
    </row>
    <row r="46" spans="1:13">
      <c r="A46" s="55" t="s">
        <v>324</v>
      </c>
      <c r="B46" s="55" t="s">
        <v>368</v>
      </c>
      <c r="C46" s="55">
        <v>11040</v>
      </c>
      <c r="D46" s="55">
        <v>11810</v>
      </c>
      <c r="E46" s="55">
        <v>12434</v>
      </c>
      <c r="F46" s="55">
        <v>13042</v>
      </c>
      <c r="G46" s="55">
        <v>13532</v>
      </c>
      <c r="H46" s="55">
        <v>14760</v>
      </c>
      <c r="I46" s="55">
        <v>15902</v>
      </c>
      <c r="J46" s="55">
        <v>17372</v>
      </c>
      <c r="K46" s="55">
        <v>18764</v>
      </c>
      <c r="L46" s="55">
        <v>19610</v>
      </c>
      <c r="M46" s="55">
        <v>21936</v>
      </c>
    </row>
    <row r="47" spans="1:13">
      <c r="A47" s="55" t="s">
        <v>324</v>
      </c>
      <c r="B47" s="55" t="s">
        <v>369</v>
      </c>
      <c r="C47" s="55">
        <v>197444</v>
      </c>
      <c r="D47" s="55">
        <v>205440</v>
      </c>
      <c r="E47" s="55">
        <v>222355</v>
      </c>
      <c r="F47" s="55">
        <v>235591</v>
      </c>
      <c r="G47" s="55">
        <v>244336</v>
      </c>
      <c r="H47" s="55">
        <v>260530</v>
      </c>
      <c r="I47" s="55">
        <v>279646</v>
      </c>
      <c r="J47" s="55">
        <v>299443</v>
      </c>
      <c r="K47" s="55">
        <v>311528</v>
      </c>
      <c r="L47" s="55">
        <v>338626</v>
      </c>
      <c r="M47" s="55">
        <v>349355</v>
      </c>
    </row>
    <row r="48" spans="1:13">
      <c r="A48" s="55" t="s">
        <v>324</v>
      </c>
      <c r="B48" s="55" t="s">
        <v>370</v>
      </c>
      <c r="C48" s="55">
        <v>41001</v>
      </c>
      <c r="D48" s="55">
        <v>43226</v>
      </c>
      <c r="E48" s="55">
        <v>47284</v>
      </c>
      <c r="F48" s="55">
        <v>48738</v>
      </c>
      <c r="G48" s="55">
        <v>50816</v>
      </c>
      <c r="H48" s="55">
        <v>54434</v>
      </c>
      <c r="I48" s="55">
        <v>57170</v>
      </c>
      <c r="J48" s="55">
        <v>62967</v>
      </c>
      <c r="K48" s="55">
        <v>63754</v>
      </c>
      <c r="L48" s="55">
        <v>73936</v>
      </c>
      <c r="M48" s="55">
        <v>82120</v>
      </c>
    </row>
    <row r="49" spans="1:13">
      <c r="A49" s="55" t="s">
        <v>324</v>
      </c>
      <c r="B49" s="55" t="s">
        <v>371</v>
      </c>
      <c r="C49" s="55">
        <v>16820</v>
      </c>
      <c r="D49" s="55">
        <v>16762</v>
      </c>
      <c r="E49" s="55">
        <v>20730</v>
      </c>
      <c r="F49" s="55">
        <v>20162</v>
      </c>
      <c r="G49" s="55">
        <v>20045</v>
      </c>
      <c r="H49" s="55">
        <v>20297</v>
      </c>
      <c r="I49" s="55">
        <v>23179</v>
      </c>
      <c r="J49" s="55">
        <v>23450</v>
      </c>
      <c r="K49" s="55">
        <v>26682</v>
      </c>
      <c r="L49" s="55">
        <v>29652</v>
      </c>
      <c r="M49" s="55">
        <v>31572</v>
      </c>
    </row>
    <row r="50" spans="1:13">
      <c r="A50" s="55" t="s">
        <v>324</v>
      </c>
      <c r="B50" s="55" t="s">
        <v>372</v>
      </c>
      <c r="C50" s="55">
        <v>125769</v>
      </c>
      <c r="D50" s="55">
        <v>130428</v>
      </c>
      <c r="E50" s="55">
        <v>137928</v>
      </c>
      <c r="F50" s="55">
        <v>148638</v>
      </c>
      <c r="G50" s="55">
        <v>154938</v>
      </c>
      <c r="H50" s="55">
        <v>165459</v>
      </c>
      <c r="I50" s="55">
        <v>177381</v>
      </c>
      <c r="J50" s="55">
        <v>188536</v>
      </c>
      <c r="K50" s="55">
        <v>194433</v>
      </c>
      <c r="L50" s="55">
        <v>206007</v>
      </c>
      <c r="M50" s="55">
        <v>205876</v>
      </c>
    </row>
    <row r="51" spans="1:13">
      <c r="A51" s="55" t="s">
        <v>324</v>
      </c>
      <c r="B51" s="55" t="s">
        <v>373</v>
      </c>
      <c r="C51" s="55">
        <v>13855</v>
      </c>
      <c r="D51" s="55">
        <v>15024</v>
      </c>
      <c r="E51" s="55">
        <v>16414</v>
      </c>
      <c r="F51" s="55">
        <v>18052</v>
      </c>
      <c r="G51" s="55">
        <v>18537</v>
      </c>
      <c r="H51" s="55">
        <v>20340</v>
      </c>
      <c r="I51" s="55">
        <v>21916</v>
      </c>
      <c r="J51" s="55">
        <v>24490</v>
      </c>
      <c r="K51" s="55">
        <v>26659</v>
      </c>
      <c r="L51" s="55">
        <v>29031</v>
      </c>
      <c r="M51" s="55">
        <v>29788</v>
      </c>
    </row>
    <row r="52" spans="1:13">
      <c r="A52" s="55" t="s">
        <v>324</v>
      </c>
      <c r="B52" s="55" t="s">
        <v>374</v>
      </c>
      <c r="C52" s="55">
        <v>850256</v>
      </c>
      <c r="D52" s="55">
        <v>915747</v>
      </c>
      <c r="E52" s="55">
        <v>980955</v>
      </c>
      <c r="F52" s="55">
        <v>1049153</v>
      </c>
      <c r="G52" s="55">
        <v>1109843</v>
      </c>
      <c r="H52" s="55">
        <v>1192062</v>
      </c>
      <c r="I52" s="55">
        <v>1259298</v>
      </c>
      <c r="J52" s="55">
        <v>1321628</v>
      </c>
      <c r="K52" s="55">
        <v>1405742</v>
      </c>
      <c r="L52" s="55">
        <v>1490306</v>
      </c>
      <c r="M52" s="55">
        <v>1610579</v>
      </c>
    </row>
    <row r="53" spans="1:13">
      <c r="A53" s="55" t="s">
        <v>324</v>
      </c>
      <c r="B53" s="55" t="s">
        <v>375</v>
      </c>
      <c r="C53" s="55">
        <v>282428</v>
      </c>
      <c r="D53" s="55">
        <v>301523</v>
      </c>
      <c r="E53" s="55">
        <v>322031</v>
      </c>
      <c r="F53" s="55">
        <v>346519</v>
      </c>
      <c r="G53" s="55">
        <v>382033</v>
      </c>
      <c r="H53" s="55">
        <v>414295</v>
      </c>
      <c r="I53" s="55">
        <v>441339</v>
      </c>
      <c r="J53" s="55">
        <v>456317</v>
      </c>
      <c r="K53" s="55">
        <v>489579</v>
      </c>
      <c r="L53" s="55">
        <v>527114</v>
      </c>
      <c r="M53" s="55">
        <v>582413</v>
      </c>
    </row>
    <row r="54" spans="1:13">
      <c r="A54" s="55" t="s">
        <v>324</v>
      </c>
      <c r="B54" s="55" t="s">
        <v>376</v>
      </c>
      <c r="C54" s="55">
        <v>152185</v>
      </c>
      <c r="D54" s="55">
        <v>152264</v>
      </c>
      <c r="E54" s="55">
        <v>159242</v>
      </c>
      <c r="F54" s="55">
        <v>171772</v>
      </c>
      <c r="G54" s="55">
        <v>189865</v>
      </c>
      <c r="H54" s="55">
        <v>202697</v>
      </c>
      <c r="I54" s="55">
        <v>211359</v>
      </c>
      <c r="J54" s="55">
        <v>215928</v>
      </c>
      <c r="K54" s="55">
        <v>220203</v>
      </c>
      <c r="L54" s="55">
        <v>230540</v>
      </c>
      <c r="M54" s="55">
        <v>247887</v>
      </c>
    </row>
    <row r="55" spans="1:13">
      <c r="A55" s="55" t="s">
        <v>324</v>
      </c>
      <c r="B55" s="55" t="s">
        <v>377</v>
      </c>
      <c r="C55" s="55">
        <v>41310</v>
      </c>
      <c r="D55" s="55">
        <v>43387</v>
      </c>
      <c r="E55" s="55">
        <v>45686</v>
      </c>
      <c r="F55" s="55">
        <v>43133</v>
      </c>
      <c r="G55" s="55">
        <v>46908</v>
      </c>
      <c r="H55" s="55">
        <v>50504</v>
      </c>
      <c r="I55" s="55">
        <v>65429</v>
      </c>
      <c r="J55" s="55">
        <v>61739</v>
      </c>
      <c r="K55" s="55">
        <v>74311</v>
      </c>
      <c r="L55" s="55">
        <v>96096</v>
      </c>
      <c r="M55" s="55">
        <v>118295</v>
      </c>
    </row>
    <row r="56" spans="1:13">
      <c r="A56" s="55" t="s">
        <v>324</v>
      </c>
      <c r="B56" s="55" t="s">
        <v>378</v>
      </c>
      <c r="C56" s="55">
        <v>81546</v>
      </c>
      <c r="D56" s="55">
        <v>99134</v>
      </c>
      <c r="E56" s="55">
        <v>110491</v>
      </c>
      <c r="F56" s="55">
        <v>124115</v>
      </c>
      <c r="G56" s="55">
        <v>137471</v>
      </c>
      <c r="H56" s="55">
        <v>152272</v>
      </c>
      <c r="I56" s="55">
        <v>154640</v>
      </c>
      <c r="J56" s="55">
        <v>169243</v>
      </c>
      <c r="K56" s="55">
        <v>184927</v>
      </c>
      <c r="L56" s="55">
        <v>190283</v>
      </c>
      <c r="M56" s="55">
        <v>206377</v>
      </c>
    </row>
    <row r="57" spans="1:13">
      <c r="A57" s="55" t="s">
        <v>324</v>
      </c>
      <c r="B57" s="55" t="s">
        <v>379</v>
      </c>
      <c r="C57" s="55">
        <v>7388</v>
      </c>
      <c r="D57" s="55">
        <v>6738</v>
      </c>
      <c r="E57" s="55">
        <v>6612</v>
      </c>
      <c r="F57" s="55">
        <v>7499</v>
      </c>
      <c r="G57" s="55">
        <v>7789</v>
      </c>
      <c r="H57" s="55">
        <v>8822</v>
      </c>
      <c r="I57" s="55">
        <v>9911</v>
      </c>
      <c r="J57" s="55">
        <v>9407</v>
      </c>
      <c r="K57" s="55">
        <v>10138</v>
      </c>
      <c r="L57" s="55">
        <v>10195</v>
      </c>
      <c r="M57" s="55">
        <v>9854</v>
      </c>
    </row>
    <row r="58" spans="1:13">
      <c r="A58" s="55" t="s">
        <v>324</v>
      </c>
      <c r="B58" s="55" t="s">
        <v>380</v>
      </c>
      <c r="C58" s="55">
        <v>567828</v>
      </c>
      <c r="D58" s="55">
        <v>614224</v>
      </c>
      <c r="E58" s="55">
        <v>658925</v>
      </c>
      <c r="F58" s="55">
        <v>702635</v>
      </c>
      <c r="G58" s="55">
        <v>727809</v>
      </c>
      <c r="H58" s="55">
        <v>777767</v>
      </c>
      <c r="I58" s="55">
        <v>817959</v>
      </c>
      <c r="J58" s="55">
        <v>865311</v>
      </c>
      <c r="K58" s="55">
        <v>916163</v>
      </c>
      <c r="L58" s="55">
        <v>963192</v>
      </c>
      <c r="M58" s="55">
        <v>1028166</v>
      </c>
    </row>
    <row r="59" spans="1:13">
      <c r="A59" s="55" t="s">
        <v>324</v>
      </c>
      <c r="B59" s="55" t="s">
        <v>381</v>
      </c>
      <c r="C59" s="55">
        <v>515566</v>
      </c>
      <c r="D59" s="55">
        <v>554350</v>
      </c>
      <c r="E59" s="55">
        <v>594139</v>
      </c>
      <c r="F59" s="55">
        <v>631987</v>
      </c>
      <c r="G59" s="55">
        <v>658671</v>
      </c>
      <c r="H59" s="55">
        <v>704329</v>
      </c>
      <c r="I59" s="55">
        <v>739156</v>
      </c>
      <c r="J59" s="55">
        <v>780606</v>
      </c>
      <c r="K59" s="55">
        <v>826532</v>
      </c>
      <c r="L59" s="55">
        <v>864314</v>
      </c>
      <c r="M59" s="55">
        <v>921784</v>
      </c>
    </row>
    <row r="60" spans="1:13">
      <c r="A60" s="55" t="s">
        <v>324</v>
      </c>
      <c r="B60" s="55" t="s">
        <v>382</v>
      </c>
      <c r="C60" s="55">
        <v>52262</v>
      </c>
      <c r="D60" s="55">
        <v>59874</v>
      </c>
      <c r="E60" s="55">
        <v>64785</v>
      </c>
      <c r="F60" s="55">
        <v>70648</v>
      </c>
      <c r="G60" s="55">
        <v>69139</v>
      </c>
      <c r="H60" s="55">
        <v>73438</v>
      </c>
      <c r="I60" s="55">
        <v>78803</v>
      </c>
      <c r="J60" s="55">
        <v>84705</v>
      </c>
      <c r="K60" s="55">
        <v>89631</v>
      </c>
      <c r="L60" s="55">
        <v>98878</v>
      </c>
      <c r="M60" s="55">
        <v>106382</v>
      </c>
    </row>
    <row r="61" spans="1:13">
      <c r="A61" s="55" t="s">
        <v>324</v>
      </c>
      <c r="B61" s="55" t="s">
        <v>383</v>
      </c>
      <c r="C61" s="55">
        <v>384458</v>
      </c>
      <c r="D61" s="55">
        <v>424272</v>
      </c>
      <c r="E61" s="55">
        <v>470395</v>
      </c>
      <c r="F61" s="55">
        <v>516511</v>
      </c>
      <c r="G61" s="55">
        <v>523981</v>
      </c>
      <c r="H61" s="55">
        <v>566610</v>
      </c>
      <c r="I61" s="55">
        <v>600943</v>
      </c>
      <c r="J61" s="55">
        <v>639680</v>
      </c>
      <c r="K61" s="55">
        <v>687320</v>
      </c>
      <c r="L61" s="55">
        <v>756547</v>
      </c>
      <c r="M61" s="55">
        <v>842071</v>
      </c>
    </row>
    <row r="62" spans="1:13">
      <c r="A62" s="55" t="s">
        <v>324</v>
      </c>
      <c r="B62" s="55" t="s">
        <v>384</v>
      </c>
      <c r="C62" s="55">
        <v>221106</v>
      </c>
      <c r="D62" s="55">
        <v>254467</v>
      </c>
      <c r="E62" s="55">
        <v>284569</v>
      </c>
      <c r="F62" s="55">
        <v>315077</v>
      </c>
      <c r="G62" s="55">
        <v>320638</v>
      </c>
      <c r="H62" s="55">
        <v>347417</v>
      </c>
      <c r="I62" s="55">
        <v>365504</v>
      </c>
      <c r="J62" s="55">
        <v>386525</v>
      </c>
      <c r="K62" s="55">
        <v>411914</v>
      </c>
      <c r="L62" s="55">
        <v>454284</v>
      </c>
      <c r="M62" s="55">
        <v>503965</v>
      </c>
    </row>
    <row r="63" spans="1:13">
      <c r="A63" s="55" t="s">
        <v>324</v>
      </c>
      <c r="B63" s="55" t="s">
        <v>385</v>
      </c>
      <c r="C63" s="55">
        <v>59684</v>
      </c>
      <c r="D63" s="55">
        <v>70179</v>
      </c>
      <c r="E63" s="55">
        <v>76262</v>
      </c>
      <c r="F63" s="55">
        <v>83590</v>
      </c>
      <c r="G63" s="55">
        <v>86203</v>
      </c>
      <c r="H63" s="55">
        <v>93531</v>
      </c>
      <c r="I63" s="55">
        <v>95322</v>
      </c>
      <c r="J63" s="55">
        <v>96451</v>
      </c>
      <c r="K63" s="55">
        <v>97888</v>
      </c>
      <c r="L63" s="55">
        <v>104182</v>
      </c>
      <c r="M63" s="55">
        <v>108937</v>
      </c>
    </row>
    <row r="64" spans="1:13">
      <c r="A64" s="55" t="s">
        <v>324</v>
      </c>
      <c r="B64" s="55" t="s">
        <v>386</v>
      </c>
      <c r="C64" s="55">
        <v>21347</v>
      </c>
      <c r="D64" s="55">
        <v>23890</v>
      </c>
      <c r="E64" s="55">
        <v>26997</v>
      </c>
      <c r="F64" s="55">
        <v>30028</v>
      </c>
      <c r="G64" s="55">
        <v>32010</v>
      </c>
      <c r="H64" s="55">
        <v>35618</v>
      </c>
      <c r="I64" s="55">
        <v>39923</v>
      </c>
      <c r="J64" s="55">
        <v>45205</v>
      </c>
      <c r="K64" s="55">
        <v>50369</v>
      </c>
      <c r="L64" s="55">
        <v>59860</v>
      </c>
      <c r="M64" s="55">
        <v>75514</v>
      </c>
    </row>
    <row r="65" spans="1:13">
      <c r="A65" s="55" t="s">
        <v>324</v>
      </c>
      <c r="B65" s="55" t="s">
        <v>387</v>
      </c>
      <c r="C65" s="55">
        <v>140075</v>
      </c>
      <c r="D65" s="55">
        <v>160398</v>
      </c>
      <c r="E65" s="55">
        <v>181309</v>
      </c>
      <c r="F65" s="55">
        <v>201460</v>
      </c>
      <c r="G65" s="55">
        <v>202424</v>
      </c>
      <c r="H65" s="55">
        <v>218268</v>
      </c>
      <c r="I65" s="55">
        <v>230259</v>
      </c>
      <c r="J65" s="55">
        <v>244869</v>
      </c>
      <c r="K65" s="55">
        <v>263658</v>
      </c>
      <c r="L65" s="55">
        <v>290242</v>
      </c>
      <c r="M65" s="55">
        <v>319514</v>
      </c>
    </row>
    <row r="66" spans="1:13">
      <c r="A66" s="55" t="s">
        <v>324</v>
      </c>
      <c r="B66" s="55" t="s">
        <v>388</v>
      </c>
      <c r="C66" s="55">
        <v>76940</v>
      </c>
      <c r="D66" s="55">
        <v>73235</v>
      </c>
      <c r="E66" s="55">
        <v>77528</v>
      </c>
      <c r="F66" s="55">
        <v>80270</v>
      </c>
      <c r="G66" s="55">
        <v>81354</v>
      </c>
      <c r="H66" s="55">
        <v>84694</v>
      </c>
      <c r="I66" s="55">
        <v>92365</v>
      </c>
      <c r="J66" s="55">
        <v>96410</v>
      </c>
      <c r="K66" s="55">
        <v>103153</v>
      </c>
      <c r="L66" s="55">
        <v>111301</v>
      </c>
      <c r="M66" s="55">
        <v>124084</v>
      </c>
    </row>
    <row r="67" spans="1:13">
      <c r="A67" s="55" t="s">
        <v>324</v>
      </c>
      <c r="B67" s="55" t="s">
        <v>389</v>
      </c>
      <c r="C67" s="55">
        <v>86413</v>
      </c>
      <c r="D67" s="55">
        <v>96570</v>
      </c>
      <c r="E67" s="55">
        <v>108299</v>
      </c>
      <c r="F67" s="55">
        <v>121163</v>
      </c>
      <c r="G67" s="55">
        <v>121989</v>
      </c>
      <c r="H67" s="55">
        <v>134500</v>
      </c>
      <c r="I67" s="55">
        <v>143073</v>
      </c>
      <c r="J67" s="55">
        <v>156744</v>
      </c>
      <c r="K67" s="55">
        <v>172252</v>
      </c>
      <c r="L67" s="55">
        <v>190963</v>
      </c>
      <c r="M67" s="55">
        <v>214022</v>
      </c>
    </row>
    <row r="68" spans="1:13">
      <c r="A68" s="55" t="s">
        <v>324</v>
      </c>
      <c r="B68" s="55" t="s">
        <v>390</v>
      </c>
      <c r="C68" s="55">
        <v>75327</v>
      </c>
      <c r="D68" s="55">
        <v>84169</v>
      </c>
      <c r="E68" s="55">
        <v>94573</v>
      </c>
      <c r="F68" s="55">
        <v>106318</v>
      </c>
      <c r="G68" s="55">
        <v>106925</v>
      </c>
      <c r="H68" s="55">
        <v>118070</v>
      </c>
      <c r="I68" s="55">
        <v>125175</v>
      </c>
      <c r="J68" s="55">
        <v>137319</v>
      </c>
      <c r="K68" s="55">
        <v>151774</v>
      </c>
      <c r="L68" s="55">
        <v>170078</v>
      </c>
      <c r="M68" s="55">
        <v>192265</v>
      </c>
    </row>
    <row r="69" spans="1:13">
      <c r="A69" s="55" t="s">
        <v>324</v>
      </c>
      <c r="B69" s="55" t="s">
        <v>391</v>
      </c>
      <c r="C69" s="55">
        <v>11085</v>
      </c>
      <c r="D69" s="55">
        <v>12401</v>
      </c>
      <c r="E69" s="55">
        <v>13726</v>
      </c>
      <c r="F69" s="55">
        <v>14845</v>
      </c>
      <c r="G69" s="55">
        <v>15065</v>
      </c>
      <c r="H69" s="55">
        <v>16430</v>
      </c>
      <c r="I69" s="55">
        <v>17898</v>
      </c>
      <c r="J69" s="55">
        <v>19426</v>
      </c>
      <c r="K69" s="55">
        <v>20479</v>
      </c>
      <c r="L69" s="55">
        <v>20884</v>
      </c>
      <c r="M69" s="55">
        <v>21756</v>
      </c>
    </row>
    <row r="70" spans="1:13">
      <c r="A70" s="55" t="s">
        <v>324</v>
      </c>
      <c r="B70" s="55" t="s">
        <v>392</v>
      </c>
      <c r="C70" s="55">
        <v>277728</v>
      </c>
      <c r="D70" s="55">
        <v>301492</v>
      </c>
      <c r="E70" s="55">
        <v>337436</v>
      </c>
      <c r="F70" s="55">
        <v>376654</v>
      </c>
      <c r="G70" s="55">
        <v>413418</v>
      </c>
      <c r="H70" s="55">
        <v>452889</v>
      </c>
      <c r="I70" s="55">
        <v>476424</v>
      </c>
      <c r="J70" s="55">
        <v>500166</v>
      </c>
      <c r="K70" s="55">
        <v>523949</v>
      </c>
      <c r="L70" s="55">
        <v>545441</v>
      </c>
      <c r="M70" s="55">
        <v>571387</v>
      </c>
    </row>
    <row r="71" spans="1:13">
      <c r="A71" s="55" t="s">
        <v>324</v>
      </c>
      <c r="B71" s="55" t="s">
        <v>393</v>
      </c>
      <c r="C71" s="55">
        <v>33336</v>
      </c>
      <c r="D71" s="55">
        <v>35580</v>
      </c>
      <c r="E71" s="55">
        <v>38692</v>
      </c>
      <c r="F71" s="55">
        <v>41205</v>
      </c>
      <c r="G71" s="55">
        <v>45431</v>
      </c>
      <c r="H71" s="55">
        <v>48903</v>
      </c>
      <c r="I71" s="55">
        <v>51712</v>
      </c>
      <c r="J71" s="55">
        <v>55515</v>
      </c>
      <c r="K71" s="55">
        <v>58868</v>
      </c>
      <c r="L71" s="55">
        <v>62536</v>
      </c>
      <c r="M71" s="55">
        <v>66861</v>
      </c>
    </row>
    <row r="72" spans="1:13">
      <c r="A72" s="55" t="s">
        <v>324</v>
      </c>
      <c r="B72" s="55" t="s">
        <v>394</v>
      </c>
      <c r="C72" s="55">
        <v>244392</v>
      </c>
      <c r="D72" s="55">
        <v>265912</v>
      </c>
      <c r="E72" s="55">
        <v>298745</v>
      </c>
      <c r="F72" s="55">
        <v>335449</v>
      </c>
      <c r="G72" s="55">
        <v>367987</v>
      </c>
      <c r="H72" s="55">
        <v>403985</v>
      </c>
      <c r="I72" s="55">
        <v>424712</v>
      </c>
      <c r="J72" s="55">
        <v>444651</v>
      </c>
      <c r="K72" s="55">
        <v>465081</v>
      </c>
      <c r="L72" s="55">
        <v>482905</v>
      </c>
      <c r="M72" s="55">
        <v>504526</v>
      </c>
    </row>
    <row r="73" spans="1:13">
      <c r="A73" s="55" t="s">
        <v>324</v>
      </c>
      <c r="B73" s="55" t="s">
        <v>395</v>
      </c>
      <c r="C73" s="55">
        <v>120287</v>
      </c>
      <c r="D73" s="55">
        <v>131989</v>
      </c>
      <c r="E73" s="55">
        <v>147839</v>
      </c>
      <c r="F73" s="55">
        <v>166347</v>
      </c>
      <c r="G73" s="55">
        <v>182210</v>
      </c>
      <c r="H73" s="55">
        <v>200840</v>
      </c>
      <c r="I73" s="55">
        <v>210475</v>
      </c>
      <c r="J73" s="55">
        <v>222439</v>
      </c>
      <c r="K73" s="55">
        <v>233181</v>
      </c>
      <c r="L73" s="55">
        <v>240519</v>
      </c>
      <c r="M73" s="55">
        <v>249392</v>
      </c>
    </row>
    <row r="74" spans="1:13">
      <c r="A74" s="55" t="s">
        <v>324</v>
      </c>
      <c r="B74" s="55" t="s">
        <v>396</v>
      </c>
      <c r="C74" s="55">
        <v>108209</v>
      </c>
      <c r="D74" s="55">
        <v>116497</v>
      </c>
      <c r="E74" s="55">
        <v>130991</v>
      </c>
      <c r="F74" s="55">
        <v>146913</v>
      </c>
      <c r="G74" s="55">
        <v>162000</v>
      </c>
      <c r="H74" s="55">
        <v>175913</v>
      </c>
      <c r="I74" s="55">
        <v>185230</v>
      </c>
      <c r="J74" s="55">
        <v>191026</v>
      </c>
      <c r="K74" s="55">
        <v>198777</v>
      </c>
      <c r="L74" s="55">
        <v>208134</v>
      </c>
      <c r="M74" s="55">
        <v>215881</v>
      </c>
    </row>
    <row r="75" spans="1:13">
      <c r="A75" s="55" t="s">
        <v>324</v>
      </c>
      <c r="B75" s="55" t="s">
        <v>397</v>
      </c>
      <c r="C75" s="55">
        <v>15896</v>
      </c>
      <c r="D75" s="55">
        <v>17425</v>
      </c>
      <c r="E75" s="55">
        <v>19914</v>
      </c>
      <c r="F75" s="55">
        <v>22190</v>
      </c>
      <c r="G75" s="55">
        <v>23777</v>
      </c>
      <c r="H75" s="55">
        <v>27233</v>
      </c>
      <c r="I75" s="55">
        <v>29008</v>
      </c>
      <c r="J75" s="55">
        <v>31186</v>
      </c>
      <c r="K75" s="55">
        <v>33123</v>
      </c>
      <c r="L75" s="55">
        <v>34253</v>
      </c>
      <c r="M75" s="55">
        <v>39253</v>
      </c>
    </row>
    <row r="76" spans="1:13">
      <c r="A76" s="55" t="s">
        <v>324</v>
      </c>
      <c r="B76" s="55" t="s">
        <v>398</v>
      </c>
      <c r="C76" s="55">
        <v>152333</v>
      </c>
      <c r="D76" s="55">
        <v>168843</v>
      </c>
      <c r="E76" s="55">
        <v>183959</v>
      </c>
      <c r="F76" s="55">
        <v>199583</v>
      </c>
      <c r="G76" s="55">
        <v>205931</v>
      </c>
      <c r="H76" s="55">
        <v>218996</v>
      </c>
      <c r="I76" s="55">
        <v>230921</v>
      </c>
      <c r="J76" s="55">
        <v>242291</v>
      </c>
      <c r="K76" s="55">
        <v>255349</v>
      </c>
      <c r="L76" s="55">
        <v>272809</v>
      </c>
      <c r="M76" s="55">
        <v>300251</v>
      </c>
    </row>
    <row r="77" spans="1:13">
      <c r="A77" s="55" t="s">
        <v>324</v>
      </c>
      <c r="B77" s="55" t="s">
        <v>399</v>
      </c>
      <c r="C77" s="55">
        <v>32595</v>
      </c>
      <c r="D77" s="55">
        <v>35195</v>
      </c>
      <c r="E77" s="55">
        <v>40989</v>
      </c>
      <c r="F77" s="55">
        <v>47581</v>
      </c>
      <c r="G77" s="55">
        <v>49335</v>
      </c>
      <c r="H77" s="55">
        <v>56247</v>
      </c>
      <c r="I77" s="55">
        <v>58000</v>
      </c>
      <c r="J77" s="55">
        <v>60592</v>
      </c>
      <c r="K77" s="55">
        <v>65880</v>
      </c>
      <c r="L77" s="55">
        <v>70788</v>
      </c>
      <c r="M77" s="55">
        <v>79712</v>
      </c>
    </row>
    <row r="78" spans="1:13">
      <c r="A78" s="55" t="s">
        <v>324</v>
      </c>
      <c r="B78" s="55" t="s">
        <v>400</v>
      </c>
      <c r="C78" s="55">
        <v>15130</v>
      </c>
      <c r="D78" s="55">
        <v>16185</v>
      </c>
      <c r="E78" s="55">
        <v>18283</v>
      </c>
      <c r="F78" s="55">
        <v>21919</v>
      </c>
      <c r="G78" s="55">
        <v>22915</v>
      </c>
      <c r="H78" s="55">
        <v>25413</v>
      </c>
      <c r="I78" s="55">
        <v>27418</v>
      </c>
      <c r="J78" s="55">
        <v>28718</v>
      </c>
      <c r="K78" s="55">
        <v>31032</v>
      </c>
      <c r="L78" s="55">
        <v>33760</v>
      </c>
      <c r="M78" s="55">
        <v>36964</v>
      </c>
    </row>
    <row r="79" spans="1:13">
      <c r="A79" s="55" t="s">
        <v>324</v>
      </c>
      <c r="B79" s="55" t="s">
        <v>401</v>
      </c>
      <c r="C79" s="55">
        <v>17465</v>
      </c>
      <c r="D79" s="55">
        <v>19011</v>
      </c>
      <c r="E79" s="55">
        <v>22706</v>
      </c>
      <c r="F79" s="55">
        <v>25662</v>
      </c>
      <c r="G79" s="55">
        <v>26420</v>
      </c>
      <c r="H79" s="55">
        <v>30834</v>
      </c>
      <c r="I79" s="55">
        <v>30582</v>
      </c>
      <c r="J79" s="55">
        <v>31873</v>
      </c>
      <c r="K79" s="55">
        <v>34848</v>
      </c>
      <c r="L79" s="55">
        <v>37028</v>
      </c>
      <c r="M79" s="55">
        <v>42748</v>
      </c>
    </row>
    <row r="80" spans="1:13">
      <c r="A80" s="55" t="s">
        <v>324</v>
      </c>
      <c r="B80" s="55" t="s">
        <v>402</v>
      </c>
      <c r="C80" s="55">
        <v>119739</v>
      </c>
      <c r="D80" s="55">
        <v>133648</v>
      </c>
      <c r="E80" s="55">
        <v>142969</v>
      </c>
      <c r="F80" s="55">
        <v>152002</v>
      </c>
      <c r="G80" s="55">
        <v>156596</v>
      </c>
      <c r="H80" s="55">
        <v>162749</v>
      </c>
      <c r="I80" s="55">
        <v>172921</v>
      </c>
      <c r="J80" s="55">
        <v>181700</v>
      </c>
      <c r="K80" s="55">
        <v>189469</v>
      </c>
      <c r="L80" s="55">
        <v>202021</v>
      </c>
      <c r="M80" s="55">
        <v>220538</v>
      </c>
    </row>
    <row r="81" spans="1:20">
      <c r="A81" s="55" t="s">
        <v>324</v>
      </c>
      <c r="B81" s="55" t="s">
        <v>403</v>
      </c>
      <c r="C81" s="55">
        <v>36165</v>
      </c>
      <c r="D81" s="55">
        <v>38658</v>
      </c>
      <c r="E81" s="55">
        <v>41860</v>
      </c>
      <c r="F81" s="55">
        <v>44325</v>
      </c>
      <c r="G81" s="55">
        <v>46166</v>
      </c>
      <c r="H81" s="55">
        <v>48886</v>
      </c>
      <c r="I81" s="55">
        <v>51964</v>
      </c>
      <c r="J81" s="55">
        <v>55298</v>
      </c>
      <c r="K81" s="55">
        <v>59266</v>
      </c>
      <c r="L81" s="55">
        <v>64201</v>
      </c>
      <c r="M81" s="55">
        <v>70335</v>
      </c>
    </row>
    <row r="82" spans="1:20">
      <c r="A82" s="55" t="s">
        <v>324</v>
      </c>
      <c r="B82" s="55" t="s">
        <v>404</v>
      </c>
      <c r="C82" s="55">
        <v>83573</v>
      </c>
      <c r="D82" s="55">
        <v>94989</v>
      </c>
      <c r="E82" s="55">
        <v>101109</v>
      </c>
      <c r="F82" s="55">
        <v>107677</v>
      </c>
      <c r="G82" s="55">
        <v>110429</v>
      </c>
      <c r="H82" s="55">
        <v>113863</v>
      </c>
      <c r="I82" s="55">
        <v>120957</v>
      </c>
      <c r="J82" s="55">
        <v>126401</v>
      </c>
      <c r="K82" s="55">
        <v>130203</v>
      </c>
      <c r="L82" s="55">
        <v>137820</v>
      </c>
      <c r="M82" s="55">
        <v>150203</v>
      </c>
    </row>
    <row r="83" spans="1:20">
      <c r="A83" s="55" t="s">
        <v>324</v>
      </c>
      <c r="B83" s="55" t="s">
        <v>405</v>
      </c>
      <c r="C83" s="55">
        <v>121065</v>
      </c>
      <c r="D83" s="55">
        <v>133043</v>
      </c>
      <c r="E83" s="55">
        <v>144843</v>
      </c>
      <c r="F83" s="55">
        <v>153896</v>
      </c>
      <c r="G83" s="55">
        <v>155880</v>
      </c>
      <c r="H83" s="55">
        <v>166285</v>
      </c>
      <c r="I83" s="55">
        <v>178296</v>
      </c>
      <c r="J83" s="55">
        <v>190703</v>
      </c>
      <c r="K83" s="55">
        <v>200734</v>
      </c>
      <c r="L83" s="55">
        <v>211181</v>
      </c>
      <c r="M83" s="55">
        <v>223755</v>
      </c>
    </row>
    <row r="84" spans="1:20">
      <c r="A84" s="55" t="s">
        <v>324</v>
      </c>
      <c r="B84" s="55" t="s">
        <v>174</v>
      </c>
      <c r="C84" s="55">
        <v>658442</v>
      </c>
      <c r="D84" s="55">
        <v>705147</v>
      </c>
      <c r="E84" s="55">
        <v>752430</v>
      </c>
      <c r="F84" s="55">
        <v>806244</v>
      </c>
      <c r="G84" s="55">
        <v>858867</v>
      </c>
      <c r="H84" s="55">
        <v>900348</v>
      </c>
      <c r="I84" s="55">
        <v>931420</v>
      </c>
      <c r="J84" s="55">
        <v>965270</v>
      </c>
      <c r="K84" s="55">
        <v>994648</v>
      </c>
      <c r="L84" s="55">
        <v>1025906</v>
      </c>
      <c r="M84" s="55">
        <v>1061341</v>
      </c>
    </row>
    <row r="85" spans="1:20">
      <c r="A85" s="55" t="s">
        <v>324</v>
      </c>
      <c r="B85" s="55" t="s">
        <v>219</v>
      </c>
      <c r="C85" s="55">
        <v>256619</v>
      </c>
      <c r="D85" s="55">
        <v>272060</v>
      </c>
      <c r="E85" s="55">
        <v>285914</v>
      </c>
      <c r="F85" s="55">
        <v>298912</v>
      </c>
      <c r="G85" s="55">
        <v>320847</v>
      </c>
      <c r="H85" s="55">
        <v>332979</v>
      </c>
      <c r="I85" s="55">
        <v>334674</v>
      </c>
      <c r="J85" s="55">
        <v>337217</v>
      </c>
      <c r="K85" s="55">
        <v>337013</v>
      </c>
      <c r="L85" s="55">
        <v>341647</v>
      </c>
      <c r="M85" s="55">
        <v>347110</v>
      </c>
    </row>
    <row r="86" spans="1:20">
      <c r="A86" s="55" t="s">
        <v>324</v>
      </c>
      <c r="B86" s="55" t="s">
        <v>406</v>
      </c>
      <c r="C86" s="55">
        <v>223304</v>
      </c>
      <c r="D86" s="55">
        <v>234750</v>
      </c>
      <c r="E86" s="55">
        <v>246444</v>
      </c>
      <c r="F86" s="55">
        <v>258797</v>
      </c>
      <c r="G86" s="55">
        <v>274834</v>
      </c>
      <c r="H86" s="55">
        <v>281995</v>
      </c>
      <c r="I86" s="55">
        <v>285190</v>
      </c>
      <c r="J86" s="55">
        <v>285165</v>
      </c>
      <c r="K86" s="55">
        <v>283597</v>
      </c>
      <c r="L86" s="55">
        <v>287561</v>
      </c>
      <c r="M86" s="55">
        <v>290030</v>
      </c>
    </row>
    <row r="87" spans="1:20">
      <c r="A87" s="55" t="s">
        <v>324</v>
      </c>
      <c r="B87" s="55" t="s">
        <v>407</v>
      </c>
      <c r="C87" s="55">
        <v>33315</v>
      </c>
      <c r="D87" s="55">
        <v>37310</v>
      </c>
      <c r="E87" s="55">
        <v>39470</v>
      </c>
      <c r="F87" s="55">
        <v>40115</v>
      </c>
      <c r="G87" s="55">
        <v>46013</v>
      </c>
      <c r="H87" s="55">
        <v>50984</v>
      </c>
      <c r="I87" s="55">
        <v>49484</v>
      </c>
      <c r="J87" s="55">
        <v>52052</v>
      </c>
      <c r="K87" s="55">
        <v>53416</v>
      </c>
      <c r="L87" s="55">
        <v>54086</v>
      </c>
      <c r="M87" s="55">
        <v>57080</v>
      </c>
    </row>
    <row r="88" spans="1:20">
      <c r="A88" s="55" t="s">
        <v>324</v>
      </c>
      <c r="B88" s="55" t="s">
        <v>221</v>
      </c>
      <c r="C88" s="55">
        <v>401823</v>
      </c>
      <c r="D88" s="55">
        <v>433087</v>
      </c>
      <c r="E88" s="55">
        <v>466516</v>
      </c>
      <c r="F88" s="55">
        <v>507332</v>
      </c>
      <c r="G88" s="55">
        <v>538020</v>
      </c>
      <c r="H88" s="55">
        <v>567369</v>
      </c>
      <c r="I88" s="55">
        <v>596746</v>
      </c>
      <c r="J88" s="55">
        <v>628053</v>
      </c>
      <c r="K88" s="55">
        <v>657635</v>
      </c>
      <c r="L88" s="55">
        <v>684259</v>
      </c>
      <c r="M88" s="55">
        <v>714231</v>
      </c>
    </row>
    <row r="89" spans="1:20">
      <c r="A89" s="55" t="s">
        <v>324</v>
      </c>
      <c r="B89" s="55" t="s">
        <v>406</v>
      </c>
      <c r="C89" s="55">
        <v>368235</v>
      </c>
      <c r="D89" s="55">
        <v>395847</v>
      </c>
      <c r="E89" s="55">
        <v>425781</v>
      </c>
      <c r="F89" s="55">
        <v>463856</v>
      </c>
      <c r="G89" s="55">
        <v>492770</v>
      </c>
      <c r="H89" s="55">
        <v>519931</v>
      </c>
      <c r="I89" s="55">
        <v>545976</v>
      </c>
      <c r="J89" s="55">
        <v>574739</v>
      </c>
      <c r="K89" s="55">
        <v>601163</v>
      </c>
      <c r="L89" s="55">
        <v>623725</v>
      </c>
      <c r="M89" s="55">
        <v>650286</v>
      </c>
    </row>
    <row r="90" spans="1:20">
      <c r="A90" s="55" t="s">
        <v>324</v>
      </c>
      <c r="B90" s="55" t="s">
        <v>407</v>
      </c>
      <c r="C90" s="55">
        <v>33588</v>
      </c>
      <c r="D90" s="55">
        <v>37240</v>
      </c>
      <c r="E90" s="55">
        <v>40735</v>
      </c>
      <c r="F90" s="55">
        <v>43476</v>
      </c>
      <c r="G90" s="55">
        <v>45250</v>
      </c>
      <c r="H90" s="55">
        <v>47438</v>
      </c>
      <c r="I90" s="55">
        <v>50770</v>
      </c>
      <c r="J90" s="55">
        <v>53314</v>
      </c>
      <c r="K90" s="55">
        <v>56472</v>
      </c>
      <c r="L90" s="55">
        <v>60534</v>
      </c>
      <c r="M90" s="55">
        <v>63945</v>
      </c>
    </row>
    <row r="91" spans="1:20">
      <c r="A91" s="55" t="s">
        <v>324</v>
      </c>
      <c r="B91" s="55" t="s">
        <v>408</v>
      </c>
      <c r="C91" s="55">
        <v>1185016</v>
      </c>
      <c r="D91" s="55">
        <v>1278777</v>
      </c>
      <c r="E91" s="55">
        <v>1358869</v>
      </c>
      <c r="F91" s="55">
        <v>1396533</v>
      </c>
      <c r="G91" s="55">
        <v>1373182</v>
      </c>
      <c r="H91" s="55">
        <v>1422754</v>
      </c>
      <c r="I91" s="55">
        <v>1474315</v>
      </c>
      <c r="J91" s="55">
        <v>1586063</v>
      </c>
      <c r="K91" s="55">
        <v>1643119</v>
      </c>
      <c r="L91" s="55">
        <v>1733599</v>
      </c>
      <c r="M91" s="55">
        <v>1827235</v>
      </c>
    </row>
    <row r="92" spans="1:20">
      <c r="A92" s="55" t="s">
        <v>324</v>
      </c>
      <c r="B92" s="55" t="s">
        <v>409</v>
      </c>
      <c r="C92" s="55">
        <v>2892896</v>
      </c>
      <c r="D92" s="55">
        <v>3116499</v>
      </c>
      <c r="E92" s="55">
        <v>3370847</v>
      </c>
      <c r="F92" s="55">
        <v>3597750</v>
      </c>
      <c r="G92" s="55">
        <v>3760045</v>
      </c>
      <c r="H92" s="55">
        <v>4019204</v>
      </c>
      <c r="I92" s="55">
        <v>4261615</v>
      </c>
      <c r="J92" s="55">
        <v>4533827</v>
      </c>
      <c r="K92" s="55">
        <v>4776888</v>
      </c>
      <c r="L92" s="55">
        <v>5078951</v>
      </c>
      <c r="M92" s="55">
        <v>5443786</v>
      </c>
    </row>
    <row r="93" spans="1:20">
      <c r="A93" s="55" t="s">
        <v>324</v>
      </c>
      <c r="B93" s="55" t="s">
        <v>410</v>
      </c>
      <c r="C93" s="55">
        <v>161260</v>
      </c>
      <c r="D93" s="55">
        <v>176102</v>
      </c>
      <c r="E93" s="55">
        <v>188401</v>
      </c>
      <c r="F93" s="55">
        <v>197297</v>
      </c>
      <c r="G93" s="55">
        <v>203829</v>
      </c>
      <c r="H93" s="55">
        <v>215949</v>
      </c>
      <c r="I93" s="55">
        <v>227404</v>
      </c>
      <c r="J93" s="55">
        <v>253404</v>
      </c>
      <c r="K93" s="55">
        <v>275859</v>
      </c>
      <c r="L93" s="55">
        <v>303962</v>
      </c>
      <c r="M93" s="55">
        <v>343181</v>
      </c>
    </row>
    <row r="95" spans="1:20">
      <c r="A95" s="17" t="s">
        <v>411</v>
      </c>
    </row>
    <row r="96" spans="1:20">
      <c r="A96" s="55" t="s">
        <v>412</v>
      </c>
      <c r="B96" s="55" t="s">
        <v>325</v>
      </c>
      <c r="C96" s="56">
        <v>100</v>
      </c>
      <c r="D96" s="56">
        <v>100</v>
      </c>
      <c r="E96" s="56">
        <v>100</v>
      </c>
      <c r="F96" s="56">
        <v>100</v>
      </c>
      <c r="G96" s="56">
        <v>100</v>
      </c>
      <c r="H96" s="56">
        <v>100</v>
      </c>
      <c r="I96" s="56">
        <v>100</v>
      </c>
      <c r="J96" s="56">
        <v>100</v>
      </c>
      <c r="K96" s="56">
        <v>100</v>
      </c>
      <c r="L96" s="56">
        <v>100</v>
      </c>
      <c r="M96" s="56">
        <v>100</v>
      </c>
      <c r="N96" s="57"/>
      <c r="O96" s="57"/>
      <c r="P96" s="57"/>
      <c r="Q96" s="57"/>
      <c r="R96" s="57"/>
      <c r="S96" s="57"/>
      <c r="T96" s="57"/>
    </row>
    <row r="97" spans="1:20">
      <c r="A97" s="55" t="s">
        <v>412</v>
      </c>
      <c r="B97" s="55" t="s">
        <v>326</v>
      </c>
      <c r="C97" s="56">
        <v>86.1</v>
      </c>
      <c r="D97" s="56">
        <v>86.2</v>
      </c>
      <c r="E97" s="56">
        <v>86.3</v>
      </c>
      <c r="F97" s="56">
        <v>86.1</v>
      </c>
      <c r="G97" s="56">
        <v>85.7</v>
      </c>
      <c r="H97" s="56">
        <v>85.8</v>
      </c>
      <c r="I97" s="56">
        <v>86</v>
      </c>
      <c r="J97" s="56">
        <v>86.4</v>
      </c>
      <c r="K97" s="56">
        <v>86.6</v>
      </c>
      <c r="L97" s="56">
        <v>86.9</v>
      </c>
      <c r="M97" s="56">
        <v>87.3</v>
      </c>
      <c r="N97" s="57"/>
      <c r="O97" s="57"/>
      <c r="P97" s="57"/>
      <c r="Q97" s="57"/>
      <c r="R97" s="57"/>
      <c r="S97" s="57"/>
      <c r="T97" s="57"/>
    </row>
    <row r="98" spans="1:20">
      <c r="A98" s="55" t="s">
        <v>412</v>
      </c>
      <c r="B98" s="55" t="s">
        <v>327</v>
      </c>
      <c r="C98" s="56">
        <v>1.7</v>
      </c>
      <c r="D98" s="56">
        <v>1.5</v>
      </c>
      <c r="E98" s="56">
        <v>1.7</v>
      </c>
      <c r="F98" s="56">
        <v>1.6</v>
      </c>
      <c r="G98" s="56">
        <v>1.5</v>
      </c>
      <c r="H98" s="56">
        <v>1.6</v>
      </c>
      <c r="I98" s="56">
        <v>1.4</v>
      </c>
      <c r="J98" s="56">
        <v>1.5</v>
      </c>
      <c r="K98" s="56">
        <v>1.2</v>
      </c>
      <c r="L98" s="56">
        <v>1.5</v>
      </c>
      <c r="M98" s="56">
        <v>1.3</v>
      </c>
      <c r="N98" s="57"/>
      <c r="O98" s="57"/>
      <c r="P98" s="57"/>
      <c r="Q98" s="57"/>
      <c r="R98" s="57"/>
      <c r="S98" s="57"/>
      <c r="T98" s="57"/>
    </row>
    <row r="99" spans="1:20">
      <c r="A99" s="55" t="s">
        <v>412</v>
      </c>
      <c r="B99" s="55" t="s">
        <v>328</v>
      </c>
      <c r="C99" s="56">
        <v>1.3</v>
      </c>
      <c r="D99" s="56">
        <v>1.2</v>
      </c>
      <c r="E99" s="56">
        <v>1.3</v>
      </c>
      <c r="F99" s="56">
        <v>1.3</v>
      </c>
      <c r="G99" s="56">
        <v>1.2</v>
      </c>
      <c r="H99" s="56">
        <v>1.3</v>
      </c>
      <c r="I99" s="56">
        <v>1.1000000000000001</v>
      </c>
      <c r="J99" s="56">
        <v>1.2</v>
      </c>
      <c r="K99" s="56">
        <v>0.9</v>
      </c>
      <c r="L99" s="56">
        <v>1.2</v>
      </c>
      <c r="M99" s="56">
        <v>1.1000000000000001</v>
      </c>
      <c r="N99" s="57"/>
      <c r="O99" s="57"/>
      <c r="P99" s="57"/>
      <c r="Q99" s="57"/>
      <c r="R99" s="57"/>
      <c r="S99" s="57"/>
      <c r="T99" s="57"/>
    </row>
    <row r="100" spans="1:20">
      <c r="A100" s="55" t="s">
        <v>412</v>
      </c>
      <c r="B100" s="55" t="s">
        <v>329</v>
      </c>
      <c r="C100" s="56">
        <v>0.4</v>
      </c>
      <c r="D100" s="56">
        <v>0.3</v>
      </c>
      <c r="E100" s="56">
        <v>0.3</v>
      </c>
      <c r="F100" s="56">
        <v>0.3</v>
      </c>
      <c r="G100" s="56">
        <v>0.3</v>
      </c>
      <c r="H100" s="56">
        <v>0.3</v>
      </c>
      <c r="I100" s="56">
        <v>0.3</v>
      </c>
      <c r="J100" s="56">
        <v>0.3</v>
      </c>
      <c r="K100" s="56">
        <v>0.3</v>
      </c>
      <c r="L100" s="56">
        <v>0.3</v>
      </c>
      <c r="M100" s="56">
        <v>0.2</v>
      </c>
      <c r="N100" s="57"/>
      <c r="O100" s="57"/>
      <c r="P100" s="57"/>
      <c r="Q100" s="57"/>
      <c r="R100" s="57"/>
      <c r="S100" s="57"/>
      <c r="T100" s="57"/>
    </row>
    <row r="101" spans="1:20">
      <c r="A101" s="55" t="s">
        <v>412</v>
      </c>
      <c r="B101" s="55" t="s">
        <v>330</v>
      </c>
      <c r="C101" s="56">
        <v>1.5</v>
      </c>
      <c r="D101" s="56">
        <v>1.5</v>
      </c>
      <c r="E101" s="56">
        <v>1.4</v>
      </c>
      <c r="F101" s="56">
        <v>1.5</v>
      </c>
      <c r="G101" s="56">
        <v>1.3</v>
      </c>
      <c r="H101" s="56">
        <v>1.2</v>
      </c>
      <c r="I101" s="56">
        <v>1.1000000000000001</v>
      </c>
      <c r="J101" s="56">
        <v>1.1000000000000001</v>
      </c>
      <c r="K101" s="56">
        <v>1</v>
      </c>
      <c r="L101" s="56">
        <v>1.1000000000000001</v>
      </c>
      <c r="M101" s="56">
        <v>1.1000000000000001</v>
      </c>
      <c r="N101" s="57"/>
      <c r="O101" s="57"/>
      <c r="P101" s="57"/>
      <c r="Q101" s="57"/>
      <c r="R101" s="57"/>
      <c r="S101" s="57"/>
      <c r="T101" s="57"/>
    </row>
    <row r="102" spans="1:20">
      <c r="A102" s="55" t="s">
        <v>412</v>
      </c>
      <c r="B102" s="55" t="s">
        <v>331</v>
      </c>
      <c r="C102" s="56">
        <v>1</v>
      </c>
      <c r="D102" s="56">
        <v>0.8</v>
      </c>
      <c r="E102" s="56">
        <v>0.9</v>
      </c>
      <c r="F102" s="56">
        <v>1</v>
      </c>
      <c r="G102" s="56">
        <v>0.8</v>
      </c>
      <c r="H102" s="56">
        <v>0.7</v>
      </c>
      <c r="I102" s="56">
        <v>0.6</v>
      </c>
      <c r="J102" s="56">
        <v>0.6</v>
      </c>
      <c r="K102" s="56">
        <v>0.6</v>
      </c>
      <c r="L102" s="56">
        <v>0.7</v>
      </c>
      <c r="M102" s="56">
        <v>0.7</v>
      </c>
      <c r="N102" s="57"/>
      <c r="O102" s="57"/>
      <c r="P102" s="57"/>
      <c r="Q102" s="57"/>
      <c r="R102" s="57"/>
      <c r="S102" s="57"/>
      <c r="T102" s="57"/>
    </row>
    <row r="103" spans="1:20">
      <c r="A103" s="55" t="s">
        <v>412</v>
      </c>
      <c r="B103" s="55" t="s">
        <v>332</v>
      </c>
      <c r="C103" s="56">
        <v>0.4</v>
      </c>
      <c r="D103" s="56">
        <v>0.4</v>
      </c>
      <c r="E103" s="56">
        <v>0.4</v>
      </c>
      <c r="F103" s="56">
        <v>0.4</v>
      </c>
      <c r="G103" s="56">
        <v>0.4</v>
      </c>
      <c r="H103" s="56">
        <v>0.4</v>
      </c>
      <c r="I103" s="56">
        <v>0.3</v>
      </c>
      <c r="J103" s="56">
        <v>0.4</v>
      </c>
      <c r="K103" s="56">
        <v>0.3</v>
      </c>
      <c r="L103" s="56">
        <v>0.3</v>
      </c>
      <c r="M103" s="56">
        <v>0.3</v>
      </c>
      <c r="N103" s="57"/>
      <c r="O103" s="57"/>
      <c r="P103" s="57"/>
      <c r="Q103" s="57"/>
      <c r="R103" s="57"/>
      <c r="S103" s="57"/>
      <c r="T103" s="57"/>
    </row>
    <row r="104" spans="1:20">
      <c r="A104" s="55" t="s">
        <v>412</v>
      </c>
      <c r="B104" s="55" t="s">
        <v>333</v>
      </c>
      <c r="C104" s="56">
        <v>0.1</v>
      </c>
      <c r="D104" s="56">
        <v>0.2</v>
      </c>
      <c r="E104" s="56">
        <v>0.1</v>
      </c>
      <c r="F104" s="56">
        <v>0.2</v>
      </c>
      <c r="G104" s="56">
        <v>0.2</v>
      </c>
      <c r="H104" s="56">
        <v>0.1</v>
      </c>
      <c r="I104" s="56">
        <v>0.1</v>
      </c>
      <c r="J104" s="56">
        <v>0.1</v>
      </c>
      <c r="K104" s="56">
        <v>0.1</v>
      </c>
      <c r="L104" s="56">
        <v>0.1</v>
      </c>
      <c r="M104" s="56">
        <v>0.2</v>
      </c>
      <c r="N104" s="57"/>
      <c r="O104" s="57"/>
      <c r="P104" s="57"/>
      <c r="Q104" s="57"/>
      <c r="R104" s="57"/>
      <c r="S104" s="57"/>
      <c r="T104" s="57"/>
    </row>
    <row r="105" spans="1:20">
      <c r="A105" s="55" t="s">
        <v>412</v>
      </c>
      <c r="B105" s="55" t="s">
        <v>334</v>
      </c>
      <c r="C105" s="56">
        <v>2.7</v>
      </c>
      <c r="D105" s="56">
        <v>2.5</v>
      </c>
      <c r="E105" s="56">
        <v>2.5</v>
      </c>
      <c r="F105" s="56">
        <v>2.5</v>
      </c>
      <c r="G105" s="56">
        <v>2.6</v>
      </c>
      <c r="H105" s="56">
        <v>2.5</v>
      </c>
      <c r="I105" s="56">
        <v>2.5</v>
      </c>
      <c r="J105" s="56">
        <v>2.4</v>
      </c>
      <c r="K105" s="56">
        <v>2.4</v>
      </c>
      <c r="L105" s="56">
        <v>2.2000000000000002</v>
      </c>
      <c r="M105" s="56">
        <v>2</v>
      </c>
      <c r="N105" s="57"/>
      <c r="O105" s="57"/>
      <c r="P105" s="57"/>
      <c r="Q105" s="57"/>
      <c r="R105" s="57"/>
      <c r="S105" s="57"/>
      <c r="T105" s="57"/>
    </row>
    <row r="106" spans="1:20">
      <c r="A106" s="55" t="s">
        <v>412</v>
      </c>
      <c r="B106" s="55" t="s">
        <v>335</v>
      </c>
      <c r="C106" s="56">
        <v>4.4000000000000004</v>
      </c>
      <c r="D106" s="56">
        <v>4.4000000000000004</v>
      </c>
      <c r="E106" s="56">
        <v>4.4000000000000004</v>
      </c>
      <c r="F106" s="56">
        <v>4.2</v>
      </c>
      <c r="G106" s="56">
        <v>3.8</v>
      </c>
      <c r="H106" s="56">
        <v>3.7</v>
      </c>
      <c r="I106" s="56">
        <v>3.8</v>
      </c>
      <c r="J106" s="56">
        <v>3.9</v>
      </c>
      <c r="K106" s="56">
        <v>4</v>
      </c>
      <c r="L106" s="56">
        <v>4.0999999999999996</v>
      </c>
      <c r="M106" s="56">
        <v>4.2</v>
      </c>
      <c r="N106" s="57"/>
      <c r="O106" s="57"/>
      <c r="P106" s="57"/>
      <c r="Q106" s="57"/>
      <c r="R106" s="57"/>
      <c r="S106" s="57"/>
      <c r="T106" s="57"/>
    </row>
    <row r="107" spans="1:20">
      <c r="A107" s="55" t="s">
        <v>412</v>
      </c>
      <c r="B107" s="55" t="s">
        <v>336</v>
      </c>
      <c r="C107" s="56">
        <v>17.399999999999999</v>
      </c>
      <c r="D107" s="56">
        <v>17.600000000000001</v>
      </c>
      <c r="E107" s="56">
        <v>17.3</v>
      </c>
      <c r="F107" s="56">
        <v>16.7</v>
      </c>
      <c r="G107" s="56">
        <v>16.3</v>
      </c>
      <c r="H107" s="56">
        <v>16</v>
      </c>
      <c r="I107" s="56">
        <v>15.9</v>
      </c>
      <c r="J107" s="56">
        <v>15.9</v>
      </c>
      <c r="K107" s="56">
        <v>15.9</v>
      </c>
      <c r="L107" s="56">
        <v>15.4</v>
      </c>
      <c r="M107" s="56">
        <v>15.3</v>
      </c>
      <c r="N107" s="57"/>
      <c r="O107" s="57"/>
      <c r="P107" s="57"/>
      <c r="Q107" s="57"/>
      <c r="R107" s="57"/>
      <c r="S107" s="57"/>
      <c r="T107" s="57"/>
    </row>
    <row r="108" spans="1:20">
      <c r="A108" s="55" t="s">
        <v>412</v>
      </c>
      <c r="B108" s="55" t="s">
        <v>337</v>
      </c>
      <c r="C108" s="56">
        <v>10.4</v>
      </c>
      <c r="D108" s="56">
        <v>10.5</v>
      </c>
      <c r="E108" s="56">
        <v>10.3</v>
      </c>
      <c r="F108" s="56">
        <v>9.6</v>
      </c>
      <c r="G108" s="56">
        <v>9.1999999999999993</v>
      </c>
      <c r="H108" s="56">
        <v>9.1</v>
      </c>
      <c r="I108" s="56">
        <v>9</v>
      </c>
      <c r="J108" s="56">
        <v>9.1999999999999993</v>
      </c>
      <c r="K108" s="56">
        <v>9.1</v>
      </c>
      <c r="L108" s="56">
        <v>9</v>
      </c>
      <c r="M108" s="56">
        <v>9</v>
      </c>
      <c r="N108" s="57"/>
      <c r="O108" s="57"/>
      <c r="P108" s="57"/>
      <c r="Q108" s="57"/>
      <c r="R108" s="57"/>
      <c r="S108" s="57"/>
      <c r="T108" s="57"/>
    </row>
    <row r="109" spans="1:20">
      <c r="A109" s="55" t="s">
        <v>412</v>
      </c>
      <c r="B109" s="55" t="s">
        <v>338</v>
      </c>
      <c r="C109" s="56">
        <v>0.4</v>
      </c>
      <c r="D109" s="56">
        <v>0.4</v>
      </c>
      <c r="E109" s="56">
        <v>0.4</v>
      </c>
      <c r="F109" s="56">
        <v>0.3</v>
      </c>
      <c r="G109" s="56">
        <v>0.3</v>
      </c>
      <c r="H109" s="56">
        <v>0.3</v>
      </c>
      <c r="I109" s="56">
        <v>0.3</v>
      </c>
      <c r="J109" s="56">
        <v>0.3</v>
      </c>
      <c r="K109" s="56">
        <v>0.3</v>
      </c>
      <c r="L109" s="56">
        <v>0.3</v>
      </c>
      <c r="M109" s="56">
        <v>0.3</v>
      </c>
      <c r="N109" s="57"/>
      <c r="O109" s="57"/>
      <c r="P109" s="57"/>
      <c r="Q109" s="57"/>
      <c r="R109" s="57"/>
      <c r="S109" s="57"/>
      <c r="T109" s="57"/>
    </row>
    <row r="110" spans="1:20">
      <c r="A110" s="55" t="s">
        <v>412</v>
      </c>
      <c r="B110" s="55" t="s">
        <v>339</v>
      </c>
      <c r="C110" s="56">
        <v>0.5</v>
      </c>
      <c r="D110" s="56">
        <v>0.5</v>
      </c>
      <c r="E110" s="56">
        <v>0.5</v>
      </c>
      <c r="F110" s="56">
        <v>0.4</v>
      </c>
      <c r="G110" s="56">
        <v>0.4</v>
      </c>
      <c r="H110" s="56">
        <v>0.4</v>
      </c>
      <c r="I110" s="56">
        <v>0.4</v>
      </c>
      <c r="J110" s="56">
        <v>0.4</v>
      </c>
      <c r="K110" s="56">
        <v>0.5</v>
      </c>
      <c r="L110" s="56">
        <v>0.4</v>
      </c>
      <c r="M110" s="56">
        <v>0.5</v>
      </c>
      <c r="N110" s="57"/>
      <c r="O110" s="57"/>
      <c r="P110" s="57"/>
      <c r="Q110" s="57"/>
      <c r="R110" s="57"/>
      <c r="S110" s="57"/>
      <c r="T110" s="57"/>
    </row>
    <row r="111" spans="1:20">
      <c r="A111" s="55" t="s">
        <v>412</v>
      </c>
      <c r="B111" s="55" t="s">
        <v>340</v>
      </c>
      <c r="C111" s="56">
        <v>0.7</v>
      </c>
      <c r="D111" s="56">
        <v>0.8</v>
      </c>
      <c r="E111" s="56">
        <v>0.8</v>
      </c>
      <c r="F111" s="56">
        <v>0.7</v>
      </c>
      <c r="G111" s="56">
        <v>0.6</v>
      </c>
      <c r="H111" s="56">
        <v>0.6</v>
      </c>
      <c r="I111" s="56">
        <v>0.6</v>
      </c>
      <c r="J111" s="56">
        <v>0.6</v>
      </c>
      <c r="K111" s="56">
        <v>0.6</v>
      </c>
      <c r="L111" s="56">
        <v>0.6</v>
      </c>
      <c r="M111" s="56">
        <v>0.6</v>
      </c>
      <c r="N111" s="57"/>
      <c r="O111" s="57"/>
      <c r="P111" s="57"/>
      <c r="Q111" s="57"/>
      <c r="R111" s="57"/>
      <c r="S111" s="57"/>
      <c r="T111" s="57"/>
    </row>
    <row r="112" spans="1:20">
      <c r="A112" s="55" t="s">
        <v>412</v>
      </c>
      <c r="B112" s="55" t="s">
        <v>341</v>
      </c>
      <c r="C112" s="56">
        <v>1.4</v>
      </c>
      <c r="D112" s="56">
        <v>1.4</v>
      </c>
      <c r="E112" s="56">
        <v>1.4</v>
      </c>
      <c r="F112" s="56">
        <v>1.4</v>
      </c>
      <c r="G112" s="56">
        <v>1.3</v>
      </c>
      <c r="H112" s="56">
        <v>1.2</v>
      </c>
      <c r="I112" s="56">
        <v>1.2</v>
      </c>
      <c r="J112" s="56">
        <v>1.3</v>
      </c>
      <c r="K112" s="56">
        <v>1.3</v>
      </c>
      <c r="L112" s="56">
        <v>1.3</v>
      </c>
      <c r="M112" s="56">
        <v>1.3</v>
      </c>
      <c r="N112" s="57"/>
      <c r="O112" s="57"/>
      <c r="P112" s="57"/>
      <c r="Q112" s="57"/>
      <c r="R112" s="57"/>
      <c r="S112" s="57"/>
      <c r="T112" s="57"/>
    </row>
    <row r="113" spans="1:20">
      <c r="A113" s="55" t="s">
        <v>412</v>
      </c>
      <c r="B113" s="55" t="s">
        <v>342</v>
      </c>
      <c r="C113" s="56">
        <v>1.4</v>
      </c>
      <c r="D113" s="56">
        <v>1.5</v>
      </c>
      <c r="E113" s="56">
        <v>1.5</v>
      </c>
      <c r="F113" s="56">
        <v>1.5</v>
      </c>
      <c r="G113" s="56">
        <v>1.3</v>
      </c>
      <c r="H113" s="56">
        <v>1.3</v>
      </c>
      <c r="I113" s="56">
        <v>1.2</v>
      </c>
      <c r="J113" s="56">
        <v>1.2</v>
      </c>
      <c r="K113" s="56">
        <v>1.2</v>
      </c>
      <c r="L113" s="56">
        <v>1.2</v>
      </c>
      <c r="M113" s="56">
        <v>1.2</v>
      </c>
      <c r="N113" s="57"/>
      <c r="O113" s="57"/>
      <c r="P113" s="57"/>
      <c r="Q113" s="57"/>
      <c r="R113" s="57"/>
      <c r="S113" s="57"/>
      <c r="T113" s="57"/>
    </row>
    <row r="114" spans="1:20">
      <c r="A114" s="55" t="s">
        <v>412</v>
      </c>
      <c r="B114" s="55" t="s">
        <v>343</v>
      </c>
      <c r="C114" s="56">
        <v>1.8</v>
      </c>
      <c r="D114" s="56">
        <v>1.8</v>
      </c>
      <c r="E114" s="56">
        <v>1.8</v>
      </c>
      <c r="F114" s="56">
        <v>1.7</v>
      </c>
      <c r="G114" s="56">
        <v>1.7</v>
      </c>
      <c r="H114" s="56">
        <v>1.7</v>
      </c>
      <c r="I114" s="56">
        <v>1.6</v>
      </c>
      <c r="J114" s="56">
        <v>1.7</v>
      </c>
      <c r="K114" s="56">
        <v>1.8</v>
      </c>
      <c r="L114" s="56">
        <v>1.8</v>
      </c>
      <c r="M114" s="56">
        <v>1.9</v>
      </c>
      <c r="N114" s="57"/>
      <c r="O114" s="57"/>
      <c r="P114" s="57"/>
      <c r="Q114" s="57"/>
      <c r="R114" s="57"/>
      <c r="S114" s="57"/>
      <c r="T114" s="57"/>
    </row>
    <row r="115" spans="1:20">
      <c r="A115" s="55" t="s">
        <v>412</v>
      </c>
      <c r="B115" s="55" t="s">
        <v>344</v>
      </c>
      <c r="C115" s="56">
        <v>0.7</v>
      </c>
      <c r="D115" s="56">
        <v>0.7</v>
      </c>
      <c r="E115" s="56">
        <v>0.7</v>
      </c>
      <c r="F115" s="56">
        <v>0.7</v>
      </c>
      <c r="G115" s="56">
        <v>0.6</v>
      </c>
      <c r="H115" s="56">
        <v>0.6</v>
      </c>
      <c r="I115" s="56">
        <v>0.6</v>
      </c>
      <c r="J115" s="56">
        <v>0.6</v>
      </c>
      <c r="K115" s="56">
        <v>0.6</v>
      </c>
      <c r="L115" s="56">
        <v>0.6</v>
      </c>
      <c r="M115" s="56">
        <v>0.5</v>
      </c>
      <c r="N115" s="57"/>
      <c r="O115" s="57"/>
      <c r="P115" s="57"/>
      <c r="Q115" s="57"/>
      <c r="R115" s="57"/>
      <c r="S115" s="57"/>
      <c r="T115" s="57"/>
    </row>
    <row r="116" spans="1:20">
      <c r="A116" s="55" t="s">
        <v>412</v>
      </c>
      <c r="B116" s="55" t="s">
        <v>345</v>
      </c>
      <c r="C116" s="56">
        <v>1.3</v>
      </c>
      <c r="D116" s="56">
        <v>1.3</v>
      </c>
      <c r="E116" s="56">
        <v>1.2</v>
      </c>
      <c r="F116" s="56">
        <v>0.9</v>
      </c>
      <c r="G116" s="56">
        <v>0.9</v>
      </c>
      <c r="H116" s="56">
        <v>1.1000000000000001</v>
      </c>
      <c r="I116" s="56">
        <v>1.3</v>
      </c>
      <c r="J116" s="56">
        <v>1.4</v>
      </c>
      <c r="K116" s="56">
        <v>1.3</v>
      </c>
      <c r="L116" s="56">
        <v>1.2</v>
      </c>
      <c r="M116" s="56">
        <v>1.2</v>
      </c>
      <c r="N116" s="57"/>
      <c r="O116" s="57"/>
      <c r="P116" s="57"/>
      <c r="Q116" s="57"/>
      <c r="R116" s="57"/>
      <c r="S116" s="57"/>
      <c r="T116" s="57"/>
    </row>
    <row r="117" spans="1:20">
      <c r="A117" s="55" t="s">
        <v>412</v>
      </c>
      <c r="B117" s="55" t="s">
        <v>346</v>
      </c>
      <c r="C117" s="56">
        <v>1.2</v>
      </c>
      <c r="D117" s="56">
        <v>1.1000000000000001</v>
      </c>
      <c r="E117" s="56">
        <v>1.1000000000000001</v>
      </c>
      <c r="F117" s="56">
        <v>1.1000000000000001</v>
      </c>
      <c r="G117" s="56">
        <v>1.2</v>
      </c>
      <c r="H117" s="56">
        <v>0.9</v>
      </c>
      <c r="I117" s="56">
        <v>0.8</v>
      </c>
      <c r="J117" s="56">
        <v>0.7</v>
      </c>
      <c r="K117" s="56">
        <v>0.6</v>
      </c>
      <c r="L117" s="56">
        <v>0.7</v>
      </c>
      <c r="M117" s="56">
        <v>0.7</v>
      </c>
      <c r="N117" s="57"/>
      <c r="O117" s="57"/>
      <c r="P117" s="57"/>
      <c r="Q117" s="57"/>
      <c r="R117" s="57"/>
      <c r="S117" s="57"/>
      <c r="T117" s="57"/>
    </row>
    <row r="118" spans="1:20">
      <c r="A118" s="55" t="s">
        <v>412</v>
      </c>
      <c r="B118" s="55" t="s">
        <v>347</v>
      </c>
      <c r="C118" s="56">
        <v>0.4</v>
      </c>
      <c r="D118" s="56">
        <v>0.4</v>
      </c>
      <c r="E118" s="56">
        <v>0.4</v>
      </c>
      <c r="F118" s="56">
        <v>0.3</v>
      </c>
      <c r="G118" s="56">
        <v>0.3</v>
      </c>
      <c r="H118" s="56">
        <v>0.3</v>
      </c>
      <c r="I118" s="56">
        <v>0.3</v>
      </c>
      <c r="J118" s="56">
        <v>0.3</v>
      </c>
      <c r="K118" s="56">
        <v>0.3</v>
      </c>
      <c r="L118" s="56">
        <v>0.3</v>
      </c>
      <c r="M118" s="56">
        <v>0.3</v>
      </c>
      <c r="N118" s="57"/>
      <c r="O118" s="57"/>
      <c r="P118" s="57"/>
      <c r="Q118" s="57"/>
      <c r="R118" s="57"/>
      <c r="S118" s="57"/>
      <c r="T118" s="57"/>
    </row>
    <row r="119" spans="1:20">
      <c r="A119" s="55" t="s">
        <v>412</v>
      </c>
      <c r="B119" s="55" t="s">
        <v>348</v>
      </c>
      <c r="C119" s="56">
        <v>0.5</v>
      </c>
      <c r="D119" s="56">
        <v>0.6</v>
      </c>
      <c r="E119" s="56">
        <v>0.6</v>
      </c>
      <c r="F119" s="56">
        <v>0.6</v>
      </c>
      <c r="G119" s="56">
        <v>0.6</v>
      </c>
      <c r="H119" s="56">
        <v>0.6</v>
      </c>
      <c r="I119" s="56">
        <v>0.6</v>
      </c>
      <c r="J119" s="56">
        <v>0.5</v>
      </c>
      <c r="K119" s="56">
        <v>0.5</v>
      </c>
      <c r="L119" s="56">
        <v>0.6</v>
      </c>
      <c r="M119" s="56">
        <v>0.6</v>
      </c>
      <c r="N119" s="57"/>
      <c r="O119" s="57"/>
      <c r="P119" s="57"/>
      <c r="Q119" s="57"/>
      <c r="R119" s="57"/>
      <c r="S119" s="57"/>
      <c r="T119" s="57"/>
    </row>
    <row r="120" spans="1:20">
      <c r="A120" s="55" t="s">
        <v>412</v>
      </c>
      <c r="B120" s="55" t="s">
        <v>349</v>
      </c>
      <c r="C120" s="56">
        <v>7</v>
      </c>
      <c r="D120" s="56">
        <v>7.1</v>
      </c>
      <c r="E120" s="56">
        <v>7.1</v>
      </c>
      <c r="F120" s="56">
        <v>7.1</v>
      </c>
      <c r="G120" s="56">
        <v>7.1</v>
      </c>
      <c r="H120" s="56">
        <v>7</v>
      </c>
      <c r="I120" s="56">
        <v>6.8</v>
      </c>
      <c r="J120" s="56">
        <v>6.7</v>
      </c>
      <c r="K120" s="56">
        <v>6.8</v>
      </c>
      <c r="L120" s="56">
        <v>6.4</v>
      </c>
      <c r="M120" s="56">
        <v>6.3</v>
      </c>
      <c r="N120" s="57"/>
      <c r="O120" s="57"/>
      <c r="P120" s="57"/>
      <c r="Q120" s="57"/>
      <c r="R120" s="57"/>
      <c r="S120" s="57"/>
      <c r="T120" s="57"/>
    </row>
    <row r="121" spans="1:20">
      <c r="A121" s="55" t="s">
        <v>412</v>
      </c>
      <c r="B121" s="55" t="s">
        <v>350</v>
      </c>
      <c r="C121" s="56">
        <v>1.9</v>
      </c>
      <c r="D121" s="56">
        <v>1.8</v>
      </c>
      <c r="E121" s="56">
        <v>1.8</v>
      </c>
      <c r="F121" s="56">
        <v>1.9</v>
      </c>
      <c r="G121" s="56">
        <v>2</v>
      </c>
      <c r="H121" s="56">
        <v>1.9</v>
      </c>
      <c r="I121" s="56">
        <v>1.8</v>
      </c>
      <c r="J121" s="56">
        <v>1.7</v>
      </c>
      <c r="K121" s="56">
        <v>1.8</v>
      </c>
      <c r="L121" s="56">
        <v>1.7</v>
      </c>
      <c r="M121" s="56">
        <v>1.6</v>
      </c>
      <c r="N121" s="57"/>
      <c r="O121" s="57"/>
      <c r="P121" s="57"/>
      <c r="Q121" s="57"/>
      <c r="R121" s="57"/>
      <c r="S121" s="57"/>
      <c r="T121" s="57"/>
    </row>
    <row r="122" spans="1:20">
      <c r="A122" s="55" t="s">
        <v>412</v>
      </c>
      <c r="B122" s="55" t="s">
        <v>351</v>
      </c>
      <c r="C122" s="56">
        <v>0.4</v>
      </c>
      <c r="D122" s="56">
        <v>0.4</v>
      </c>
      <c r="E122" s="56">
        <v>0.4</v>
      </c>
      <c r="F122" s="56">
        <v>0.4</v>
      </c>
      <c r="G122" s="56">
        <v>0.4</v>
      </c>
      <c r="H122" s="56">
        <v>0.4</v>
      </c>
      <c r="I122" s="56">
        <v>0.4</v>
      </c>
      <c r="J122" s="56">
        <v>0.4</v>
      </c>
      <c r="K122" s="56">
        <v>0.4</v>
      </c>
      <c r="L122" s="56">
        <v>0.3</v>
      </c>
      <c r="M122" s="56">
        <v>0.3</v>
      </c>
      <c r="N122" s="57"/>
      <c r="O122" s="57"/>
      <c r="P122" s="57"/>
      <c r="Q122" s="57"/>
      <c r="R122" s="57"/>
      <c r="S122" s="57"/>
      <c r="T122" s="57"/>
    </row>
    <row r="123" spans="1:20">
      <c r="A123" s="55" t="s">
        <v>412</v>
      </c>
      <c r="B123" s="55" t="s">
        <v>352</v>
      </c>
      <c r="C123" s="56">
        <v>0.5</v>
      </c>
      <c r="D123" s="56">
        <v>0.5</v>
      </c>
      <c r="E123" s="56">
        <v>0.4</v>
      </c>
      <c r="F123" s="56">
        <v>0.4</v>
      </c>
      <c r="G123" s="56">
        <v>0.4</v>
      </c>
      <c r="H123" s="56">
        <v>0.4</v>
      </c>
      <c r="I123" s="56">
        <v>0.4</v>
      </c>
      <c r="J123" s="56">
        <v>0.4</v>
      </c>
      <c r="K123" s="56">
        <v>0.4</v>
      </c>
      <c r="L123" s="56">
        <v>0.3</v>
      </c>
      <c r="M123" s="56">
        <v>0.3</v>
      </c>
      <c r="N123" s="57"/>
      <c r="O123" s="57"/>
      <c r="P123" s="57"/>
      <c r="Q123" s="57"/>
      <c r="R123" s="57"/>
      <c r="S123" s="57"/>
      <c r="T123" s="57"/>
    </row>
    <row r="124" spans="1:20">
      <c r="A124" s="55" t="s">
        <v>412</v>
      </c>
      <c r="B124" s="55" t="s">
        <v>353</v>
      </c>
      <c r="C124" s="56">
        <v>0.8</v>
      </c>
      <c r="D124" s="56">
        <v>0.9</v>
      </c>
      <c r="E124" s="56">
        <v>0.9</v>
      </c>
      <c r="F124" s="56">
        <v>0.8</v>
      </c>
      <c r="G124" s="56">
        <v>0.8</v>
      </c>
      <c r="H124" s="56">
        <v>0.7</v>
      </c>
      <c r="I124" s="56">
        <v>0.7</v>
      </c>
      <c r="J124" s="56">
        <v>0.7</v>
      </c>
      <c r="K124" s="56">
        <v>0.8</v>
      </c>
      <c r="L124" s="56">
        <v>0.7</v>
      </c>
      <c r="M124" s="56">
        <v>0.6</v>
      </c>
      <c r="N124" s="57"/>
      <c r="O124" s="57"/>
      <c r="P124" s="57"/>
      <c r="Q124" s="57"/>
      <c r="R124" s="57"/>
      <c r="S124" s="57"/>
      <c r="T124" s="57"/>
    </row>
    <row r="125" spans="1:20">
      <c r="A125" s="55" t="s">
        <v>412</v>
      </c>
      <c r="B125" s="55" t="s">
        <v>354</v>
      </c>
      <c r="C125" s="56">
        <v>0.6</v>
      </c>
      <c r="D125" s="56">
        <v>0.6</v>
      </c>
      <c r="E125" s="56">
        <v>0.5</v>
      </c>
      <c r="F125" s="56">
        <v>0.5</v>
      </c>
      <c r="G125" s="56">
        <v>0.5</v>
      </c>
      <c r="H125" s="56">
        <v>0.5</v>
      </c>
      <c r="I125" s="56">
        <v>0.5</v>
      </c>
      <c r="J125" s="56">
        <v>0.5</v>
      </c>
      <c r="K125" s="56">
        <v>0.5</v>
      </c>
      <c r="L125" s="56">
        <v>0.5</v>
      </c>
      <c r="M125" s="56">
        <v>0.4</v>
      </c>
      <c r="N125" s="57"/>
      <c r="O125" s="57"/>
      <c r="P125" s="57"/>
      <c r="Q125" s="57"/>
      <c r="R125" s="57"/>
      <c r="S125" s="57"/>
      <c r="T125" s="57"/>
    </row>
    <row r="126" spans="1:20">
      <c r="A126" s="55" t="s">
        <v>412</v>
      </c>
      <c r="B126" s="55" t="s">
        <v>355</v>
      </c>
      <c r="C126" s="56">
        <v>0.4</v>
      </c>
      <c r="D126" s="56">
        <v>0.5</v>
      </c>
      <c r="E126" s="56">
        <v>0.5</v>
      </c>
      <c r="F126" s="56">
        <v>0.6</v>
      </c>
      <c r="G126" s="56">
        <v>0.5</v>
      </c>
      <c r="H126" s="56">
        <v>0.5</v>
      </c>
      <c r="I126" s="56">
        <v>0.5</v>
      </c>
      <c r="J126" s="56">
        <v>0.5</v>
      </c>
      <c r="K126" s="56">
        <v>0.4</v>
      </c>
      <c r="L126" s="56">
        <v>0.4</v>
      </c>
      <c r="M126" s="56">
        <v>0.5</v>
      </c>
      <c r="N126" s="57"/>
      <c r="O126" s="57"/>
      <c r="P126" s="57"/>
      <c r="Q126" s="57"/>
      <c r="R126" s="57"/>
      <c r="S126" s="57"/>
      <c r="T126" s="57"/>
    </row>
    <row r="127" spans="1:20">
      <c r="A127" s="55" t="s">
        <v>412</v>
      </c>
      <c r="B127" s="55" t="s">
        <v>356</v>
      </c>
      <c r="C127" s="56">
        <v>1.7</v>
      </c>
      <c r="D127" s="56">
        <v>1.8</v>
      </c>
      <c r="E127" s="56">
        <v>1.8</v>
      </c>
      <c r="F127" s="56">
        <v>1.8</v>
      </c>
      <c r="G127" s="56">
        <v>1.8</v>
      </c>
      <c r="H127" s="56">
        <v>1.8</v>
      </c>
      <c r="I127" s="56">
        <v>1.8</v>
      </c>
      <c r="J127" s="56">
        <v>1.9</v>
      </c>
      <c r="K127" s="56">
        <v>1.9</v>
      </c>
      <c r="L127" s="56">
        <v>1.8</v>
      </c>
      <c r="M127" s="56">
        <v>1.8</v>
      </c>
      <c r="N127" s="57"/>
      <c r="O127" s="57"/>
      <c r="P127" s="57"/>
      <c r="Q127" s="57"/>
      <c r="R127" s="57"/>
      <c r="S127" s="57"/>
      <c r="T127" s="57"/>
    </row>
    <row r="128" spans="1:20">
      <c r="A128" s="55" t="s">
        <v>412</v>
      </c>
      <c r="B128" s="55" t="s">
        <v>357</v>
      </c>
      <c r="C128" s="56">
        <v>0.7</v>
      </c>
      <c r="D128" s="56">
        <v>0.7</v>
      </c>
      <c r="E128" s="56">
        <v>0.7</v>
      </c>
      <c r="F128" s="56">
        <v>0.6</v>
      </c>
      <c r="G128" s="56">
        <v>0.7</v>
      </c>
      <c r="H128" s="56">
        <v>0.7</v>
      </c>
      <c r="I128" s="56">
        <v>0.7</v>
      </c>
      <c r="J128" s="56">
        <v>0.7</v>
      </c>
      <c r="K128" s="56">
        <v>0.7</v>
      </c>
      <c r="L128" s="56">
        <v>0.7</v>
      </c>
      <c r="M128" s="56">
        <v>0.7</v>
      </c>
      <c r="N128" s="57"/>
      <c r="O128" s="57"/>
      <c r="P128" s="57"/>
      <c r="Q128" s="57"/>
      <c r="R128" s="57"/>
      <c r="S128" s="57"/>
      <c r="T128" s="57"/>
    </row>
    <row r="129" spans="1:20">
      <c r="A129" s="55" t="s">
        <v>412</v>
      </c>
      <c r="B129" s="55" t="s">
        <v>358</v>
      </c>
      <c r="C129" s="56">
        <v>6</v>
      </c>
      <c r="D129" s="56">
        <v>6.2</v>
      </c>
      <c r="E129" s="56">
        <v>6.1</v>
      </c>
      <c r="F129" s="56">
        <v>6</v>
      </c>
      <c r="G129" s="56">
        <v>6.1</v>
      </c>
      <c r="H129" s="56">
        <v>6</v>
      </c>
      <c r="I129" s="56">
        <v>6</v>
      </c>
      <c r="J129" s="56">
        <v>6.3</v>
      </c>
      <c r="K129" s="56">
        <v>6.2</v>
      </c>
      <c r="L129" s="56">
        <v>6.3</v>
      </c>
      <c r="M129" s="56">
        <v>6.3</v>
      </c>
      <c r="N129" s="57"/>
      <c r="O129" s="57"/>
      <c r="P129" s="57"/>
      <c r="Q129" s="57"/>
      <c r="R129" s="57"/>
      <c r="S129" s="57"/>
      <c r="T129" s="57"/>
    </row>
    <row r="130" spans="1:20">
      <c r="A130" s="55" t="s">
        <v>412</v>
      </c>
      <c r="B130" s="55" t="s">
        <v>359</v>
      </c>
      <c r="C130" s="56">
        <v>7.3</v>
      </c>
      <c r="D130" s="56">
        <v>7.2</v>
      </c>
      <c r="E130" s="56">
        <v>7.1</v>
      </c>
      <c r="F130" s="56">
        <v>6.9</v>
      </c>
      <c r="G130" s="56">
        <v>6.8</v>
      </c>
      <c r="H130" s="56">
        <v>6.8</v>
      </c>
      <c r="I130" s="56">
        <v>6.9</v>
      </c>
      <c r="J130" s="56">
        <v>7.1</v>
      </c>
      <c r="K130" s="56">
        <v>7.1</v>
      </c>
      <c r="L130" s="56">
        <v>7.1</v>
      </c>
      <c r="M130" s="56">
        <v>7.1</v>
      </c>
      <c r="N130" s="57"/>
      <c r="O130" s="57"/>
      <c r="P130" s="57"/>
      <c r="Q130" s="57"/>
      <c r="R130" s="57"/>
      <c r="S130" s="57"/>
      <c r="T130" s="57"/>
    </row>
    <row r="131" spans="1:20">
      <c r="A131" s="55" t="s">
        <v>412</v>
      </c>
      <c r="B131" s="55" t="s">
        <v>360</v>
      </c>
      <c r="C131" s="56">
        <v>3.2</v>
      </c>
      <c r="D131" s="56">
        <v>3.2</v>
      </c>
      <c r="E131" s="56">
        <v>3</v>
      </c>
      <c r="F131" s="56">
        <v>3</v>
      </c>
      <c r="G131" s="56">
        <v>3</v>
      </c>
      <c r="H131" s="56">
        <v>3</v>
      </c>
      <c r="I131" s="56">
        <v>3.1</v>
      </c>
      <c r="J131" s="56">
        <v>3.2</v>
      </c>
      <c r="K131" s="56">
        <v>3.1</v>
      </c>
      <c r="L131" s="56">
        <v>3.1</v>
      </c>
      <c r="M131" s="56">
        <v>3.1</v>
      </c>
      <c r="N131" s="57"/>
      <c r="O131" s="57"/>
      <c r="P131" s="57"/>
      <c r="Q131" s="57"/>
      <c r="R131" s="57"/>
      <c r="S131" s="57"/>
      <c r="T131" s="57"/>
    </row>
    <row r="132" spans="1:20">
      <c r="A132" s="55" t="s">
        <v>412</v>
      </c>
      <c r="B132" s="55" t="s">
        <v>361</v>
      </c>
      <c r="C132" s="56">
        <v>0.5</v>
      </c>
      <c r="D132" s="56">
        <v>0.6</v>
      </c>
      <c r="E132" s="56">
        <v>0.6</v>
      </c>
      <c r="F132" s="56">
        <v>0.5</v>
      </c>
      <c r="G132" s="56">
        <v>0.5</v>
      </c>
      <c r="H132" s="56">
        <v>0.6</v>
      </c>
      <c r="I132" s="56">
        <v>0.6</v>
      </c>
      <c r="J132" s="56">
        <v>0.6</v>
      </c>
      <c r="K132" s="56">
        <v>0.6</v>
      </c>
      <c r="L132" s="56">
        <v>0.6</v>
      </c>
      <c r="M132" s="56">
        <v>0.6</v>
      </c>
      <c r="N132" s="57"/>
      <c r="O132" s="57"/>
      <c r="P132" s="57"/>
      <c r="Q132" s="57"/>
      <c r="R132" s="57"/>
      <c r="S132" s="57"/>
      <c r="T132" s="57"/>
    </row>
    <row r="133" spans="1:20">
      <c r="A133" s="55" t="s">
        <v>412</v>
      </c>
      <c r="B133" s="55" t="s">
        <v>362</v>
      </c>
      <c r="C133" s="56">
        <v>0.4</v>
      </c>
      <c r="D133" s="56">
        <v>0.4</v>
      </c>
      <c r="E133" s="56">
        <v>0.3</v>
      </c>
      <c r="F133" s="56">
        <v>0.3</v>
      </c>
      <c r="G133" s="56">
        <v>0.3</v>
      </c>
      <c r="H133" s="56">
        <v>0.3</v>
      </c>
      <c r="I133" s="56">
        <v>0.3</v>
      </c>
      <c r="J133" s="56">
        <v>0.3</v>
      </c>
      <c r="K133" s="56">
        <v>0.3</v>
      </c>
      <c r="L133" s="56">
        <v>0.3</v>
      </c>
      <c r="M133" s="56">
        <v>0.2</v>
      </c>
      <c r="N133" s="57"/>
      <c r="O133" s="57"/>
      <c r="P133" s="57"/>
      <c r="Q133" s="57"/>
      <c r="R133" s="57"/>
      <c r="S133" s="57"/>
      <c r="T133" s="57"/>
    </row>
    <row r="134" spans="1:20">
      <c r="A134" s="55" t="s">
        <v>412</v>
      </c>
      <c r="B134" s="55" t="s">
        <v>363</v>
      </c>
      <c r="C134" s="56">
        <v>0.1</v>
      </c>
      <c r="D134" s="56">
        <v>0.1</v>
      </c>
      <c r="E134" s="56">
        <v>0.1</v>
      </c>
      <c r="F134" s="56">
        <v>0.1</v>
      </c>
      <c r="G134" s="56">
        <v>0.1</v>
      </c>
      <c r="H134" s="56">
        <v>0.1</v>
      </c>
      <c r="I134" s="56">
        <v>0.1</v>
      </c>
      <c r="J134" s="56">
        <v>0.1</v>
      </c>
      <c r="K134" s="56">
        <v>0.1</v>
      </c>
      <c r="L134" s="56">
        <v>0.1</v>
      </c>
      <c r="M134" s="56">
        <v>0.1</v>
      </c>
      <c r="N134" s="57"/>
      <c r="O134" s="57"/>
      <c r="P134" s="57"/>
      <c r="Q134" s="57"/>
      <c r="R134" s="57"/>
      <c r="S134" s="57"/>
      <c r="T134" s="57"/>
    </row>
    <row r="135" spans="1:20">
      <c r="A135" s="55" t="s">
        <v>412</v>
      </c>
      <c r="B135" s="55" t="s">
        <v>364</v>
      </c>
      <c r="C135" s="56">
        <v>0.9</v>
      </c>
      <c r="D135" s="56">
        <v>0.9</v>
      </c>
      <c r="E135" s="56">
        <v>0.9</v>
      </c>
      <c r="F135" s="56">
        <v>0.9</v>
      </c>
      <c r="G135" s="56">
        <v>0.9</v>
      </c>
      <c r="H135" s="56">
        <v>0.9</v>
      </c>
      <c r="I135" s="56">
        <v>0.9</v>
      </c>
      <c r="J135" s="56">
        <v>0.9</v>
      </c>
      <c r="K135" s="56">
        <v>0.9</v>
      </c>
      <c r="L135" s="56">
        <v>0.9</v>
      </c>
      <c r="M135" s="56">
        <v>1</v>
      </c>
      <c r="N135" s="57"/>
      <c r="O135" s="57"/>
      <c r="P135" s="57"/>
      <c r="Q135" s="57"/>
      <c r="R135" s="57"/>
      <c r="S135" s="57"/>
      <c r="T135" s="57"/>
    </row>
    <row r="136" spans="1:20">
      <c r="A136" s="55" t="s">
        <v>412</v>
      </c>
      <c r="B136" s="55" t="s">
        <v>365</v>
      </c>
      <c r="C136" s="56">
        <v>0.2</v>
      </c>
      <c r="D136" s="56">
        <v>0.2</v>
      </c>
      <c r="E136" s="56">
        <v>0.2</v>
      </c>
      <c r="F136" s="56">
        <v>0.2</v>
      </c>
      <c r="G136" s="56">
        <v>0.2</v>
      </c>
      <c r="H136" s="56">
        <v>0.2</v>
      </c>
      <c r="I136" s="56">
        <v>0.2</v>
      </c>
      <c r="J136" s="56">
        <v>0.2</v>
      </c>
      <c r="K136" s="56">
        <v>0.2</v>
      </c>
      <c r="L136" s="56">
        <v>0.2</v>
      </c>
      <c r="M136" s="56">
        <v>0.2</v>
      </c>
      <c r="N136" s="57"/>
      <c r="O136" s="57"/>
      <c r="P136" s="57"/>
      <c r="Q136" s="57"/>
      <c r="R136" s="57"/>
      <c r="S136" s="57"/>
      <c r="T136" s="57"/>
    </row>
    <row r="137" spans="1:20">
      <c r="A137" s="55" t="s">
        <v>412</v>
      </c>
      <c r="B137" s="55" t="s">
        <v>366</v>
      </c>
      <c r="C137" s="56">
        <v>0.1</v>
      </c>
      <c r="D137" s="56">
        <v>0.1</v>
      </c>
      <c r="E137" s="56">
        <v>0.1</v>
      </c>
      <c r="F137" s="56">
        <v>0.1</v>
      </c>
      <c r="G137" s="56">
        <v>0.1</v>
      </c>
      <c r="H137" s="56">
        <v>0.1</v>
      </c>
      <c r="I137" s="56">
        <v>0.1</v>
      </c>
      <c r="J137" s="56">
        <v>0.1</v>
      </c>
      <c r="K137" s="56">
        <v>0.1</v>
      </c>
      <c r="L137" s="56">
        <v>0.1</v>
      </c>
      <c r="M137" s="56">
        <v>0.1</v>
      </c>
      <c r="N137" s="57"/>
      <c r="O137" s="57"/>
      <c r="P137" s="57"/>
      <c r="Q137" s="57"/>
      <c r="R137" s="57"/>
      <c r="S137" s="57"/>
      <c r="T137" s="57"/>
    </row>
    <row r="138" spans="1:20">
      <c r="A138" s="55" t="s">
        <v>412</v>
      </c>
      <c r="B138" s="55" t="s">
        <v>367</v>
      </c>
      <c r="C138" s="56">
        <v>0.7</v>
      </c>
      <c r="D138" s="56">
        <v>0.7</v>
      </c>
      <c r="E138" s="56">
        <v>0.7</v>
      </c>
      <c r="F138" s="56">
        <v>0.7</v>
      </c>
      <c r="G138" s="56">
        <v>0.7</v>
      </c>
      <c r="H138" s="56">
        <v>0.7</v>
      </c>
      <c r="I138" s="56">
        <v>0.7</v>
      </c>
      <c r="J138" s="56">
        <v>0.7</v>
      </c>
      <c r="K138" s="56">
        <v>0.7</v>
      </c>
      <c r="L138" s="56">
        <v>0.7</v>
      </c>
      <c r="M138" s="56">
        <v>0.7</v>
      </c>
      <c r="N138" s="57"/>
      <c r="O138" s="57"/>
      <c r="P138" s="57"/>
      <c r="Q138" s="57"/>
      <c r="R138" s="57"/>
      <c r="S138" s="57"/>
      <c r="T138" s="57"/>
    </row>
    <row r="139" spans="1:20">
      <c r="A139" s="55" t="s">
        <v>412</v>
      </c>
      <c r="B139" s="55" t="s">
        <v>368</v>
      </c>
      <c r="C139" s="56">
        <v>0.2</v>
      </c>
      <c r="D139" s="56">
        <v>0.2</v>
      </c>
      <c r="E139" s="56">
        <v>0.2</v>
      </c>
      <c r="F139" s="56">
        <v>0.2</v>
      </c>
      <c r="G139" s="56">
        <v>0.2</v>
      </c>
      <c r="H139" s="56">
        <v>0.2</v>
      </c>
      <c r="I139" s="56">
        <v>0.2</v>
      </c>
      <c r="J139" s="56">
        <v>0.2</v>
      </c>
      <c r="K139" s="56">
        <v>0.3</v>
      </c>
      <c r="L139" s="56">
        <v>0.3</v>
      </c>
      <c r="M139" s="56">
        <v>0.3</v>
      </c>
      <c r="N139" s="57"/>
      <c r="O139" s="57"/>
      <c r="P139" s="57"/>
      <c r="Q139" s="57"/>
      <c r="R139" s="57"/>
      <c r="S139" s="57"/>
      <c r="T139" s="57"/>
    </row>
    <row r="140" spans="1:20">
      <c r="A140" s="55" t="s">
        <v>412</v>
      </c>
      <c r="B140" s="55" t="s">
        <v>369</v>
      </c>
      <c r="C140" s="56">
        <v>4.2</v>
      </c>
      <c r="D140" s="56">
        <v>4</v>
      </c>
      <c r="E140" s="56">
        <v>4.0999999999999996</v>
      </c>
      <c r="F140" s="56">
        <v>4.0999999999999996</v>
      </c>
      <c r="G140" s="56">
        <v>4.0999999999999996</v>
      </c>
      <c r="H140" s="56">
        <v>4.0999999999999996</v>
      </c>
      <c r="I140" s="56">
        <v>4.2</v>
      </c>
      <c r="J140" s="56">
        <v>4.2</v>
      </c>
      <c r="K140" s="56">
        <v>4.2</v>
      </c>
      <c r="L140" s="56">
        <v>4.3</v>
      </c>
      <c r="M140" s="56">
        <v>4.2</v>
      </c>
      <c r="N140" s="57"/>
      <c r="O140" s="57"/>
      <c r="P140" s="57"/>
      <c r="Q140" s="57"/>
      <c r="R140" s="57"/>
      <c r="S140" s="57"/>
      <c r="T140" s="57"/>
    </row>
    <row r="141" spans="1:20">
      <c r="A141" s="55" t="s">
        <v>412</v>
      </c>
      <c r="B141" s="55" t="s">
        <v>370</v>
      </c>
      <c r="C141" s="56">
        <v>0.9</v>
      </c>
      <c r="D141" s="56">
        <v>0.8</v>
      </c>
      <c r="E141" s="56">
        <v>0.9</v>
      </c>
      <c r="F141" s="56">
        <v>0.8</v>
      </c>
      <c r="G141" s="56">
        <v>0.8</v>
      </c>
      <c r="H141" s="56">
        <v>0.9</v>
      </c>
      <c r="I141" s="56">
        <v>0.9</v>
      </c>
      <c r="J141" s="56">
        <v>0.9</v>
      </c>
      <c r="K141" s="56">
        <v>0.9</v>
      </c>
      <c r="L141" s="56">
        <v>0.9</v>
      </c>
      <c r="M141" s="56">
        <v>1</v>
      </c>
      <c r="N141" s="57"/>
      <c r="O141" s="57"/>
      <c r="P141" s="57"/>
      <c r="Q141" s="57"/>
      <c r="R141" s="57"/>
      <c r="S141" s="57"/>
      <c r="T141" s="57"/>
    </row>
    <row r="142" spans="1:20">
      <c r="A142" s="55" t="s">
        <v>412</v>
      </c>
      <c r="B142" s="55" t="s">
        <v>371</v>
      </c>
      <c r="C142" s="56">
        <v>0.4</v>
      </c>
      <c r="D142" s="56">
        <v>0.3</v>
      </c>
      <c r="E142" s="56">
        <v>0.4</v>
      </c>
      <c r="F142" s="56">
        <v>0.3</v>
      </c>
      <c r="G142" s="56">
        <v>0.3</v>
      </c>
      <c r="H142" s="56">
        <v>0.3</v>
      </c>
      <c r="I142" s="56">
        <v>0.3</v>
      </c>
      <c r="J142" s="56">
        <v>0.3</v>
      </c>
      <c r="K142" s="56">
        <v>0.4</v>
      </c>
      <c r="L142" s="56">
        <v>0.4</v>
      </c>
      <c r="M142" s="56">
        <v>0.4</v>
      </c>
      <c r="N142" s="57"/>
      <c r="O142" s="57"/>
      <c r="P142" s="57"/>
      <c r="Q142" s="57"/>
      <c r="R142" s="57"/>
      <c r="S142" s="57"/>
      <c r="T142" s="57"/>
    </row>
    <row r="143" spans="1:20">
      <c r="A143" s="55" t="s">
        <v>412</v>
      </c>
      <c r="B143" s="55" t="s">
        <v>372</v>
      </c>
      <c r="C143" s="56">
        <v>2.7</v>
      </c>
      <c r="D143" s="56">
        <v>2.6</v>
      </c>
      <c r="E143" s="56">
        <v>2.5</v>
      </c>
      <c r="F143" s="56">
        <v>2.6</v>
      </c>
      <c r="G143" s="56">
        <v>2.6</v>
      </c>
      <c r="H143" s="56">
        <v>2.6</v>
      </c>
      <c r="I143" s="56">
        <v>2.7</v>
      </c>
      <c r="J143" s="56">
        <v>2.7</v>
      </c>
      <c r="K143" s="56">
        <v>2.6</v>
      </c>
      <c r="L143" s="56">
        <v>2.6</v>
      </c>
      <c r="M143" s="56">
        <v>2.5</v>
      </c>
      <c r="N143" s="57"/>
      <c r="O143" s="57"/>
      <c r="P143" s="57"/>
      <c r="Q143" s="57"/>
      <c r="R143" s="57"/>
      <c r="S143" s="57"/>
      <c r="T143" s="57"/>
    </row>
    <row r="144" spans="1:20">
      <c r="A144" s="55" t="s">
        <v>412</v>
      </c>
      <c r="B144" s="55" t="s">
        <v>373</v>
      </c>
      <c r="C144" s="56">
        <v>0.3</v>
      </c>
      <c r="D144" s="56">
        <v>0.3</v>
      </c>
      <c r="E144" s="56">
        <v>0.3</v>
      </c>
      <c r="F144" s="56">
        <v>0.3</v>
      </c>
      <c r="G144" s="56">
        <v>0.3</v>
      </c>
      <c r="H144" s="56">
        <v>0.3</v>
      </c>
      <c r="I144" s="56">
        <v>0.3</v>
      </c>
      <c r="J144" s="56">
        <v>0.3</v>
      </c>
      <c r="K144" s="56">
        <v>0.4</v>
      </c>
      <c r="L144" s="56">
        <v>0.4</v>
      </c>
      <c r="M144" s="56">
        <v>0.4</v>
      </c>
      <c r="N144" s="57"/>
      <c r="O144" s="57"/>
      <c r="P144" s="57"/>
      <c r="Q144" s="57"/>
      <c r="R144" s="57"/>
      <c r="S144" s="57"/>
      <c r="T144" s="57"/>
    </row>
    <row r="145" spans="1:20">
      <c r="A145" s="55" t="s">
        <v>412</v>
      </c>
      <c r="B145" s="55" t="s">
        <v>374</v>
      </c>
      <c r="C145" s="56">
        <v>18</v>
      </c>
      <c r="D145" s="56">
        <v>18</v>
      </c>
      <c r="E145" s="56">
        <v>17.899999999999999</v>
      </c>
      <c r="F145" s="56">
        <v>18.100000000000001</v>
      </c>
      <c r="G145" s="56">
        <v>18.5</v>
      </c>
      <c r="H145" s="56">
        <v>18.8</v>
      </c>
      <c r="I145" s="56">
        <v>18.899999999999999</v>
      </c>
      <c r="J145" s="56">
        <v>18.7</v>
      </c>
      <c r="K145" s="56">
        <v>19</v>
      </c>
      <c r="L145" s="56">
        <v>19</v>
      </c>
      <c r="M145" s="56">
        <v>19.3</v>
      </c>
      <c r="N145" s="57"/>
      <c r="O145" s="57"/>
      <c r="P145" s="57"/>
      <c r="Q145" s="57"/>
      <c r="R145" s="57"/>
      <c r="S145" s="57"/>
      <c r="T145" s="57"/>
    </row>
    <row r="146" spans="1:20">
      <c r="A146" s="55" t="s">
        <v>412</v>
      </c>
      <c r="B146" s="55" t="s">
        <v>375</v>
      </c>
      <c r="C146" s="56">
        <v>6</v>
      </c>
      <c r="D146" s="56">
        <v>5.9</v>
      </c>
      <c r="E146" s="56">
        <v>5.9</v>
      </c>
      <c r="F146" s="56">
        <v>6</v>
      </c>
      <c r="G146" s="56">
        <v>6.4</v>
      </c>
      <c r="H146" s="56">
        <v>6.5</v>
      </c>
      <c r="I146" s="56">
        <v>6.6</v>
      </c>
      <c r="J146" s="56">
        <v>6.4</v>
      </c>
      <c r="K146" s="56">
        <v>6.6</v>
      </c>
      <c r="L146" s="56">
        <v>6.7</v>
      </c>
      <c r="M146" s="56">
        <v>7</v>
      </c>
      <c r="N146" s="57"/>
      <c r="O146" s="57"/>
      <c r="P146" s="57"/>
      <c r="Q146" s="57"/>
      <c r="R146" s="57"/>
      <c r="S146" s="57"/>
      <c r="T146" s="57"/>
    </row>
    <row r="147" spans="1:20">
      <c r="A147" s="55" t="s">
        <v>412</v>
      </c>
      <c r="B147" s="55" t="s">
        <v>376</v>
      </c>
      <c r="C147" s="56">
        <v>3.2</v>
      </c>
      <c r="D147" s="56">
        <v>3</v>
      </c>
      <c r="E147" s="56">
        <v>2.9</v>
      </c>
      <c r="F147" s="56">
        <v>3</v>
      </c>
      <c r="G147" s="56">
        <v>3.2</v>
      </c>
      <c r="H147" s="56">
        <v>3.2</v>
      </c>
      <c r="I147" s="56">
        <v>3.2</v>
      </c>
      <c r="J147" s="56">
        <v>3</v>
      </c>
      <c r="K147" s="56">
        <v>3</v>
      </c>
      <c r="L147" s="56">
        <v>2.9</v>
      </c>
      <c r="M147" s="56">
        <v>3</v>
      </c>
      <c r="N147" s="57"/>
      <c r="O147" s="57"/>
      <c r="P147" s="57"/>
      <c r="Q147" s="57"/>
      <c r="R147" s="57"/>
      <c r="S147" s="57"/>
      <c r="T147" s="57"/>
    </row>
    <row r="148" spans="1:20">
      <c r="A148" s="55" t="s">
        <v>412</v>
      </c>
      <c r="B148" s="55" t="s">
        <v>377</v>
      </c>
      <c r="C148" s="56">
        <v>0.9</v>
      </c>
      <c r="D148" s="56">
        <v>0.9</v>
      </c>
      <c r="E148" s="56">
        <v>0.8</v>
      </c>
      <c r="F148" s="56">
        <v>0.7</v>
      </c>
      <c r="G148" s="56">
        <v>0.8</v>
      </c>
      <c r="H148" s="56">
        <v>0.8</v>
      </c>
      <c r="I148" s="56">
        <v>1</v>
      </c>
      <c r="J148" s="56">
        <v>0.9</v>
      </c>
      <c r="K148" s="56">
        <v>1</v>
      </c>
      <c r="L148" s="56">
        <v>1.2</v>
      </c>
      <c r="M148" s="56">
        <v>1.4</v>
      </c>
      <c r="N148" s="57"/>
      <c r="O148" s="57"/>
      <c r="P148" s="57"/>
      <c r="Q148" s="57"/>
      <c r="R148" s="57"/>
      <c r="S148" s="57"/>
      <c r="T148" s="57"/>
    </row>
    <row r="149" spans="1:20">
      <c r="A149" s="55" t="s">
        <v>412</v>
      </c>
      <c r="B149" s="55" t="s">
        <v>378</v>
      </c>
      <c r="C149" s="56">
        <v>1.7</v>
      </c>
      <c r="D149" s="56">
        <v>1.9</v>
      </c>
      <c r="E149" s="56">
        <v>2</v>
      </c>
      <c r="F149" s="56">
        <v>2.1</v>
      </c>
      <c r="G149" s="56">
        <v>2.2999999999999998</v>
      </c>
      <c r="H149" s="56">
        <v>2.4</v>
      </c>
      <c r="I149" s="56">
        <v>2.2999999999999998</v>
      </c>
      <c r="J149" s="56">
        <v>2.4</v>
      </c>
      <c r="K149" s="56">
        <v>2.5</v>
      </c>
      <c r="L149" s="56">
        <v>2.4</v>
      </c>
      <c r="M149" s="56">
        <v>2.5</v>
      </c>
      <c r="N149" s="57"/>
      <c r="O149" s="57"/>
      <c r="P149" s="57"/>
      <c r="Q149" s="57"/>
      <c r="R149" s="57"/>
      <c r="S149" s="57"/>
      <c r="T149" s="57"/>
    </row>
    <row r="150" spans="1:20">
      <c r="A150" s="55" t="s">
        <v>412</v>
      </c>
      <c r="B150" s="55" t="s">
        <v>379</v>
      </c>
      <c r="C150" s="56">
        <v>0.2</v>
      </c>
      <c r="D150" s="56">
        <v>0.1</v>
      </c>
      <c r="E150" s="56">
        <v>0.1</v>
      </c>
      <c r="F150" s="56">
        <v>0.1</v>
      </c>
      <c r="G150" s="56">
        <v>0.1</v>
      </c>
      <c r="H150" s="56">
        <v>0.1</v>
      </c>
      <c r="I150" s="56">
        <v>0.1</v>
      </c>
      <c r="J150" s="56">
        <v>0.1</v>
      </c>
      <c r="K150" s="56">
        <v>0.1</v>
      </c>
      <c r="L150" s="56">
        <v>0.1</v>
      </c>
      <c r="M150" s="56">
        <v>0.1</v>
      </c>
      <c r="N150" s="57"/>
      <c r="O150" s="57"/>
      <c r="P150" s="57"/>
      <c r="Q150" s="57"/>
      <c r="R150" s="57"/>
      <c r="S150" s="57"/>
      <c r="T150" s="57"/>
    </row>
    <row r="151" spans="1:20">
      <c r="A151" s="55" t="s">
        <v>412</v>
      </c>
      <c r="B151" s="55" t="s">
        <v>380</v>
      </c>
      <c r="C151" s="56">
        <v>12</v>
      </c>
      <c r="D151" s="56">
        <v>12</v>
      </c>
      <c r="E151" s="56">
        <v>12</v>
      </c>
      <c r="F151" s="56">
        <v>12.1</v>
      </c>
      <c r="G151" s="56">
        <v>12.1</v>
      </c>
      <c r="H151" s="56">
        <v>12.3</v>
      </c>
      <c r="I151" s="56">
        <v>12.3</v>
      </c>
      <c r="J151" s="56">
        <v>12.2</v>
      </c>
      <c r="K151" s="56">
        <v>12.4</v>
      </c>
      <c r="L151" s="56">
        <v>12.3</v>
      </c>
      <c r="M151" s="56">
        <v>12.3</v>
      </c>
      <c r="N151" s="57"/>
      <c r="O151" s="57"/>
      <c r="P151" s="57"/>
      <c r="Q151" s="57"/>
      <c r="R151" s="57"/>
      <c r="S151" s="57"/>
      <c r="T151" s="57"/>
    </row>
    <row r="152" spans="1:20">
      <c r="A152" s="55" t="s">
        <v>412</v>
      </c>
      <c r="B152" s="55" t="s">
        <v>381</v>
      </c>
      <c r="C152" s="56">
        <v>10.9</v>
      </c>
      <c r="D152" s="56">
        <v>10.9</v>
      </c>
      <c r="E152" s="56">
        <v>10.8</v>
      </c>
      <c r="F152" s="56">
        <v>10.9</v>
      </c>
      <c r="G152" s="56">
        <v>11</v>
      </c>
      <c r="H152" s="56">
        <v>11.1</v>
      </c>
      <c r="I152" s="56">
        <v>11.1</v>
      </c>
      <c r="J152" s="56">
        <v>11</v>
      </c>
      <c r="K152" s="56">
        <v>11.1</v>
      </c>
      <c r="L152" s="56">
        <v>11</v>
      </c>
      <c r="M152" s="56">
        <v>11.1</v>
      </c>
      <c r="N152" s="57"/>
      <c r="O152" s="57"/>
      <c r="P152" s="57"/>
      <c r="Q152" s="57"/>
      <c r="R152" s="57"/>
      <c r="S152" s="57"/>
      <c r="T152" s="57"/>
    </row>
    <row r="153" spans="1:20">
      <c r="A153" s="55" t="s">
        <v>412</v>
      </c>
      <c r="B153" s="55" t="s">
        <v>382</v>
      </c>
      <c r="C153" s="56">
        <v>1.1000000000000001</v>
      </c>
      <c r="D153" s="56">
        <v>1.2</v>
      </c>
      <c r="E153" s="56">
        <v>1.2</v>
      </c>
      <c r="F153" s="56">
        <v>1.2</v>
      </c>
      <c r="G153" s="56">
        <v>1.2</v>
      </c>
      <c r="H153" s="56">
        <v>1.2</v>
      </c>
      <c r="I153" s="56">
        <v>1.2</v>
      </c>
      <c r="J153" s="56">
        <v>1.2</v>
      </c>
      <c r="K153" s="56">
        <v>1.2</v>
      </c>
      <c r="L153" s="56">
        <v>1.3</v>
      </c>
      <c r="M153" s="56">
        <v>1.3</v>
      </c>
      <c r="N153" s="57"/>
      <c r="O153" s="57"/>
      <c r="P153" s="57"/>
      <c r="Q153" s="57"/>
      <c r="R153" s="57"/>
      <c r="S153" s="57"/>
      <c r="T153" s="57"/>
    </row>
    <row r="154" spans="1:20">
      <c r="A154" s="55" t="s">
        <v>412</v>
      </c>
      <c r="B154" s="55" t="s">
        <v>383</v>
      </c>
      <c r="C154" s="56">
        <v>8.1</v>
      </c>
      <c r="D154" s="56">
        <v>8.3000000000000007</v>
      </c>
      <c r="E154" s="56">
        <v>8.6</v>
      </c>
      <c r="F154" s="56">
        <v>8.9</v>
      </c>
      <c r="G154" s="56">
        <v>8.6999999999999993</v>
      </c>
      <c r="H154" s="56">
        <v>8.9</v>
      </c>
      <c r="I154" s="56">
        <v>9</v>
      </c>
      <c r="J154" s="56">
        <v>9</v>
      </c>
      <c r="K154" s="56">
        <v>9.3000000000000007</v>
      </c>
      <c r="L154" s="56">
        <v>9.6999999999999993</v>
      </c>
      <c r="M154" s="56">
        <v>10.1</v>
      </c>
      <c r="N154" s="57"/>
      <c r="O154" s="57"/>
      <c r="P154" s="57"/>
      <c r="Q154" s="57"/>
      <c r="R154" s="57"/>
      <c r="S154" s="57"/>
      <c r="T154" s="57"/>
    </row>
    <row r="155" spans="1:20">
      <c r="A155" s="55" t="s">
        <v>412</v>
      </c>
      <c r="B155" s="55" t="s">
        <v>384</v>
      </c>
      <c r="C155" s="56">
        <v>4.7</v>
      </c>
      <c r="D155" s="56">
        <v>5</v>
      </c>
      <c r="E155" s="56">
        <v>5.2</v>
      </c>
      <c r="F155" s="56">
        <v>5.4</v>
      </c>
      <c r="G155" s="56">
        <v>5.4</v>
      </c>
      <c r="H155" s="56">
        <v>5.5</v>
      </c>
      <c r="I155" s="56">
        <v>5.5</v>
      </c>
      <c r="J155" s="56">
        <v>5.5</v>
      </c>
      <c r="K155" s="56">
        <v>5.6</v>
      </c>
      <c r="L155" s="56">
        <v>5.8</v>
      </c>
      <c r="M155" s="56">
        <v>6</v>
      </c>
      <c r="N155" s="57"/>
      <c r="O155" s="57"/>
      <c r="P155" s="57"/>
      <c r="Q155" s="57"/>
      <c r="R155" s="57"/>
      <c r="S155" s="57"/>
      <c r="T155" s="57"/>
    </row>
    <row r="156" spans="1:20">
      <c r="A156" s="55" t="s">
        <v>412</v>
      </c>
      <c r="B156" s="55" t="s">
        <v>385</v>
      </c>
      <c r="C156" s="56">
        <v>1.3</v>
      </c>
      <c r="D156" s="56">
        <v>1.4</v>
      </c>
      <c r="E156" s="56">
        <v>1.4</v>
      </c>
      <c r="F156" s="56">
        <v>1.4</v>
      </c>
      <c r="G156" s="56">
        <v>1.4</v>
      </c>
      <c r="H156" s="56">
        <v>1.5</v>
      </c>
      <c r="I156" s="56">
        <v>1.4</v>
      </c>
      <c r="J156" s="56">
        <v>1.4</v>
      </c>
      <c r="K156" s="56">
        <v>1.3</v>
      </c>
      <c r="L156" s="56">
        <v>1.3</v>
      </c>
      <c r="M156" s="56">
        <v>1.3</v>
      </c>
      <c r="N156" s="57"/>
      <c r="O156" s="57"/>
      <c r="P156" s="57"/>
      <c r="Q156" s="57"/>
      <c r="R156" s="57"/>
      <c r="S156" s="57"/>
      <c r="T156" s="57"/>
    </row>
    <row r="157" spans="1:20">
      <c r="A157" s="55" t="s">
        <v>412</v>
      </c>
      <c r="B157" s="55" t="s">
        <v>386</v>
      </c>
      <c r="C157" s="56">
        <v>0.5</v>
      </c>
      <c r="D157" s="56">
        <v>0.5</v>
      </c>
      <c r="E157" s="56">
        <v>0.5</v>
      </c>
      <c r="F157" s="56">
        <v>0.5</v>
      </c>
      <c r="G157" s="56">
        <v>0.5</v>
      </c>
      <c r="H157" s="56">
        <v>0.6</v>
      </c>
      <c r="I157" s="56">
        <v>0.6</v>
      </c>
      <c r="J157" s="56">
        <v>0.6</v>
      </c>
      <c r="K157" s="56">
        <v>0.7</v>
      </c>
      <c r="L157" s="56">
        <v>0.8</v>
      </c>
      <c r="M157" s="56">
        <v>0.9</v>
      </c>
      <c r="N157" s="57"/>
      <c r="O157" s="57"/>
      <c r="P157" s="57"/>
      <c r="Q157" s="57"/>
      <c r="R157" s="57"/>
      <c r="S157" s="57"/>
      <c r="T157" s="57"/>
    </row>
    <row r="158" spans="1:20">
      <c r="A158" s="55" t="s">
        <v>412</v>
      </c>
      <c r="B158" s="55" t="s">
        <v>387</v>
      </c>
      <c r="C158" s="56">
        <v>3</v>
      </c>
      <c r="D158" s="56">
        <v>3.1</v>
      </c>
      <c r="E158" s="56">
        <v>3.3</v>
      </c>
      <c r="F158" s="56">
        <v>3.5</v>
      </c>
      <c r="G158" s="56">
        <v>3.4</v>
      </c>
      <c r="H158" s="56">
        <v>3.4</v>
      </c>
      <c r="I158" s="56">
        <v>3.5</v>
      </c>
      <c r="J158" s="56">
        <v>3.5</v>
      </c>
      <c r="K158" s="56">
        <v>3.6</v>
      </c>
      <c r="L158" s="56">
        <v>3.7</v>
      </c>
      <c r="M158" s="56">
        <v>3.8</v>
      </c>
      <c r="N158" s="57"/>
      <c r="O158" s="57"/>
      <c r="P158" s="57"/>
      <c r="Q158" s="57"/>
      <c r="R158" s="57"/>
      <c r="S158" s="57"/>
      <c r="T158" s="57"/>
    </row>
    <row r="159" spans="1:20">
      <c r="A159" s="55" t="s">
        <v>412</v>
      </c>
      <c r="B159" s="55" t="s">
        <v>388</v>
      </c>
      <c r="C159" s="56">
        <v>1.6</v>
      </c>
      <c r="D159" s="56">
        <v>1.4</v>
      </c>
      <c r="E159" s="56">
        <v>1.4</v>
      </c>
      <c r="F159" s="56">
        <v>1.4</v>
      </c>
      <c r="G159" s="56">
        <v>1.4</v>
      </c>
      <c r="H159" s="56">
        <v>1.3</v>
      </c>
      <c r="I159" s="56">
        <v>1.4</v>
      </c>
      <c r="J159" s="56">
        <v>1.4</v>
      </c>
      <c r="K159" s="56">
        <v>1.4</v>
      </c>
      <c r="L159" s="56">
        <v>1.4</v>
      </c>
      <c r="M159" s="56">
        <v>1.5</v>
      </c>
      <c r="N159" s="57"/>
      <c r="O159" s="57"/>
      <c r="P159" s="57"/>
      <c r="Q159" s="57"/>
      <c r="R159" s="57"/>
      <c r="S159" s="57"/>
      <c r="T159" s="57"/>
    </row>
    <row r="160" spans="1:20">
      <c r="A160" s="55" t="s">
        <v>412</v>
      </c>
      <c r="B160" s="55" t="s">
        <v>389</v>
      </c>
      <c r="C160" s="56">
        <v>1.8</v>
      </c>
      <c r="D160" s="56">
        <v>1.9</v>
      </c>
      <c r="E160" s="56">
        <v>2</v>
      </c>
      <c r="F160" s="56">
        <v>2.1</v>
      </c>
      <c r="G160" s="56">
        <v>2</v>
      </c>
      <c r="H160" s="56">
        <v>2.1</v>
      </c>
      <c r="I160" s="56">
        <v>2.1</v>
      </c>
      <c r="J160" s="56">
        <v>2.2000000000000002</v>
      </c>
      <c r="K160" s="56">
        <v>2.2999999999999998</v>
      </c>
      <c r="L160" s="56">
        <v>2.4</v>
      </c>
      <c r="M160" s="56">
        <v>2.6</v>
      </c>
      <c r="N160" s="57"/>
      <c r="O160" s="57"/>
      <c r="P160" s="57"/>
      <c r="Q160" s="57"/>
      <c r="R160" s="57"/>
      <c r="S160" s="57"/>
      <c r="T160" s="57"/>
    </row>
    <row r="161" spans="1:20">
      <c r="A161" s="55" t="s">
        <v>412</v>
      </c>
      <c r="B161" s="55" t="s">
        <v>390</v>
      </c>
      <c r="C161" s="56">
        <v>1.6</v>
      </c>
      <c r="D161" s="56">
        <v>1.7</v>
      </c>
      <c r="E161" s="56">
        <v>1.7</v>
      </c>
      <c r="F161" s="56">
        <v>1.8</v>
      </c>
      <c r="G161" s="56">
        <v>1.8</v>
      </c>
      <c r="H161" s="56">
        <v>1.9</v>
      </c>
      <c r="I161" s="56">
        <v>1.9</v>
      </c>
      <c r="J161" s="56">
        <v>1.9</v>
      </c>
      <c r="K161" s="56">
        <v>2</v>
      </c>
      <c r="L161" s="56">
        <v>2.2000000000000002</v>
      </c>
      <c r="M161" s="56">
        <v>2.2999999999999998</v>
      </c>
      <c r="N161" s="57"/>
      <c r="O161" s="57"/>
      <c r="P161" s="57"/>
      <c r="Q161" s="57"/>
      <c r="R161" s="57"/>
      <c r="S161" s="57"/>
      <c r="T161" s="57"/>
    </row>
    <row r="162" spans="1:20">
      <c r="A162" s="55" t="s">
        <v>412</v>
      </c>
      <c r="B162" s="55" t="s">
        <v>391</v>
      </c>
      <c r="C162" s="56">
        <v>0.2</v>
      </c>
      <c r="D162" s="56">
        <v>0.2</v>
      </c>
      <c r="E162" s="56">
        <v>0.3</v>
      </c>
      <c r="F162" s="56">
        <v>0.3</v>
      </c>
      <c r="G162" s="56">
        <v>0.3</v>
      </c>
      <c r="H162" s="56">
        <v>0.3</v>
      </c>
      <c r="I162" s="56">
        <v>0.3</v>
      </c>
      <c r="J162" s="56">
        <v>0.3</v>
      </c>
      <c r="K162" s="56">
        <v>0.3</v>
      </c>
      <c r="L162" s="56">
        <v>0.3</v>
      </c>
      <c r="M162" s="56">
        <v>0.3</v>
      </c>
      <c r="N162" s="57"/>
      <c r="O162" s="57"/>
      <c r="P162" s="57"/>
      <c r="Q162" s="57"/>
      <c r="R162" s="57"/>
      <c r="S162" s="57"/>
      <c r="T162" s="57"/>
    </row>
    <row r="163" spans="1:20">
      <c r="A163" s="55" t="s">
        <v>412</v>
      </c>
      <c r="B163" s="55" t="s">
        <v>392</v>
      </c>
      <c r="C163" s="56">
        <v>5.9</v>
      </c>
      <c r="D163" s="56">
        <v>5.9</v>
      </c>
      <c r="E163" s="56">
        <v>6.2</v>
      </c>
      <c r="F163" s="56">
        <v>6.5</v>
      </c>
      <c r="G163" s="56">
        <v>6.9</v>
      </c>
      <c r="H163" s="56">
        <v>7.1</v>
      </c>
      <c r="I163" s="56">
        <v>7.1</v>
      </c>
      <c r="J163" s="56">
        <v>7.1</v>
      </c>
      <c r="K163" s="56">
        <v>7.1</v>
      </c>
      <c r="L163" s="56">
        <v>7</v>
      </c>
      <c r="M163" s="56">
        <v>6.9</v>
      </c>
      <c r="N163" s="57"/>
      <c r="O163" s="57"/>
      <c r="P163" s="57"/>
      <c r="Q163" s="57"/>
      <c r="R163" s="57"/>
      <c r="S163" s="57"/>
      <c r="T163" s="57"/>
    </row>
    <row r="164" spans="1:20">
      <c r="A164" s="55" t="s">
        <v>412</v>
      </c>
      <c r="B164" s="55" t="s">
        <v>393</v>
      </c>
      <c r="C164" s="56">
        <v>0.7</v>
      </c>
      <c r="D164" s="56">
        <v>0.7</v>
      </c>
      <c r="E164" s="56">
        <v>0.7</v>
      </c>
      <c r="F164" s="56">
        <v>0.7</v>
      </c>
      <c r="G164" s="56">
        <v>0.8</v>
      </c>
      <c r="H164" s="56">
        <v>0.8</v>
      </c>
      <c r="I164" s="56">
        <v>0.8</v>
      </c>
      <c r="J164" s="56">
        <v>0.8</v>
      </c>
      <c r="K164" s="56">
        <v>0.8</v>
      </c>
      <c r="L164" s="56">
        <v>0.8</v>
      </c>
      <c r="M164" s="56">
        <v>0.8</v>
      </c>
      <c r="N164" s="57"/>
      <c r="O164" s="57"/>
      <c r="P164" s="57"/>
      <c r="Q164" s="57"/>
      <c r="R164" s="57"/>
      <c r="S164" s="57"/>
      <c r="T164" s="57"/>
    </row>
    <row r="165" spans="1:20">
      <c r="A165" s="55" t="s">
        <v>412</v>
      </c>
      <c r="B165" s="55" t="s">
        <v>394</v>
      </c>
      <c r="C165" s="56">
        <v>5.2</v>
      </c>
      <c r="D165" s="56">
        <v>5.2</v>
      </c>
      <c r="E165" s="56">
        <v>5.4</v>
      </c>
      <c r="F165" s="56">
        <v>5.8</v>
      </c>
      <c r="G165" s="56">
        <v>6.1</v>
      </c>
      <c r="H165" s="56">
        <v>6.4</v>
      </c>
      <c r="I165" s="56">
        <v>6.4</v>
      </c>
      <c r="J165" s="56">
        <v>6.3</v>
      </c>
      <c r="K165" s="56">
        <v>6.3</v>
      </c>
      <c r="L165" s="56">
        <v>6.2</v>
      </c>
      <c r="M165" s="56">
        <v>6.1</v>
      </c>
      <c r="N165" s="57"/>
      <c r="O165" s="57"/>
      <c r="P165" s="57"/>
      <c r="Q165" s="57"/>
      <c r="R165" s="57"/>
      <c r="S165" s="57"/>
      <c r="T165" s="57"/>
    </row>
    <row r="166" spans="1:20">
      <c r="A166" s="55" t="s">
        <v>412</v>
      </c>
      <c r="B166" s="55" t="s">
        <v>395</v>
      </c>
      <c r="C166" s="56">
        <v>2.5</v>
      </c>
      <c r="D166" s="56">
        <v>2.6</v>
      </c>
      <c r="E166" s="56">
        <v>2.7</v>
      </c>
      <c r="F166" s="56">
        <v>2.9</v>
      </c>
      <c r="G166" s="56">
        <v>3</v>
      </c>
      <c r="H166" s="56">
        <v>3.2</v>
      </c>
      <c r="I166" s="56">
        <v>3.2</v>
      </c>
      <c r="J166" s="56">
        <v>3.1</v>
      </c>
      <c r="K166" s="56">
        <v>3.1</v>
      </c>
      <c r="L166" s="56">
        <v>3.1</v>
      </c>
      <c r="M166" s="56">
        <v>3</v>
      </c>
      <c r="N166" s="57"/>
      <c r="O166" s="57"/>
      <c r="P166" s="57"/>
      <c r="Q166" s="57"/>
      <c r="R166" s="57"/>
      <c r="S166" s="57"/>
      <c r="T166" s="57"/>
    </row>
    <row r="167" spans="1:20">
      <c r="A167" s="55" t="s">
        <v>412</v>
      </c>
      <c r="B167" s="55" t="s">
        <v>396</v>
      </c>
      <c r="C167" s="56">
        <v>2.2999999999999998</v>
      </c>
      <c r="D167" s="56">
        <v>2.2999999999999998</v>
      </c>
      <c r="E167" s="56">
        <v>2.4</v>
      </c>
      <c r="F167" s="56">
        <v>2.5</v>
      </c>
      <c r="G167" s="56">
        <v>2.7</v>
      </c>
      <c r="H167" s="56">
        <v>2.8</v>
      </c>
      <c r="I167" s="56">
        <v>2.8</v>
      </c>
      <c r="J167" s="56">
        <v>2.7</v>
      </c>
      <c r="K167" s="56">
        <v>2.7</v>
      </c>
      <c r="L167" s="56">
        <v>2.7</v>
      </c>
      <c r="M167" s="56">
        <v>2.6</v>
      </c>
      <c r="N167" s="57"/>
      <c r="O167" s="57"/>
      <c r="P167" s="57"/>
      <c r="Q167" s="57"/>
      <c r="R167" s="57"/>
      <c r="S167" s="57"/>
      <c r="T167" s="57"/>
    </row>
    <row r="168" spans="1:20">
      <c r="A168" s="55" t="s">
        <v>412</v>
      </c>
      <c r="B168" s="55" t="s">
        <v>397</v>
      </c>
      <c r="C168" s="56">
        <v>0.3</v>
      </c>
      <c r="D168" s="56">
        <v>0.3</v>
      </c>
      <c r="E168" s="56">
        <v>0.4</v>
      </c>
      <c r="F168" s="56">
        <v>0.4</v>
      </c>
      <c r="G168" s="56">
        <v>0.4</v>
      </c>
      <c r="H168" s="56">
        <v>0.4</v>
      </c>
      <c r="I168" s="56">
        <v>0.4</v>
      </c>
      <c r="J168" s="56">
        <v>0.4</v>
      </c>
      <c r="K168" s="56">
        <v>0.4</v>
      </c>
      <c r="L168" s="56">
        <v>0.4</v>
      </c>
      <c r="M168" s="56">
        <v>0.5</v>
      </c>
      <c r="N168" s="57"/>
      <c r="O168" s="57"/>
      <c r="P168" s="57"/>
      <c r="Q168" s="57"/>
      <c r="R168" s="57"/>
      <c r="S168" s="57"/>
      <c r="T168" s="57"/>
    </row>
    <row r="169" spans="1:20">
      <c r="A169" s="55" t="s">
        <v>412</v>
      </c>
      <c r="B169" s="55" t="s">
        <v>398</v>
      </c>
      <c r="C169" s="56">
        <v>3.2</v>
      </c>
      <c r="D169" s="56">
        <v>3.3</v>
      </c>
      <c r="E169" s="56">
        <v>3.4</v>
      </c>
      <c r="F169" s="56">
        <v>3.4</v>
      </c>
      <c r="G169" s="56">
        <v>3.4</v>
      </c>
      <c r="H169" s="56">
        <v>3.5</v>
      </c>
      <c r="I169" s="56">
        <v>3.5</v>
      </c>
      <c r="J169" s="56">
        <v>3.4</v>
      </c>
      <c r="K169" s="56">
        <v>3.4</v>
      </c>
      <c r="L169" s="56">
        <v>3.5</v>
      </c>
      <c r="M169" s="56">
        <v>3.6</v>
      </c>
      <c r="N169" s="57"/>
      <c r="O169" s="57"/>
      <c r="P169" s="57"/>
      <c r="Q169" s="57"/>
      <c r="R169" s="57"/>
      <c r="S169" s="57"/>
      <c r="T169" s="57"/>
    </row>
    <row r="170" spans="1:20">
      <c r="A170" s="55" t="s">
        <v>412</v>
      </c>
      <c r="B170" s="55" t="s">
        <v>399</v>
      </c>
      <c r="C170" s="56">
        <v>0.7</v>
      </c>
      <c r="D170" s="56">
        <v>0.7</v>
      </c>
      <c r="E170" s="56">
        <v>0.7</v>
      </c>
      <c r="F170" s="56">
        <v>0.8</v>
      </c>
      <c r="G170" s="56">
        <v>0.8</v>
      </c>
      <c r="H170" s="56">
        <v>0.9</v>
      </c>
      <c r="I170" s="56">
        <v>0.9</v>
      </c>
      <c r="J170" s="56">
        <v>0.9</v>
      </c>
      <c r="K170" s="56">
        <v>0.9</v>
      </c>
      <c r="L170" s="56">
        <v>0.9</v>
      </c>
      <c r="M170" s="56">
        <v>1</v>
      </c>
      <c r="N170" s="57"/>
      <c r="O170" s="57"/>
      <c r="P170" s="57"/>
      <c r="Q170" s="57"/>
      <c r="R170" s="57"/>
      <c r="S170" s="57"/>
      <c r="T170" s="57"/>
    </row>
    <row r="171" spans="1:20">
      <c r="A171" s="55" t="s">
        <v>412</v>
      </c>
      <c r="B171" s="55" t="s">
        <v>400</v>
      </c>
      <c r="C171" s="56">
        <v>0.3</v>
      </c>
      <c r="D171" s="56">
        <v>0.3</v>
      </c>
      <c r="E171" s="56">
        <v>0.3</v>
      </c>
      <c r="F171" s="56">
        <v>0.4</v>
      </c>
      <c r="G171" s="56">
        <v>0.4</v>
      </c>
      <c r="H171" s="56">
        <v>0.4</v>
      </c>
      <c r="I171" s="56">
        <v>0.4</v>
      </c>
      <c r="J171" s="56">
        <v>0.4</v>
      </c>
      <c r="K171" s="56">
        <v>0.4</v>
      </c>
      <c r="L171" s="56">
        <v>0.4</v>
      </c>
      <c r="M171" s="56">
        <v>0.4</v>
      </c>
      <c r="N171" s="57"/>
      <c r="O171" s="57"/>
      <c r="P171" s="57"/>
      <c r="Q171" s="57"/>
      <c r="R171" s="57"/>
      <c r="S171" s="57"/>
      <c r="T171" s="57"/>
    </row>
    <row r="172" spans="1:20">
      <c r="A172" s="55" t="s">
        <v>412</v>
      </c>
      <c r="B172" s="55" t="s">
        <v>401</v>
      </c>
      <c r="C172" s="56">
        <v>0.4</v>
      </c>
      <c r="D172" s="56">
        <v>0.4</v>
      </c>
      <c r="E172" s="56">
        <v>0.4</v>
      </c>
      <c r="F172" s="56">
        <v>0.4</v>
      </c>
      <c r="G172" s="56">
        <v>0.4</v>
      </c>
      <c r="H172" s="56">
        <v>0.5</v>
      </c>
      <c r="I172" s="56">
        <v>0.5</v>
      </c>
      <c r="J172" s="56">
        <v>0.4</v>
      </c>
      <c r="K172" s="56">
        <v>0.5</v>
      </c>
      <c r="L172" s="56">
        <v>0.5</v>
      </c>
      <c r="M172" s="56">
        <v>0.5</v>
      </c>
      <c r="N172" s="57"/>
      <c r="O172" s="57"/>
      <c r="P172" s="57"/>
      <c r="Q172" s="57"/>
      <c r="R172" s="57"/>
      <c r="S172" s="57"/>
      <c r="T172" s="57"/>
    </row>
    <row r="173" spans="1:20">
      <c r="A173" s="55" t="s">
        <v>412</v>
      </c>
      <c r="B173" s="55" t="s">
        <v>402</v>
      </c>
      <c r="C173" s="56">
        <v>2.5</v>
      </c>
      <c r="D173" s="56">
        <v>2.6</v>
      </c>
      <c r="E173" s="56">
        <v>2.6</v>
      </c>
      <c r="F173" s="56">
        <v>2.6</v>
      </c>
      <c r="G173" s="56">
        <v>2.6</v>
      </c>
      <c r="H173" s="56">
        <v>2.6</v>
      </c>
      <c r="I173" s="56">
        <v>2.6</v>
      </c>
      <c r="J173" s="56">
        <v>2.6</v>
      </c>
      <c r="K173" s="56">
        <v>2.6</v>
      </c>
      <c r="L173" s="56">
        <v>2.6</v>
      </c>
      <c r="M173" s="56">
        <v>2.6</v>
      </c>
      <c r="N173" s="57"/>
      <c r="O173" s="57"/>
      <c r="P173" s="57"/>
      <c r="Q173" s="57"/>
      <c r="R173" s="57"/>
      <c r="S173" s="57"/>
      <c r="T173" s="57"/>
    </row>
    <row r="174" spans="1:20">
      <c r="A174" s="55" t="s">
        <v>412</v>
      </c>
      <c r="B174" s="55" t="s">
        <v>403</v>
      </c>
      <c r="C174" s="56">
        <v>0.8</v>
      </c>
      <c r="D174" s="56">
        <v>0.8</v>
      </c>
      <c r="E174" s="56">
        <v>0.8</v>
      </c>
      <c r="F174" s="56">
        <v>0.8</v>
      </c>
      <c r="G174" s="56">
        <v>0.8</v>
      </c>
      <c r="H174" s="56">
        <v>0.8</v>
      </c>
      <c r="I174" s="56">
        <v>0.8</v>
      </c>
      <c r="J174" s="56">
        <v>0.8</v>
      </c>
      <c r="K174" s="56">
        <v>0.8</v>
      </c>
      <c r="L174" s="56">
        <v>0.8</v>
      </c>
      <c r="M174" s="56">
        <v>0.8</v>
      </c>
      <c r="N174" s="57"/>
      <c r="O174" s="57"/>
      <c r="P174" s="57"/>
      <c r="Q174" s="57"/>
      <c r="R174" s="57"/>
      <c r="S174" s="57"/>
      <c r="T174" s="57"/>
    </row>
    <row r="175" spans="1:20">
      <c r="A175" s="55" t="s">
        <v>412</v>
      </c>
      <c r="B175" s="55" t="s">
        <v>404</v>
      </c>
      <c r="C175" s="56">
        <v>1.8</v>
      </c>
      <c r="D175" s="56">
        <v>1.9</v>
      </c>
      <c r="E175" s="56">
        <v>1.8</v>
      </c>
      <c r="F175" s="56">
        <v>1.9</v>
      </c>
      <c r="G175" s="56">
        <v>1.8</v>
      </c>
      <c r="H175" s="56">
        <v>1.8</v>
      </c>
      <c r="I175" s="56">
        <v>1.8</v>
      </c>
      <c r="J175" s="56">
        <v>1.8</v>
      </c>
      <c r="K175" s="56">
        <v>1.8</v>
      </c>
      <c r="L175" s="56">
        <v>1.8</v>
      </c>
      <c r="M175" s="56">
        <v>1.8</v>
      </c>
      <c r="N175" s="57"/>
      <c r="O175" s="57"/>
      <c r="P175" s="57"/>
      <c r="Q175" s="57"/>
      <c r="R175" s="57"/>
      <c r="S175" s="57"/>
      <c r="T175" s="57"/>
    </row>
    <row r="176" spans="1:20">
      <c r="A176" s="55" t="s">
        <v>412</v>
      </c>
      <c r="B176" s="55" t="s">
        <v>405</v>
      </c>
      <c r="C176" s="56">
        <v>2.6</v>
      </c>
      <c r="D176" s="56">
        <v>2.6</v>
      </c>
      <c r="E176" s="56">
        <v>2.6</v>
      </c>
      <c r="F176" s="56">
        <v>2.7</v>
      </c>
      <c r="G176" s="56">
        <v>2.6</v>
      </c>
      <c r="H176" s="56">
        <v>2.6</v>
      </c>
      <c r="I176" s="56">
        <v>2.7</v>
      </c>
      <c r="J176" s="56">
        <v>2.7</v>
      </c>
      <c r="K176" s="56">
        <v>2.7</v>
      </c>
      <c r="L176" s="56">
        <v>2.7</v>
      </c>
      <c r="M176" s="56">
        <v>2.7</v>
      </c>
      <c r="N176" s="57"/>
      <c r="O176" s="57"/>
      <c r="P176" s="57"/>
      <c r="Q176" s="57"/>
      <c r="R176" s="57"/>
      <c r="S176" s="57"/>
      <c r="T176" s="57"/>
    </row>
    <row r="177" spans="1:37">
      <c r="A177" s="55" t="s">
        <v>412</v>
      </c>
      <c r="B177" s="55" t="s">
        <v>174</v>
      </c>
      <c r="C177" s="56">
        <v>13.9</v>
      </c>
      <c r="D177" s="56">
        <v>13.8</v>
      </c>
      <c r="E177" s="56">
        <v>13.7</v>
      </c>
      <c r="F177" s="56">
        <v>13.9</v>
      </c>
      <c r="G177" s="56">
        <v>14.3</v>
      </c>
      <c r="H177" s="56">
        <v>14.2</v>
      </c>
      <c r="I177" s="56">
        <v>14</v>
      </c>
      <c r="J177" s="56">
        <v>13.6</v>
      </c>
      <c r="K177" s="56">
        <v>13.4</v>
      </c>
      <c r="L177" s="56">
        <v>13.1</v>
      </c>
      <c r="M177" s="56">
        <v>12.7</v>
      </c>
      <c r="N177" s="57"/>
      <c r="O177" s="57"/>
      <c r="P177" s="57"/>
      <c r="Q177" s="57"/>
      <c r="R177" s="57"/>
      <c r="S177" s="57"/>
      <c r="T177" s="57"/>
    </row>
    <row r="178" spans="1:37">
      <c r="A178" s="55" t="s">
        <v>412</v>
      </c>
      <c r="B178" s="55" t="s">
        <v>219</v>
      </c>
      <c r="C178" s="56">
        <v>5.4</v>
      </c>
      <c r="D178" s="56">
        <v>5.3</v>
      </c>
      <c r="E178" s="56">
        <v>5.2</v>
      </c>
      <c r="F178" s="56">
        <v>5.2</v>
      </c>
      <c r="G178" s="56">
        <v>5.4</v>
      </c>
      <c r="H178" s="56">
        <v>5.3</v>
      </c>
      <c r="I178" s="56">
        <v>5</v>
      </c>
      <c r="J178" s="56">
        <v>4.8</v>
      </c>
      <c r="K178" s="56">
        <v>4.5</v>
      </c>
      <c r="L178" s="56">
        <v>4.4000000000000004</v>
      </c>
      <c r="M178" s="56">
        <v>4.2</v>
      </c>
      <c r="N178" s="57"/>
      <c r="O178" s="57"/>
      <c r="P178" s="57"/>
      <c r="Q178" s="57"/>
      <c r="R178" s="57"/>
      <c r="S178" s="57"/>
      <c r="T178" s="57"/>
    </row>
    <row r="179" spans="1:37">
      <c r="A179" s="55" t="s">
        <v>412</v>
      </c>
      <c r="B179" s="55" t="s">
        <v>406</v>
      </c>
      <c r="C179" s="56">
        <v>4.7</v>
      </c>
      <c r="D179" s="56">
        <v>4.5999999999999996</v>
      </c>
      <c r="E179" s="56">
        <v>4.5</v>
      </c>
      <c r="F179" s="56">
        <v>4.5</v>
      </c>
      <c r="G179" s="56">
        <v>4.5999999999999996</v>
      </c>
      <c r="H179" s="56">
        <v>4.4000000000000004</v>
      </c>
      <c r="I179" s="56">
        <v>4.3</v>
      </c>
      <c r="J179" s="56">
        <v>4</v>
      </c>
      <c r="K179" s="56">
        <v>3.8</v>
      </c>
      <c r="L179" s="56">
        <v>3.7</v>
      </c>
      <c r="M179" s="56">
        <v>3.5</v>
      </c>
      <c r="N179" s="57"/>
      <c r="O179" s="57"/>
      <c r="P179" s="57"/>
      <c r="Q179" s="57"/>
      <c r="R179" s="57"/>
      <c r="S179" s="57"/>
      <c r="T179" s="57"/>
    </row>
    <row r="180" spans="1:37">
      <c r="A180" s="55" t="s">
        <v>412</v>
      </c>
      <c r="B180" s="55" t="s">
        <v>407</v>
      </c>
      <c r="C180" s="56">
        <v>0.7</v>
      </c>
      <c r="D180" s="56">
        <v>0.7</v>
      </c>
      <c r="E180" s="56">
        <v>0.7</v>
      </c>
      <c r="F180" s="56">
        <v>0.7</v>
      </c>
      <c r="G180" s="56">
        <v>0.8</v>
      </c>
      <c r="H180" s="56">
        <v>0.8</v>
      </c>
      <c r="I180" s="56">
        <v>0.7</v>
      </c>
      <c r="J180" s="56">
        <v>0.7</v>
      </c>
      <c r="K180" s="56">
        <v>0.7</v>
      </c>
      <c r="L180" s="56">
        <v>0.7</v>
      </c>
      <c r="M180" s="56">
        <v>0.7</v>
      </c>
      <c r="N180" s="57"/>
      <c r="O180" s="57"/>
      <c r="P180" s="57"/>
      <c r="Q180" s="57"/>
      <c r="R180" s="57"/>
      <c r="S180" s="57"/>
      <c r="T180" s="57"/>
    </row>
    <row r="181" spans="1:37">
      <c r="A181" s="55" t="s">
        <v>412</v>
      </c>
      <c r="B181" s="55" t="s">
        <v>221</v>
      </c>
      <c r="C181" s="56">
        <v>8.5</v>
      </c>
      <c r="D181" s="56">
        <v>8.5</v>
      </c>
      <c r="E181" s="56">
        <v>8.5</v>
      </c>
      <c r="F181" s="56">
        <v>8.6999999999999993</v>
      </c>
      <c r="G181" s="56">
        <v>9</v>
      </c>
      <c r="H181" s="56">
        <v>8.9</v>
      </c>
      <c r="I181" s="56">
        <v>9</v>
      </c>
      <c r="J181" s="56">
        <v>8.9</v>
      </c>
      <c r="K181" s="56">
        <v>8.9</v>
      </c>
      <c r="L181" s="56">
        <v>8.6999999999999993</v>
      </c>
      <c r="M181" s="56">
        <v>8.6</v>
      </c>
      <c r="N181" s="57"/>
      <c r="O181" s="57"/>
      <c r="P181" s="57"/>
      <c r="Q181" s="57"/>
      <c r="R181" s="57"/>
      <c r="S181" s="57"/>
      <c r="T181" s="57"/>
    </row>
    <row r="182" spans="1:37">
      <c r="A182" s="55" t="s">
        <v>412</v>
      </c>
      <c r="B182" s="55" t="s">
        <v>406</v>
      </c>
      <c r="C182" s="56">
        <v>7.8</v>
      </c>
      <c r="D182" s="56">
        <v>7.8</v>
      </c>
      <c r="E182" s="56">
        <v>7.8</v>
      </c>
      <c r="F182" s="56">
        <v>8</v>
      </c>
      <c r="G182" s="56">
        <v>8.1999999999999993</v>
      </c>
      <c r="H182" s="56">
        <v>8.1999999999999993</v>
      </c>
      <c r="I182" s="56">
        <v>8.1999999999999993</v>
      </c>
      <c r="J182" s="56">
        <v>8.1</v>
      </c>
      <c r="K182" s="56">
        <v>8.1</v>
      </c>
      <c r="L182" s="56">
        <v>8</v>
      </c>
      <c r="M182" s="56">
        <v>7.8</v>
      </c>
      <c r="N182" s="57"/>
      <c r="O182" s="57"/>
      <c r="P182" s="57"/>
      <c r="Q182" s="57"/>
      <c r="R182" s="57"/>
      <c r="S182" s="57"/>
      <c r="T182" s="57"/>
    </row>
    <row r="183" spans="1:37">
      <c r="A183" s="55" t="s">
        <v>412</v>
      </c>
      <c r="B183" s="55" t="s">
        <v>407</v>
      </c>
      <c r="C183" s="56">
        <v>0.7</v>
      </c>
      <c r="D183" s="56">
        <v>0.7</v>
      </c>
      <c r="E183" s="56">
        <v>0.7</v>
      </c>
      <c r="F183" s="56">
        <v>0.7</v>
      </c>
      <c r="G183" s="56">
        <v>0.8</v>
      </c>
      <c r="H183" s="56">
        <v>0.7</v>
      </c>
      <c r="I183" s="56">
        <v>0.8</v>
      </c>
      <c r="J183" s="56">
        <v>0.8</v>
      </c>
      <c r="K183" s="56">
        <v>0.8</v>
      </c>
      <c r="L183" s="56">
        <v>0.8</v>
      </c>
      <c r="M183" s="56">
        <v>0.8</v>
      </c>
      <c r="N183" s="57"/>
      <c r="O183" s="57"/>
      <c r="P183" s="57"/>
      <c r="Q183" s="57"/>
      <c r="R183" s="57"/>
      <c r="S183" s="57"/>
      <c r="T183" s="57"/>
    </row>
    <row r="184" spans="1:37">
      <c r="A184" s="55" t="s">
        <v>412</v>
      </c>
      <c r="B184" s="55" t="s">
        <v>408</v>
      </c>
      <c r="C184" s="56">
        <v>25</v>
      </c>
      <c r="D184" s="56">
        <v>25.1</v>
      </c>
      <c r="E184" s="56">
        <v>24.8</v>
      </c>
      <c r="F184" s="56">
        <v>24.1</v>
      </c>
      <c r="G184" s="56">
        <v>22.9</v>
      </c>
      <c r="H184" s="56">
        <v>22.4</v>
      </c>
      <c r="I184" s="56">
        <v>22.1</v>
      </c>
      <c r="J184" s="56">
        <v>22.4</v>
      </c>
      <c r="K184" s="56">
        <v>22.2</v>
      </c>
      <c r="L184" s="56">
        <v>22.1</v>
      </c>
      <c r="M184" s="56">
        <v>21.9</v>
      </c>
      <c r="N184" s="57"/>
      <c r="O184" s="57"/>
      <c r="P184" s="57"/>
      <c r="Q184" s="57"/>
      <c r="R184" s="57"/>
      <c r="S184" s="57"/>
      <c r="T184" s="57"/>
    </row>
    <row r="185" spans="1:37">
      <c r="A185" s="55" t="s">
        <v>412</v>
      </c>
      <c r="B185" s="55" t="s">
        <v>409</v>
      </c>
      <c r="C185" s="56">
        <v>61.1</v>
      </c>
      <c r="D185" s="56">
        <v>61.1</v>
      </c>
      <c r="E185" s="56">
        <v>61.5</v>
      </c>
      <c r="F185" s="56">
        <v>62</v>
      </c>
      <c r="G185" s="56">
        <v>62.8</v>
      </c>
      <c r="H185" s="56">
        <v>63.4</v>
      </c>
      <c r="I185" s="56">
        <v>63.9</v>
      </c>
      <c r="J185" s="56">
        <v>64</v>
      </c>
      <c r="K185" s="56">
        <v>64.400000000000006</v>
      </c>
      <c r="L185" s="56">
        <v>64.8</v>
      </c>
      <c r="M185" s="56">
        <v>65.3</v>
      </c>
      <c r="N185" s="57"/>
      <c r="O185" s="57"/>
      <c r="P185" s="57"/>
      <c r="Q185" s="57"/>
      <c r="R185" s="57"/>
      <c r="S185" s="57"/>
      <c r="T185" s="57"/>
    </row>
    <row r="186" spans="1:37">
      <c r="A186" s="55" t="s">
        <v>412</v>
      </c>
      <c r="B186" s="55" t="s">
        <v>410</v>
      </c>
      <c r="C186" s="56">
        <v>3.4</v>
      </c>
      <c r="D186" s="56">
        <v>3.5</v>
      </c>
      <c r="E186" s="56">
        <v>3.4</v>
      </c>
      <c r="F186" s="56">
        <v>3.4</v>
      </c>
      <c r="G186" s="56">
        <v>3.4</v>
      </c>
      <c r="H186" s="56">
        <v>3.4</v>
      </c>
      <c r="I186" s="56">
        <v>3.4</v>
      </c>
      <c r="J186" s="56">
        <v>3.6</v>
      </c>
      <c r="K186" s="56">
        <v>3.7</v>
      </c>
      <c r="L186" s="56">
        <v>3.9</v>
      </c>
      <c r="M186" s="56">
        <v>4.0999999999999996</v>
      </c>
      <c r="N186" s="57"/>
      <c r="O186" s="57"/>
      <c r="P186" s="57"/>
      <c r="Q186" s="57"/>
      <c r="R186" s="57"/>
      <c r="S186" s="57"/>
      <c r="T186" s="57"/>
      <c r="U186" s="57"/>
    </row>
    <row r="187" spans="1:37">
      <c r="N187" s="57"/>
      <c r="O187" s="57"/>
      <c r="P187" s="57"/>
      <c r="Q187" s="57"/>
      <c r="R187" s="57"/>
      <c r="S187" s="57"/>
      <c r="T187" s="57"/>
      <c r="U187" s="57"/>
    </row>
    <row r="188" spans="1:37">
      <c r="A188" s="17" t="s">
        <v>413</v>
      </c>
      <c r="C188" s="57"/>
      <c r="D188" s="57"/>
      <c r="E188" s="57"/>
      <c r="F188" s="57"/>
      <c r="G188" s="57"/>
      <c r="H188" s="57"/>
      <c r="I188" s="57"/>
      <c r="J188" s="57"/>
      <c r="K188" s="57"/>
      <c r="L188" s="57"/>
      <c r="M188" s="57"/>
      <c r="N188" s="57"/>
      <c r="AA188" s="17"/>
      <c r="AB188" s="17"/>
      <c r="AC188" s="17"/>
      <c r="AD188" s="17"/>
      <c r="AE188" s="17"/>
      <c r="AF188" s="17"/>
      <c r="AG188" s="17"/>
      <c r="AH188" s="17"/>
      <c r="AI188" s="17"/>
      <c r="AJ188" s="17"/>
      <c r="AK188" s="17"/>
    </row>
    <row r="189" spans="1:37">
      <c r="A189" s="55" t="s">
        <v>414</v>
      </c>
      <c r="B189" s="55" t="s">
        <v>325</v>
      </c>
      <c r="C189" s="55">
        <v>7307037</v>
      </c>
      <c r="D189" s="55">
        <v>7607391</v>
      </c>
      <c r="E189" s="55">
        <v>7879198</v>
      </c>
      <c r="F189" s="55">
        <v>8027052</v>
      </c>
      <c r="G189" s="55">
        <v>8008303</v>
      </c>
      <c r="H189" s="55">
        <v>8280000</v>
      </c>
      <c r="I189" s="55">
        <v>8516176</v>
      </c>
      <c r="J189" s="55">
        <v>8863103</v>
      </c>
      <c r="K189" s="55">
        <v>9085963</v>
      </c>
      <c r="L189" s="55">
        <v>9425844</v>
      </c>
      <c r="M189" s="55">
        <v>9845924</v>
      </c>
      <c r="N189" s="57"/>
    </row>
    <row r="190" spans="1:37">
      <c r="A190" s="55" t="s">
        <v>414</v>
      </c>
      <c r="B190" s="55" t="s">
        <v>326</v>
      </c>
      <c r="C190" s="55">
        <v>6121813</v>
      </c>
      <c r="D190" s="55">
        <v>6412309</v>
      </c>
      <c r="E190" s="55">
        <v>6649054</v>
      </c>
      <c r="F190" s="55">
        <v>6761742</v>
      </c>
      <c r="G190" s="55">
        <v>6750374</v>
      </c>
      <c r="H190" s="55">
        <v>7012614</v>
      </c>
      <c r="I190" s="55">
        <v>7206756</v>
      </c>
      <c r="J190" s="55">
        <v>7546477</v>
      </c>
      <c r="K190" s="55">
        <v>7738301</v>
      </c>
      <c r="L190" s="55">
        <v>8073165</v>
      </c>
      <c r="M190" s="55">
        <v>8480874</v>
      </c>
      <c r="N190" s="57"/>
      <c r="O190" s="57"/>
    </row>
    <row r="191" spans="1:37">
      <c r="A191" s="55" t="s">
        <v>414</v>
      </c>
      <c r="B191" s="55" t="s">
        <v>327</v>
      </c>
      <c r="C191" s="55">
        <v>72130</v>
      </c>
      <c r="D191" s="55">
        <v>64408</v>
      </c>
      <c r="E191" s="55">
        <v>72120</v>
      </c>
      <c r="F191" s="55">
        <v>76355</v>
      </c>
      <c r="G191" s="55">
        <v>77221</v>
      </c>
      <c r="H191" s="55">
        <v>86383</v>
      </c>
      <c r="I191" s="55">
        <v>74968</v>
      </c>
      <c r="J191" s="55">
        <v>89540</v>
      </c>
      <c r="K191" s="55">
        <v>75695</v>
      </c>
      <c r="L191" s="55">
        <v>84250</v>
      </c>
      <c r="M191" s="55">
        <v>90993</v>
      </c>
      <c r="N191" s="57"/>
    </row>
    <row r="192" spans="1:37">
      <c r="A192" s="55" t="s">
        <v>414</v>
      </c>
      <c r="B192" s="55" t="s">
        <v>328</v>
      </c>
      <c r="C192" s="55">
        <v>51254</v>
      </c>
      <c r="D192" s="55">
        <v>45610</v>
      </c>
      <c r="E192" s="55">
        <v>52286</v>
      </c>
      <c r="F192" s="55">
        <v>56019</v>
      </c>
      <c r="G192" s="55">
        <v>56939</v>
      </c>
      <c r="H192" s="55">
        <v>66241</v>
      </c>
      <c r="I192" s="55">
        <v>57837</v>
      </c>
      <c r="J192" s="55">
        <v>70525</v>
      </c>
      <c r="K192" s="55">
        <v>56392</v>
      </c>
      <c r="L192" s="55">
        <v>65281</v>
      </c>
      <c r="M192" s="55">
        <v>72511</v>
      </c>
      <c r="N192" s="57"/>
    </row>
    <row r="193" spans="1:14">
      <c r="A193" s="55" t="s">
        <v>414</v>
      </c>
      <c r="B193" s="55" t="s">
        <v>329</v>
      </c>
      <c r="C193" s="55">
        <v>23689</v>
      </c>
      <c r="D193" s="55">
        <v>21414</v>
      </c>
      <c r="E193" s="55">
        <v>21926</v>
      </c>
      <c r="F193" s="55">
        <v>22091</v>
      </c>
      <c r="G193" s="55">
        <v>21890</v>
      </c>
      <c r="H193" s="55">
        <v>20839</v>
      </c>
      <c r="I193" s="55">
        <v>17659</v>
      </c>
      <c r="J193" s="55">
        <v>19511</v>
      </c>
      <c r="K193" s="55">
        <v>20010</v>
      </c>
      <c r="L193" s="55">
        <v>19244</v>
      </c>
      <c r="M193" s="55">
        <v>18409</v>
      </c>
      <c r="N193" s="57"/>
    </row>
    <row r="194" spans="1:14">
      <c r="A194" s="55" t="s">
        <v>414</v>
      </c>
      <c r="B194" s="55" t="s">
        <v>330</v>
      </c>
      <c r="C194" s="55">
        <v>235268</v>
      </c>
      <c r="D194" s="55">
        <v>263237</v>
      </c>
      <c r="E194" s="55">
        <v>254326</v>
      </c>
      <c r="F194" s="55">
        <v>251463</v>
      </c>
      <c r="G194" s="55">
        <v>255935</v>
      </c>
      <c r="H194" s="55">
        <v>248069</v>
      </c>
      <c r="I194" s="55">
        <v>252182</v>
      </c>
      <c r="J194" s="55">
        <v>273845</v>
      </c>
      <c r="K194" s="55">
        <v>275856</v>
      </c>
      <c r="L194" s="55">
        <v>257029</v>
      </c>
      <c r="M194" s="55">
        <v>265518</v>
      </c>
      <c r="N194" s="57"/>
    </row>
    <row r="195" spans="1:14">
      <c r="A195" s="55" t="s">
        <v>414</v>
      </c>
      <c r="B195" s="55" t="s">
        <v>331</v>
      </c>
      <c r="C195" s="55">
        <v>282313</v>
      </c>
      <c r="D195" s="55">
        <v>304218</v>
      </c>
      <c r="E195" s="55">
        <v>291062</v>
      </c>
      <c r="F195" s="55">
        <v>272396</v>
      </c>
      <c r="G195" s="55">
        <v>272791</v>
      </c>
      <c r="H195" s="55">
        <v>258731</v>
      </c>
      <c r="I195" s="55">
        <v>255781</v>
      </c>
      <c r="J195" s="55">
        <v>280822</v>
      </c>
      <c r="K195" s="55">
        <v>290958</v>
      </c>
      <c r="L195" s="55">
        <v>246091</v>
      </c>
      <c r="M195" s="55">
        <v>249245</v>
      </c>
      <c r="N195" s="57"/>
    </row>
    <row r="196" spans="1:14">
      <c r="A196" s="55" t="s">
        <v>414</v>
      </c>
      <c r="B196" s="55" t="s">
        <v>332</v>
      </c>
      <c r="C196" s="55">
        <v>18918</v>
      </c>
      <c r="D196" s="55">
        <v>23173</v>
      </c>
      <c r="E196" s="55">
        <v>23589</v>
      </c>
      <c r="F196" s="55">
        <v>25222</v>
      </c>
      <c r="G196" s="55">
        <v>26952</v>
      </c>
      <c r="H196" s="55">
        <v>27902</v>
      </c>
      <c r="I196" s="55">
        <v>28863</v>
      </c>
      <c r="J196" s="55">
        <v>32108</v>
      </c>
      <c r="K196" s="55">
        <v>31758</v>
      </c>
      <c r="L196" s="55">
        <v>34355</v>
      </c>
      <c r="M196" s="55">
        <v>36286</v>
      </c>
      <c r="N196" s="57"/>
    </row>
    <row r="197" spans="1:14">
      <c r="A197" s="55" t="s">
        <v>414</v>
      </c>
      <c r="B197" s="55" t="s">
        <v>333</v>
      </c>
      <c r="C197" s="55">
        <v>21870</v>
      </c>
      <c r="D197" s="55">
        <v>23969</v>
      </c>
      <c r="E197" s="55">
        <v>21115</v>
      </c>
      <c r="F197" s="55">
        <v>23510</v>
      </c>
      <c r="G197" s="55">
        <v>23117</v>
      </c>
      <c r="H197" s="55">
        <v>20909</v>
      </c>
      <c r="I197" s="55">
        <v>23406</v>
      </c>
      <c r="J197" s="55">
        <v>22652</v>
      </c>
      <c r="K197" s="55">
        <v>21033</v>
      </c>
      <c r="L197" s="55">
        <v>21034</v>
      </c>
      <c r="M197" s="55">
        <v>22696</v>
      </c>
      <c r="N197" s="57"/>
    </row>
    <row r="198" spans="1:14">
      <c r="A198" s="55" t="s">
        <v>414</v>
      </c>
      <c r="B198" s="55" t="s">
        <v>334</v>
      </c>
      <c r="C198" s="55">
        <v>170336</v>
      </c>
      <c r="D198" s="55">
        <v>168874</v>
      </c>
      <c r="E198" s="55">
        <v>186200</v>
      </c>
      <c r="F198" s="55">
        <v>196780</v>
      </c>
      <c r="G198" s="55">
        <v>199371</v>
      </c>
      <c r="H198" s="55">
        <v>201131</v>
      </c>
      <c r="I198" s="55">
        <v>198547</v>
      </c>
      <c r="J198" s="55">
        <v>204647</v>
      </c>
      <c r="K198" s="55">
        <v>211283</v>
      </c>
      <c r="L198" s="55">
        <v>209422</v>
      </c>
      <c r="M198" s="55">
        <v>199935</v>
      </c>
      <c r="N198" s="57"/>
    </row>
    <row r="199" spans="1:14">
      <c r="A199" s="55" t="s">
        <v>414</v>
      </c>
      <c r="B199" s="55" t="s">
        <v>335</v>
      </c>
      <c r="C199" s="55">
        <v>484800</v>
      </c>
      <c r="D199" s="55">
        <v>508248</v>
      </c>
      <c r="E199" s="55">
        <v>522642</v>
      </c>
      <c r="F199" s="55">
        <v>519292</v>
      </c>
      <c r="G199" s="55">
        <v>481542</v>
      </c>
      <c r="H199" s="55">
        <v>492488</v>
      </c>
      <c r="I199" s="55">
        <v>506245</v>
      </c>
      <c r="J199" s="55">
        <v>534691</v>
      </c>
      <c r="K199" s="55">
        <v>540393</v>
      </c>
      <c r="L199" s="55">
        <v>569537</v>
      </c>
      <c r="M199" s="55">
        <v>582939</v>
      </c>
      <c r="N199" s="57"/>
    </row>
    <row r="200" spans="1:14">
      <c r="A200" s="55" t="s">
        <v>414</v>
      </c>
      <c r="B200" s="55" t="s">
        <v>336</v>
      </c>
      <c r="C200" s="55">
        <v>860664</v>
      </c>
      <c r="D200" s="55">
        <v>920926</v>
      </c>
      <c r="E200" s="55">
        <v>931535</v>
      </c>
      <c r="F200" s="55">
        <v>919232</v>
      </c>
      <c r="G200" s="55">
        <v>905092</v>
      </c>
      <c r="H200" s="55">
        <v>935270</v>
      </c>
      <c r="I200" s="55">
        <v>972777</v>
      </c>
      <c r="J200" s="55">
        <v>1036978</v>
      </c>
      <c r="K200" s="55">
        <v>1079664</v>
      </c>
      <c r="L200" s="55">
        <v>1114173</v>
      </c>
      <c r="M200" s="55">
        <v>1181089</v>
      </c>
      <c r="N200" s="57"/>
    </row>
    <row r="201" spans="1:14">
      <c r="A201" s="55" t="s">
        <v>414</v>
      </c>
      <c r="B201" s="55" t="s">
        <v>337</v>
      </c>
      <c r="C201" s="55">
        <v>374488</v>
      </c>
      <c r="D201" s="55">
        <v>411668</v>
      </c>
      <c r="E201" s="55">
        <v>418167</v>
      </c>
      <c r="F201" s="55">
        <v>410403</v>
      </c>
      <c r="G201" s="55">
        <v>397377</v>
      </c>
      <c r="H201" s="55">
        <v>405669</v>
      </c>
      <c r="I201" s="55">
        <v>422726</v>
      </c>
      <c r="J201" s="55">
        <v>455232</v>
      </c>
      <c r="K201" s="55">
        <v>490383</v>
      </c>
      <c r="L201" s="55">
        <v>520430</v>
      </c>
      <c r="M201" s="55">
        <v>563827</v>
      </c>
      <c r="N201" s="57"/>
    </row>
    <row r="202" spans="1:14">
      <c r="A202" s="55" t="s">
        <v>414</v>
      </c>
      <c r="B202" s="55" t="s">
        <v>338</v>
      </c>
      <c r="C202" s="55">
        <v>38169</v>
      </c>
      <c r="D202" s="55">
        <v>38660</v>
      </c>
      <c r="E202" s="55">
        <v>38636</v>
      </c>
      <c r="F202" s="55">
        <v>38829</v>
      </c>
      <c r="G202" s="55">
        <v>35841</v>
      </c>
      <c r="H202" s="55">
        <v>32419</v>
      </c>
      <c r="I202" s="55">
        <v>28663</v>
      </c>
      <c r="J202" s="55">
        <v>29755</v>
      </c>
      <c r="K202" s="55">
        <v>32765</v>
      </c>
      <c r="L202" s="55">
        <v>32241</v>
      </c>
      <c r="M202" s="55">
        <v>31563</v>
      </c>
      <c r="N202" s="57"/>
    </row>
    <row r="203" spans="1:14">
      <c r="A203" s="55" t="s">
        <v>414</v>
      </c>
      <c r="B203" s="55" t="s">
        <v>339</v>
      </c>
      <c r="C203" s="55">
        <v>33007</v>
      </c>
      <c r="D203" s="55">
        <v>35804</v>
      </c>
      <c r="E203" s="55">
        <v>36846</v>
      </c>
      <c r="F203" s="55">
        <v>35949</v>
      </c>
      <c r="G203" s="55">
        <v>32173</v>
      </c>
      <c r="H203" s="55">
        <v>36477</v>
      </c>
      <c r="I203" s="55">
        <v>36359</v>
      </c>
      <c r="J203" s="55">
        <v>39521</v>
      </c>
      <c r="K203" s="55">
        <v>39903</v>
      </c>
      <c r="L203" s="55">
        <v>39378</v>
      </c>
      <c r="M203" s="55">
        <v>44986</v>
      </c>
      <c r="N203" s="57"/>
    </row>
    <row r="204" spans="1:14">
      <c r="A204" s="55" t="s">
        <v>414</v>
      </c>
      <c r="B204" s="55" t="s">
        <v>340</v>
      </c>
      <c r="C204" s="55">
        <v>46677</v>
      </c>
      <c r="D204" s="55">
        <v>48744</v>
      </c>
      <c r="E204" s="55">
        <v>50215</v>
      </c>
      <c r="F204" s="55">
        <v>48956</v>
      </c>
      <c r="G204" s="55">
        <v>49426</v>
      </c>
      <c r="H204" s="55">
        <v>51312</v>
      </c>
      <c r="I204" s="55">
        <v>54514</v>
      </c>
      <c r="J204" s="55">
        <v>55427</v>
      </c>
      <c r="K204" s="55">
        <v>53070</v>
      </c>
      <c r="L204" s="55">
        <v>55052</v>
      </c>
      <c r="M204" s="55">
        <v>56564</v>
      </c>
      <c r="N204" s="57"/>
    </row>
    <row r="205" spans="1:14">
      <c r="A205" s="55" t="s">
        <v>414</v>
      </c>
      <c r="B205" s="55" t="s">
        <v>341</v>
      </c>
      <c r="C205" s="55">
        <v>100583</v>
      </c>
      <c r="D205" s="55">
        <v>105688</v>
      </c>
      <c r="E205" s="55">
        <v>104280</v>
      </c>
      <c r="F205" s="55">
        <v>101487</v>
      </c>
      <c r="G205" s="55">
        <v>94447</v>
      </c>
      <c r="H205" s="55">
        <v>96705</v>
      </c>
      <c r="I205" s="55">
        <v>100475</v>
      </c>
      <c r="J205" s="55">
        <v>112862</v>
      </c>
      <c r="K205" s="55">
        <v>117426</v>
      </c>
      <c r="L205" s="55">
        <v>120147</v>
      </c>
      <c r="M205" s="55">
        <v>122975</v>
      </c>
      <c r="N205" s="57"/>
    </row>
    <row r="206" spans="1:14">
      <c r="A206" s="55" t="s">
        <v>414</v>
      </c>
      <c r="B206" s="55" t="s">
        <v>342</v>
      </c>
      <c r="C206" s="55">
        <v>96606</v>
      </c>
      <c r="D206" s="55">
        <v>111864</v>
      </c>
      <c r="E206" s="55">
        <v>116182</v>
      </c>
      <c r="F206" s="55">
        <v>112273</v>
      </c>
      <c r="G206" s="55">
        <v>98523</v>
      </c>
      <c r="H206" s="55">
        <v>97843</v>
      </c>
      <c r="I206" s="55">
        <v>97899</v>
      </c>
      <c r="J206" s="55">
        <v>101661</v>
      </c>
      <c r="K206" s="55">
        <v>107985</v>
      </c>
      <c r="L206" s="55">
        <v>103832</v>
      </c>
      <c r="M206" s="55">
        <v>106185</v>
      </c>
      <c r="N206" s="57"/>
    </row>
    <row r="207" spans="1:14">
      <c r="A207" s="55" t="s">
        <v>414</v>
      </c>
      <c r="B207" s="55" t="s">
        <v>343</v>
      </c>
      <c r="C207" s="55">
        <v>4997</v>
      </c>
      <c r="D207" s="55">
        <v>5906</v>
      </c>
      <c r="E207" s="55">
        <v>6375</v>
      </c>
      <c r="F207" s="55">
        <v>6913</v>
      </c>
      <c r="G207" s="55">
        <v>7272</v>
      </c>
      <c r="H207" s="55">
        <v>8030</v>
      </c>
      <c r="I207" s="55">
        <v>9100</v>
      </c>
      <c r="J207" s="55">
        <v>11191</v>
      </c>
      <c r="K207" s="55">
        <v>15820</v>
      </c>
      <c r="L207" s="55">
        <v>20529</v>
      </c>
      <c r="M207" s="55">
        <v>27011</v>
      </c>
      <c r="N207" s="57"/>
    </row>
    <row r="208" spans="1:14">
      <c r="A208" s="55" t="s">
        <v>414</v>
      </c>
      <c r="B208" s="55" t="s">
        <v>344</v>
      </c>
      <c r="C208" s="55">
        <v>42335</v>
      </c>
      <c r="D208" s="55">
        <v>43084</v>
      </c>
      <c r="E208" s="55">
        <v>43926</v>
      </c>
      <c r="F208" s="55">
        <v>42626</v>
      </c>
      <c r="G208" s="55">
        <v>40610</v>
      </c>
      <c r="H208" s="55">
        <v>40900</v>
      </c>
      <c r="I208" s="55">
        <v>43306</v>
      </c>
      <c r="J208" s="55">
        <v>46249</v>
      </c>
      <c r="K208" s="55">
        <v>44685</v>
      </c>
      <c r="L208" s="55">
        <v>43055</v>
      </c>
      <c r="M208" s="55">
        <v>44834</v>
      </c>
      <c r="N208" s="57"/>
    </row>
    <row r="209" spans="1:14">
      <c r="A209" s="55" t="s">
        <v>414</v>
      </c>
      <c r="B209" s="55" t="s">
        <v>345</v>
      </c>
      <c r="C209" s="55">
        <v>65571</v>
      </c>
      <c r="D209" s="55">
        <v>73012</v>
      </c>
      <c r="E209" s="55">
        <v>69974</v>
      </c>
      <c r="F209" s="55">
        <v>57786</v>
      </c>
      <c r="G209" s="55">
        <v>55131</v>
      </c>
      <c r="H209" s="55">
        <v>64672</v>
      </c>
      <c r="I209" s="55">
        <v>72023</v>
      </c>
      <c r="J209" s="55">
        <v>83582</v>
      </c>
      <c r="K209" s="55">
        <v>80807</v>
      </c>
      <c r="L209" s="55">
        <v>76771</v>
      </c>
      <c r="M209" s="55">
        <v>79198</v>
      </c>
      <c r="N209" s="57"/>
    </row>
    <row r="210" spans="1:14">
      <c r="A210" s="55" t="s">
        <v>414</v>
      </c>
      <c r="B210" s="55" t="s">
        <v>346</v>
      </c>
      <c r="C210" s="55">
        <v>109995</v>
      </c>
      <c r="D210" s="55">
        <v>112277</v>
      </c>
      <c r="E210" s="55">
        <v>110444</v>
      </c>
      <c r="F210" s="55">
        <v>109926</v>
      </c>
      <c r="G210" s="55">
        <v>115371</v>
      </c>
      <c r="H210" s="55">
        <v>90907</v>
      </c>
      <c r="I210" s="55">
        <v>85108</v>
      </c>
      <c r="J210" s="55">
        <v>68449</v>
      </c>
      <c r="K210" s="55">
        <v>63977</v>
      </c>
      <c r="L210" s="55">
        <v>72973</v>
      </c>
      <c r="M210" s="55">
        <v>72498</v>
      </c>
      <c r="N210" s="57"/>
    </row>
    <row r="211" spans="1:14">
      <c r="A211" s="55" t="s">
        <v>414</v>
      </c>
      <c r="B211" s="55" t="s">
        <v>347</v>
      </c>
      <c r="C211" s="55">
        <v>27391</v>
      </c>
      <c r="D211" s="55">
        <v>27336</v>
      </c>
      <c r="E211" s="55">
        <v>27627</v>
      </c>
      <c r="F211" s="55">
        <v>25662</v>
      </c>
      <c r="G211" s="55">
        <v>23830</v>
      </c>
      <c r="H211" s="55">
        <v>26029</v>
      </c>
      <c r="I211" s="55">
        <v>28041</v>
      </c>
      <c r="J211" s="55">
        <v>27884</v>
      </c>
      <c r="K211" s="55">
        <v>28061</v>
      </c>
      <c r="L211" s="55">
        <v>28807</v>
      </c>
      <c r="M211" s="55">
        <v>31474</v>
      </c>
      <c r="N211" s="57"/>
    </row>
    <row r="212" spans="1:14">
      <c r="A212" s="55" t="s">
        <v>414</v>
      </c>
      <c r="B212" s="55" t="s">
        <v>348</v>
      </c>
      <c r="C212" s="55">
        <v>30168</v>
      </c>
      <c r="D212" s="55">
        <v>40022</v>
      </c>
      <c r="E212" s="55">
        <v>40214</v>
      </c>
      <c r="F212" s="55">
        <v>43224</v>
      </c>
      <c r="G212" s="55">
        <v>42835</v>
      </c>
      <c r="H212" s="55">
        <v>43456</v>
      </c>
      <c r="I212" s="55">
        <v>43085</v>
      </c>
      <c r="J212" s="55">
        <v>43107</v>
      </c>
      <c r="K212" s="55">
        <v>44847</v>
      </c>
      <c r="L212" s="55">
        <v>49365</v>
      </c>
      <c r="M212" s="55">
        <v>49559</v>
      </c>
      <c r="N212" s="57"/>
    </row>
    <row r="213" spans="1:14">
      <c r="A213" s="55" t="s">
        <v>414</v>
      </c>
      <c r="B213" s="55" t="s">
        <v>349</v>
      </c>
      <c r="C213" s="55">
        <v>538639</v>
      </c>
      <c r="D213" s="55">
        <v>553655</v>
      </c>
      <c r="E213" s="55">
        <v>556564</v>
      </c>
      <c r="F213" s="55">
        <v>553447</v>
      </c>
      <c r="G213" s="55">
        <v>557303</v>
      </c>
      <c r="H213" s="55">
        <v>585089</v>
      </c>
      <c r="I213" s="55">
        <v>607070</v>
      </c>
      <c r="J213" s="55">
        <v>638351</v>
      </c>
      <c r="K213" s="55">
        <v>634378</v>
      </c>
      <c r="L213" s="55">
        <v>629900</v>
      </c>
      <c r="M213" s="55">
        <v>647466</v>
      </c>
      <c r="N213" s="57"/>
    </row>
    <row r="214" spans="1:14">
      <c r="A214" s="55" t="s">
        <v>414</v>
      </c>
      <c r="B214" s="55" t="s">
        <v>350</v>
      </c>
      <c r="C214" s="55">
        <v>151465</v>
      </c>
      <c r="D214" s="55">
        <v>155258</v>
      </c>
      <c r="E214" s="55">
        <v>152392</v>
      </c>
      <c r="F214" s="55">
        <v>153629</v>
      </c>
      <c r="G214" s="55">
        <v>154073</v>
      </c>
      <c r="H214" s="55">
        <v>159212</v>
      </c>
      <c r="I214" s="55">
        <v>159036</v>
      </c>
      <c r="J214" s="55">
        <v>168766</v>
      </c>
      <c r="K214" s="55">
        <v>192490</v>
      </c>
      <c r="L214" s="55">
        <v>175717</v>
      </c>
      <c r="M214" s="55">
        <v>169573</v>
      </c>
      <c r="N214" s="57"/>
    </row>
    <row r="215" spans="1:14">
      <c r="A215" s="55" t="s">
        <v>414</v>
      </c>
      <c r="B215" s="55" t="s">
        <v>351</v>
      </c>
      <c r="C215" s="55">
        <v>22029</v>
      </c>
      <c r="D215" s="55">
        <v>23633</v>
      </c>
      <c r="E215" s="55">
        <v>24471</v>
      </c>
      <c r="F215" s="55">
        <v>23846</v>
      </c>
      <c r="G215" s="55">
        <v>23900</v>
      </c>
      <c r="H215" s="55">
        <v>26355</v>
      </c>
      <c r="I215" s="55">
        <v>27200</v>
      </c>
      <c r="J215" s="55">
        <v>28343</v>
      </c>
      <c r="K215" s="55">
        <v>28112</v>
      </c>
      <c r="L215" s="55">
        <v>27113</v>
      </c>
      <c r="M215" s="55">
        <v>27410</v>
      </c>
      <c r="N215" s="57"/>
    </row>
    <row r="216" spans="1:14">
      <c r="A216" s="55" t="s">
        <v>414</v>
      </c>
      <c r="B216" s="55" t="s">
        <v>352</v>
      </c>
      <c r="C216" s="55">
        <v>24787</v>
      </c>
      <c r="D216" s="55">
        <v>25336</v>
      </c>
      <c r="E216" s="55">
        <v>25843</v>
      </c>
      <c r="F216" s="55">
        <v>25429</v>
      </c>
      <c r="G216" s="55">
        <v>25663</v>
      </c>
      <c r="H216" s="55">
        <v>26599</v>
      </c>
      <c r="I216" s="55">
        <v>26105</v>
      </c>
      <c r="J216" s="55">
        <v>26161</v>
      </c>
      <c r="K216" s="55">
        <v>25664</v>
      </c>
      <c r="L216" s="55">
        <v>24107</v>
      </c>
      <c r="M216" s="55">
        <v>22908</v>
      </c>
      <c r="N216" s="57"/>
    </row>
    <row r="217" spans="1:14">
      <c r="A217" s="55" t="s">
        <v>414</v>
      </c>
      <c r="B217" s="55" t="s">
        <v>353</v>
      </c>
      <c r="C217" s="55">
        <v>56905</v>
      </c>
      <c r="D217" s="55">
        <v>58469</v>
      </c>
      <c r="E217" s="55">
        <v>57189</v>
      </c>
      <c r="F217" s="55">
        <v>57204</v>
      </c>
      <c r="G217" s="55">
        <v>58908</v>
      </c>
      <c r="H217" s="55">
        <v>62317</v>
      </c>
      <c r="I217" s="55">
        <v>67676</v>
      </c>
      <c r="J217" s="55">
        <v>69988</v>
      </c>
      <c r="K217" s="55">
        <v>57807</v>
      </c>
      <c r="L217" s="55">
        <v>60091</v>
      </c>
      <c r="M217" s="55">
        <v>62461</v>
      </c>
      <c r="N217" s="57"/>
    </row>
    <row r="218" spans="1:14">
      <c r="A218" s="55" t="s">
        <v>414</v>
      </c>
      <c r="B218" s="55" t="s">
        <v>354</v>
      </c>
      <c r="C218" s="55">
        <v>37197</v>
      </c>
      <c r="D218" s="55">
        <v>40578</v>
      </c>
      <c r="E218" s="55">
        <v>41417</v>
      </c>
      <c r="F218" s="55">
        <v>41967</v>
      </c>
      <c r="G218" s="55">
        <v>40086</v>
      </c>
      <c r="H218" s="55">
        <v>41547</v>
      </c>
      <c r="I218" s="55">
        <v>39483</v>
      </c>
      <c r="J218" s="55">
        <v>40988</v>
      </c>
      <c r="K218" s="55">
        <v>41999</v>
      </c>
      <c r="L218" s="55">
        <v>39439</v>
      </c>
      <c r="M218" s="55">
        <v>38506</v>
      </c>
      <c r="N218" s="57"/>
    </row>
    <row r="219" spans="1:14">
      <c r="A219" s="55" t="s">
        <v>414</v>
      </c>
      <c r="B219" s="55" t="s">
        <v>355</v>
      </c>
      <c r="C219" s="55">
        <v>43335</v>
      </c>
      <c r="D219" s="55">
        <v>51911</v>
      </c>
      <c r="E219" s="55">
        <v>48351</v>
      </c>
      <c r="F219" s="55">
        <v>35274</v>
      </c>
      <c r="G219" s="55">
        <v>38493</v>
      </c>
      <c r="H219" s="55">
        <v>43757</v>
      </c>
      <c r="I219" s="55">
        <v>59054</v>
      </c>
      <c r="J219" s="55">
        <v>57013</v>
      </c>
      <c r="K219" s="55">
        <v>49220</v>
      </c>
      <c r="L219" s="55">
        <v>57513</v>
      </c>
      <c r="M219" s="55">
        <v>73069</v>
      </c>
      <c r="N219" s="57"/>
    </row>
    <row r="220" spans="1:14">
      <c r="A220" s="55" t="s">
        <v>414</v>
      </c>
      <c r="B220" s="55" t="s">
        <v>356</v>
      </c>
      <c r="C220" s="55">
        <v>145840</v>
      </c>
      <c r="D220" s="55">
        <v>140154</v>
      </c>
      <c r="E220" s="55">
        <v>141944</v>
      </c>
      <c r="F220" s="55">
        <v>152536</v>
      </c>
      <c r="G220" s="55">
        <v>149714</v>
      </c>
      <c r="H220" s="55">
        <v>154114</v>
      </c>
      <c r="I220" s="55">
        <v>154465</v>
      </c>
      <c r="J220" s="55">
        <v>167474</v>
      </c>
      <c r="K220" s="55">
        <v>162371</v>
      </c>
      <c r="L220" s="55">
        <v>166110</v>
      </c>
      <c r="M220" s="55">
        <v>172740</v>
      </c>
      <c r="N220" s="57"/>
    </row>
    <row r="221" spans="1:14">
      <c r="A221" s="55" t="s">
        <v>414</v>
      </c>
      <c r="B221" s="55" t="s">
        <v>357</v>
      </c>
      <c r="C221" s="55">
        <v>35591</v>
      </c>
      <c r="D221" s="55">
        <v>36739</v>
      </c>
      <c r="E221" s="55">
        <v>40722</v>
      </c>
      <c r="F221" s="55">
        <v>40033</v>
      </c>
      <c r="G221" s="55">
        <v>41750</v>
      </c>
      <c r="H221" s="55">
        <v>44747</v>
      </c>
      <c r="I221" s="55">
        <v>49115</v>
      </c>
      <c r="J221" s="55">
        <v>52610</v>
      </c>
      <c r="K221" s="55">
        <v>51796</v>
      </c>
      <c r="L221" s="55">
        <v>54912</v>
      </c>
      <c r="M221" s="55">
        <v>58795</v>
      </c>
      <c r="N221" s="57"/>
    </row>
    <row r="222" spans="1:14">
      <c r="A222" s="55" t="s">
        <v>414</v>
      </c>
      <c r="B222" s="55" t="s">
        <v>358</v>
      </c>
      <c r="C222" s="55">
        <v>284338</v>
      </c>
      <c r="D222" s="55">
        <v>299675</v>
      </c>
      <c r="E222" s="55">
        <v>314192</v>
      </c>
      <c r="F222" s="55">
        <v>309730</v>
      </c>
      <c r="G222" s="55">
        <v>322398</v>
      </c>
      <c r="H222" s="55">
        <v>351795</v>
      </c>
      <c r="I222" s="55">
        <v>362438</v>
      </c>
      <c r="J222" s="55">
        <v>385487</v>
      </c>
      <c r="K222" s="55">
        <v>383797</v>
      </c>
      <c r="L222" s="55">
        <v>419216</v>
      </c>
      <c r="M222" s="55">
        <v>464813</v>
      </c>
      <c r="N222" s="57"/>
    </row>
    <row r="223" spans="1:14">
      <c r="A223" s="55" t="s">
        <v>414</v>
      </c>
      <c r="B223" s="55" t="s">
        <v>359</v>
      </c>
      <c r="C223" s="55">
        <v>386117</v>
      </c>
      <c r="D223" s="55">
        <v>424863</v>
      </c>
      <c r="E223" s="55">
        <v>443683</v>
      </c>
      <c r="F223" s="55">
        <v>450819</v>
      </c>
      <c r="G223" s="55">
        <v>449445</v>
      </c>
      <c r="H223" s="55">
        <v>472947</v>
      </c>
      <c r="I223" s="55">
        <v>496047</v>
      </c>
      <c r="J223" s="55">
        <v>532046</v>
      </c>
      <c r="K223" s="55">
        <v>558772</v>
      </c>
      <c r="L223" s="55">
        <v>610425</v>
      </c>
      <c r="M223" s="55">
        <v>663225</v>
      </c>
      <c r="N223" s="57"/>
    </row>
    <row r="224" spans="1:14">
      <c r="A224" s="55" t="s">
        <v>414</v>
      </c>
      <c r="B224" s="55" t="s">
        <v>360</v>
      </c>
      <c r="C224" s="55">
        <v>181013</v>
      </c>
      <c r="D224" s="55">
        <v>186345</v>
      </c>
      <c r="E224" s="55">
        <v>193606</v>
      </c>
      <c r="F224" s="55">
        <v>203767</v>
      </c>
      <c r="G224" s="55">
        <v>213067</v>
      </c>
      <c r="H224" s="55">
        <v>226595</v>
      </c>
      <c r="I224" s="55">
        <v>236634</v>
      </c>
      <c r="J224" s="55">
        <v>255619</v>
      </c>
      <c r="K224" s="55">
        <v>263216</v>
      </c>
      <c r="L224" s="55">
        <v>277633</v>
      </c>
      <c r="M224" s="55">
        <v>291926</v>
      </c>
      <c r="N224" s="57"/>
    </row>
    <row r="225" spans="1:14">
      <c r="A225" s="55" t="s">
        <v>414</v>
      </c>
      <c r="B225" s="55" t="s">
        <v>361</v>
      </c>
      <c r="C225" s="55">
        <v>18967</v>
      </c>
      <c r="D225" s="55">
        <v>21100</v>
      </c>
      <c r="E225" s="55">
        <v>22608</v>
      </c>
      <c r="F225" s="55">
        <v>26036</v>
      </c>
      <c r="G225" s="55">
        <v>24780</v>
      </c>
      <c r="H225" s="55">
        <v>28157</v>
      </c>
      <c r="I225" s="55">
        <v>29335</v>
      </c>
      <c r="J225" s="55">
        <v>33985</v>
      </c>
      <c r="K225" s="55">
        <v>35927</v>
      </c>
      <c r="L225" s="55">
        <v>39839</v>
      </c>
      <c r="M225" s="55">
        <v>43007</v>
      </c>
      <c r="N225" s="57"/>
    </row>
    <row r="226" spans="1:14">
      <c r="A226" s="55" t="s">
        <v>414</v>
      </c>
      <c r="B226" s="55" t="s">
        <v>362</v>
      </c>
      <c r="C226" s="55">
        <v>20618</v>
      </c>
      <c r="D226" s="55">
        <v>21174</v>
      </c>
      <c r="E226" s="55">
        <v>19758</v>
      </c>
      <c r="F226" s="55">
        <v>20760</v>
      </c>
      <c r="G226" s="55">
        <v>23537</v>
      </c>
      <c r="H226" s="55">
        <v>23968</v>
      </c>
      <c r="I226" s="55">
        <v>23967</v>
      </c>
      <c r="J226" s="55">
        <v>24925</v>
      </c>
      <c r="K226" s="55">
        <v>25331</v>
      </c>
      <c r="L226" s="55">
        <v>25601</v>
      </c>
      <c r="M226" s="55">
        <v>24114</v>
      </c>
      <c r="N226" s="57"/>
    </row>
    <row r="227" spans="1:14">
      <c r="A227" s="55" t="s">
        <v>414</v>
      </c>
      <c r="B227" s="55" t="s">
        <v>363</v>
      </c>
      <c r="C227" s="55">
        <v>4401</v>
      </c>
      <c r="D227" s="55">
        <v>4613</v>
      </c>
      <c r="E227" s="55">
        <v>5133</v>
      </c>
      <c r="F227" s="55">
        <v>6219</v>
      </c>
      <c r="G227" s="55">
        <v>6754</v>
      </c>
      <c r="H227" s="55">
        <v>7385</v>
      </c>
      <c r="I227" s="55">
        <v>7757</v>
      </c>
      <c r="J227" s="55">
        <v>8436</v>
      </c>
      <c r="K227" s="55">
        <v>8199</v>
      </c>
      <c r="L227" s="55">
        <v>8860</v>
      </c>
      <c r="M227" s="55">
        <v>9584</v>
      </c>
      <c r="N227" s="57"/>
    </row>
    <row r="228" spans="1:14">
      <c r="A228" s="55" t="s">
        <v>414</v>
      </c>
      <c r="B228" s="55" t="s">
        <v>364</v>
      </c>
      <c r="C228" s="55">
        <v>56492</v>
      </c>
      <c r="D228" s="55">
        <v>57065</v>
      </c>
      <c r="E228" s="55">
        <v>59636</v>
      </c>
      <c r="F228" s="55">
        <v>59709</v>
      </c>
      <c r="G228" s="55">
        <v>64138</v>
      </c>
      <c r="H228" s="55">
        <v>69207</v>
      </c>
      <c r="I228" s="55">
        <v>73693</v>
      </c>
      <c r="J228" s="55">
        <v>81471</v>
      </c>
      <c r="K228" s="55">
        <v>84335</v>
      </c>
      <c r="L228" s="55">
        <v>89806</v>
      </c>
      <c r="M228" s="55">
        <v>95034</v>
      </c>
      <c r="N228" s="57"/>
    </row>
    <row r="229" spans="1:14">
      <c r="A229" s="55" t="s">
        <v>414</v>
      </c>
      <c r="B229" s="55" t="s">
        <v>365</v>
      </c>
      <c r="C229" s="55">
        <v>13075</v>
      </c>
      <c r="D229" s="55">
        <v>12482</v>
      </c>
      <c r="E229" s="55">
        <v>13667</v>
      </c>
      <c r="F229" s="55">
        <v>14640</v>
      </c>
      <c r="G229" s="55">
        <v>13722</v>
      </c>
      <c r="H229" s="55">
        <v>13373</v>
      </c>
      <c r="I229" s="55">
        <v>14316</v>
      </c>
      <c r="J229" s="55">
        <v>15315</v>
      </c>
      <c r="K229" s="55">
        <v>15715</v>
      </c>
      <c r="L229" s="55">
        <v>15955</v>
      </c>
      <c r="M229" s="55">
        <v>18318</v>
      </c>
      <c r="N229" s="57"/>
    </row>
    <row r="230" spans="1:14">
      <c r="A230" s="55" t="s">
        <v>414</v>
      </c>
      <c r="B230" s="55" t="s">
        <v>366</v>
      </c>
      <c r="C230" s="55">
        <v>6095</v>
      </c>
      <c r="D230" s="55">
        <v>5350</v>
      </c>
      <c r="E230" s="55">
        <v>6250</v>
      </c>
      <c r="F230" s="55">
        <v>7243</v>
      </c>
      <c r="G230" s="55">
        <v>7041</v>
      </c>
      <c r="H230" s="55">
        <v>7015</v>
      </c>
      <c r="I230" s="55">
        <v>6512</v>
      </c>
      <c r="J230" s="55">
        <v>5944</v>
      </c>
      <c r="K230" s="55">
        <v>6861</v>
      </c>
      <c r="L230" s="55">
        <v>6926</v>
      </c>
      <c r="M230" s="55">
        <v>6409</v>
      </c>
      <c r="N230" s="57"/>
    </row>
    <row r="231" spans="1:14">
      <c r="A231" s="55" t="s">
        <v>414</v>
      </c>
      <c r="B231" s="55" t="s">
        <v>367</v>
      </c>
      <c r="C231" s="55">
        <v>51301</v>
      </c>
      <c r="D231" s="55">
        <v>52536</v>
      </c>
      <c r="E231" s="55">
        <v>54256</v>
      </c>
      <c r="F231" s="55">
        <v>55540</v>
      </c>
      <c r="G231" s="55">
        <v>59669</v>
      </c>
      <c r="H231" s="55">
        <v>61428</v>
      </c>
      <c r="I231" s="55">
        <v>64257</v>
      </c>
      <c r="J231" s="55">
        <v>65982</v>
      </c>
      <c r="K231" s="55">
        <v>65041</v>
      </c>
      <c r="L231" s="55">
        <v>66956</v>
      </c>
      <c r="M231" s="55">
        <v>68912</v>
      </c>
      <c r="N231" s="57"/>
    </row>
    <row r="232" spans="1:14">
      <c r="A232" s="55" t="s">
        <v>414</v>
      </c>
      <c r="B232" s="55" t="s">
        <v>368</v>
      </c>
      <c r="C232" s="55">
        <v>14203</v>
      </c>
      <c r="D232" s="55">
        <v>15179</v>
      </c>
      <c r="E232" s="55">
        <v>15429</v>
      </c>
      <c r="F232" s="55">
        <v>15499</v>
      </c>
      <c r="G232" s="55">
        <v>16440</v>
      </c>
      <c r="H232" s="55">
        <v>18013</v>
      </c>
      <c r="I232" s="55">
        <v>19120</v>
      </c>
      <c r="J232" s="55">
        <v>20797</v>
      </c>
      <c r="K232" s="55">
        <v>22144</v>
      </c>
      <c r="L232" s="55">
        <v>23100</v>
      </c>
      <c r="M232" s="55">
        <v>25638</v>
      </c>
      <c r="N232" s="57"/>
    </row>
    <row r="233" spans="1:14">
      <c r="A233" s="55" t="s">
        <v>414</v>
      </c>
      <c r="B233" s="55" t="s">
        <v>369</v>
      </c>
      <c r="C233" s="55">
        <v>219078</v>
      </c>
      <c r="D233" s="55">
        <v>226250</v>
      </c>
      <c r="E233" s="55">
        <v>242137</v>
      </c>
      <c r="F233" s="55">
        <v>250119</v>
      </c>
      <c r="G233" s="55">
        <v>252512</v>
      </c>
      <c r="H233" s="55">
        <v>266422</v>
      </c>
      <c r="I233" s="55">
        <v>280544</v>
      </c>
      <c r="J233" s="55">
        <v>294901</v>
      </c>
      <c r="K233" s="55">
        <v>305158</v>
      </c>
      <c r="L233" s="55">
        <v>324435</v>
      </c>
      <c r="M233" s="55">
        <v>330775</v>
      </c>
      <c r="N233" s="57"/>
    </row>
    <row r="234" spans="1:14">
      <c r="A234" s="55" t="s">
        <v>414</v>
      </c>
      <c r="B234" s="55" t="s">
        <v>370</v>
      </c>
      <c r="C234" s="55">
        <v>51827</v>
      </c>
      <c r="D234" s="55">
        <v>53511</v>
      </c>
      <c r="E234" s="55">
        <v>58232</v>
      </c>
      <c r="F234" s="55">
        <v>58240</v>
      </c>
      <c r="G234" s="55">
        <v>56621</v>
      </c>
      <c r="H234" s="55">
        <v>61491</v>
      </c>
      <c r="I234" s="55">
        <v>63206</v>
      </c>
      <c r="J234" s="55">
        <v>70153</v>
      </c>
      <c r="K234" s="55">
        <v>72184</v>
      </c>
      <c r="L234" s="55">
        <v>80763</v>
      </c>
      <c r="M234" s="55">
        <v>91179</v>
      </c>
      <c r="N234" s="57"/>
    </row>
    <row r="235" spans="1:14">
      <c r="A235" s="55" t="s">
        <v>414</v>
      </c>
      <c r="B235" s="55" t="s">
        <v>371</v>
      </c>
      <c r="C235" s="55">
        <v>34698</v>
      </c>
      <c r="D235" s="55">
        <v>33019</v>
      </c>
      <c r="E235" s="55">
        <v>38087</v>
      </c>
      <c r="F235" s="55">
        <v>34764</v>
      </c>
      <c r="G235" s="55">
        <v>32606</v>
      </c>
      <c r="H235" s="55">
        <v>32478</v>
      </c>
      <c r="I235" s="55">
        <v>36499</v>
      </c>
      <c r="J235" s="55">
        <v>35615</v>
      </c>
      <c r="K235" s="55">
        <v>39145</v>
      </c>
      <c r="L235" s="55">
        <v>40935</v>
      </c>
      <c r="M235" s="55">
        <v>41794</v>
      </c>
      <c r="N235" s="57"/>
    </row>
    <row r="236" spans="1:14">
      <c r="A236" s="55" t="s">
        <v>414</v>
      </c>
      <c r="B236" s="55" t="s">
        <v>372</v>
      </c>
      <c r="C236" s="55">
        <v>109593</v>
      </c>
      <c r="D236" s="55">
        <v>114220</v>
      </c>
      <c r="E236" s="55">
        <v>120570</v>
      </c>
      <c r="F236" s="55">
        <v>128160</v>
      </c>
      <c r="G236" s="55">
        <v>132765</v>
      </c>
      <c r="H236" s="55">
        <v>141095</v>
      </c>
      <c r="I236" s="55">
        <v>149076</v>
      </c>
      <c r="J236" s="55">
        <v>155312</v>
      </c>
      <c r="K236" s="55">
        <v>160603</v>
      </c>
      <c r="L236" s="55">
        <v>170526</v>
      </c>
      <c r="M236" s="55">
        <v>168861</v>
      </c>
      <c r="N236" s="57"/>
    </row>
    <row r="237" spans="1:14">
      <c r="A237" s="55" t="s">
        <v>414</v>
      </c>
      <c r="B237" s="55" t="s">
        <v>373</v>
      </c>
      <c r="C237" s="55">
        <v>33569</v>
      </c>
      <c r="D237" s="55">
        <v>35087</v>
      </c>
      <c r="E237" s="55">
        <v>36511</v>
      </c>
      <c r="F237" s="55">
        <v>37340</v>
      </c>
      <c r="G237" s="55">
        <v>36093</v>
      </c>
      <c r="H237" s="55">
        <v>34185</v>
      </c>
      <c r="I237" s="55">
        <v>34498</v>
      </c>
      <c r="J237" s="55">
        <v>36343</v>
      </c>
      <c r="K237" s="55">
        <v>35430</v>
      </c>
      <c r="L237" s="55">
        <v>33000</v>
      </c>
      <c r="M237" s="55">
        <v>31000</v>
      </c>
      <c r="N237" s="57"/>
    </row>
    <row r="238" spans="1:14">
      <c r="A238" s="55" t="s">
        <v>414</v>
      </c>
      <c r="B238" s="58" t="s">
        <v>374</v>
      </c>
      <c r="C238" s="55">
        <v>1469873</v>
      </c>
      <c r="D238" s="55">
        <v>1523071</v>
      </c>
      <c r="E238" s="55">
        <v>1561559</v>
      </c>
      <c r="F238" s="55">
        <v>1598175</v>
      </c>
      <c r="G238" s="55">
        <v>1622630</v>
      </c>
      <c r="H238" s="55">
        <v>1673306</v>
      </c>
      <c r="I238" s="55">
        <v>1722164</v>
      </c>
      <c r="J238" s="55">
        <v>1763302</v>
      </c>
      <c r="K238" s="55">
        <v>1809145</v>
      </c>
      <c r="L238" s="55">
        <v>1851661</v>
      </c>
      <c r="M238" s="55">
        <v>1933991</v>
      </c>
      <c r="N238" s="57"/>
    </row>
    <row r="239" spans="1:14">
      <c r="A239" s="55" t="s">
        <v>414</v>
      </c>
      <c r="B239" s="55" t="s">
        <v>375</v>
      </c>
      <c r="C239" s="55">
        <v>519452</v>
      </c>
      <c r="D239" s="55">
        <v>533785</v>
      </c>
      <c r="E239" s="55">
        <v>541950</v>
      </c>
      <c r="F239" s="55">
        <v>558628</v>
      </c>
      <c r="G239" s="55">
        <v>575673</v>
      </c>
      <c r="H239" s="55">
        <v>575316</v>
      </c>
      <c r="I239" s="55">
        <v>596011</v>
      </c>
      <c r="J239" s="55">
        <v>599752</v>
      </c>
      <c r="K239" s="55">
        <v>609335</v>
      </c>
      <c r="L239" s="55">
        <v>623026</v>
      </c>
      <c r="M239" s="55">
        <v>656208</v>
      </c>
      <c r="N239" s="57"/>
    </row>
    <row r="240" spans="1:14">
      <c r="A240" s="55" t="s">
        <v>414</v>
      </c>
      <c r="B240" s="55" t="s">
        <v>376</v>
      </c>
      <c r="C240" s="55">
        <v>326201</v>
      </c>
      <c r="D240" s="55">
        <v>314874</v>
      </c>
      <c r="E240" s="55">
        <v>325101</v>
      </c>
      <c r="F240" s="55">
        <v>340105</v>
      </c>
      <c r="G240" s="55">
        <v>341008</v>
      </c>
      <c r="H240" s="55">
        <v>332348</v>
      </c>
      <c r="I240" s="55">
        <v>343983</v>
      </c>
      <c r="J240" s="55">
        <v>336933</v>
      </c>
      <c r="K240" s="55">
        <v>322776</v>
      </c>
      <c r="L240" s="55">
        <v>315361</v>
      </c>
      <c r="M240" s="55">
        <v>309639</v>
      </c>
      <c r="N240" s="57"/>
    </row>
    <row r="241" spans="1:14">
      <c r="A241" s="55" t="s">
        <v>414</v>
      </c>
      <c r="B241" s="55" t="s">
        <v>377</v>
      </c>
      <c r="C241" s="55">
        <v>22617</v>
      </c>
      <c r="D241" s="55">
        <v>24339</v>
      </c>
      <c r="E241" s="55">
        <v>25086</v>
      </c>
      <c r="F241" s="55">
        <v>23635</v>
      </c>
      <c r="G241" s="55">
        <v>25642</v>
      </c>
      <c r="H241" s="55">
        <v>25580</v>
      </c>
      <c r="I241" s="55">
        <v>33412</v>
      </c>
      <c r="J241" s="55">
        <v>34783</v>
      </c>
      <c r="K241" s="55">
        <v>42082</v>
      </c>
      <c r="L241" s="55">
        <v>55272</v>
      </c>
      <c r="M241" s="55">
        <v>72246</v>
      </c>
      <c r="N241" s="57"/>
    </row>
    <row r="242" spans="1:14">
      <c r="A242" s="55" t="s">
        <v>414</v>
      </c>
      <c r="B242" s="55" t="s">
        <v>378</v>
      </c>
      <c r="C242" s="55">
        <v>227275</v>
      </c>
      <c r="D242" s="55">
        <v>256499</v>
      </c>
      <c r="E242" s="55">
        <v>253336</v>
      </c>
      <c r="F242" s="55">
        <v>263394</v>
      </c>
      <c r="G242" s="55">
        <v>277169</v>
      </c>
      <c r="H242" s="55">
        <v>285679</v>
      </c>
      <c r="I242" s="55">
        <v>270410</v>
      </c>
      <c r="J242" s="55">
        <v>278530</v>
      </c>
      <c r="K242" s="55">
        <v>283831</v>
      </c>
      <c r="L242" s="55">
        <v>274053</v>
      </c>
      <c r="M242" s="55">
        <v>280662</v>
      </c>
      <c r="N242" s="57"/>
    </row>
    <row r="243" spans="1:14">
      <c r="A243" s="55" t="s">
        <v>414</v>
      </c>
      <c r="B243" s="55" t="s">
        <v>379</v>
      </c>
      <c r="C243" s="55">
        <v>12125</v>
      </c>
      <c r="D243" s="55">
        <v>11027</v>
      </c>
      <c r="E243" s="55">
        <v>10530</v>
      </c>
      <c r="F243" s="55">
        <v>11701</v>
      </c>
      <c r="G243" s="55">
        <v>11904</v>
      </c>
      <c r="H243" s="55">
        <v>12713</v>
      </c>
      <c r="I243" s="55">
        <v>14178</v>
      </c>
      <c r="J243" s="55">
        <v>14016</v>
      </c>
      <c r="K243" s="55">
        <v>14865</v>
      </c>
      <c r="L243" s="55">
        <v>14861</v>
      </c>
      <c r="M243" s="55">
        <v>14595</v>
      </c>
      <c r="N243" s="57"/>
    </row>
    <row r="244" spans="1:14">
      <c r="A244" s="55" t="s">
        <v>414</v>
      </c>
      <c r="B244" s="55" t="s">
        <v>380</v>
      </c>
      <c r="C244" s="55">
        <v>955178</v>
      </c>
      <c r="D244" s="55">
        <v>993840</v>
      </c>
      <c r="E244" s="55">
        <v>1023832</v>
      </c>
      <c r="F244" s="55">
        <v>1044174</v>
      </c>
      <c r="G244" s="55">
        <v>1052181</v>
      </c>
      <c r="H244" s="55">
        <v>1103163</v>
      </c>
      <c r="I244" s="55">
        <v>1131402</v>
      </c>
      <c r="J244" s="55">
        <v>1169196</v>
      </c>
      <c r="K244" s="55">
        <v>1205884</v>
      </c>
      <c r="L244" s="55">
        <v>1234897</v>
      </c>
      <c r="M244" s="55">
        <v>1283778</v>
      </c>
      <c r="N244" s="57"/>
    </row>
    <row r="245" spans="1:14">
      <c r="A245" s="55" t="s">
        <v>414</v>
      </c>
      <c r="B245" s="55" t="s">
        <v>381</v>
      </c>
      <c r="C245" s="55">
        <v>887445</v>
      </c>
      <c r="D245" s="55">
        <v>915862</v>
      </c>
      <c r="E245" s="55">
        <v>942554</v>
      </c>
      <c r="F245" s="55">
        <v>957005</v>
      </c>
      <c r="G245" s="55">
        <v>969630</v>
      </c>
      <c r="H245" s="55">
        <v>1015209</v>
      </c>
      <c r="I245" s="55">
        <v>1038791</v>
      </c>
      <c r="J245" s="55">
        <v>1070047</v>
      </c>
      <c r="K245" s="55">
        <v>1102102</v>
      </c>
      <c r="L245" s="55">
        <v>1118807</v>
      </c>
      <c r="M245" s="55">
        <v>1159607</v>
      </c>
      <c r="N245" s="57"/>
    </row>
    <row r="246" spans="1:14">
      <c r="A246" s="55" t="s">
        <v>414</v>
      </c>
      <c r="B246" s="55" t="s">
        <v>382</v>
      </c>
      <c r="C246" s="55">
        <v>71978</v>
      </c>
      <c r="D246" s="55">
        <v>80961</v>
      </c>
      <c r="E246" s="55">
        <v>84180</v>
      </c>
      <c r="F246" s="55">
        <v>89385</v>
      </c>
      <c r="G246" s="55">
        <v>85642</v>
      </c>
      <c r="H246" s="55">
        <v>90983</v>
      </c>
      <c r="I246" s="55">
        <v>95394</v>
      </c>
      <c r="J246" s="55">
        <v>101560</v>
      </c>
      <c r="K246" s="55">
        <v>106081</v>
      </c>
      <c r="L246" s="55">
        <v>117489</v>
      </c>
      <c r="M246" s="55">
        <v>125375</v>
      </c>
      <c r="N246" s="57"/>
    </row>
    <row r="247" spans="1:14">
      <c r="A247" s="55" t="s">
        <v>414</v>
      </c>
      <c r="B247" s="55" t="s">
        <v>383</v>
      </c>
      <c r="C247" s="55">
        <v>752543</v>
      </c>
      <c r="D247" s="55">
        <v>790508</v>
      </c>
      <c r="E247" s="55">
        <v>841570</v>
      </c>
      <c r="F247" s="55">
        <v>878162</v>
      </c>
      <c r="G247" s="55">
        <v>847571</v>
      </c>
      <c r="H247" s="55">
        <v>872993</v>
      </c>
      <c r="I247" s="55">
        <v>894823</v>
      </c>
      <c r="J247" s="55">
        <v>926012</v>
      </c>
      <c r="K247" s="55">
        <v>958691</v>
      </c>
      <c r="L247" s="55">
        <v>1024734</v>
      </c>
      <c r="M247" s="55">
        <v>1095874</v>
      </c>
      <c r="N247" s="57"/>
    </row>
    <row r="248" spans="1:14">
      <c r="A248" s="55" t="s">
        <v>414</v>
      </c>
      <c r="B248" s="55" t="s">
        <v>384</v>
      </c>
      <c r="C248" s="55">
        <v>430460</v>
      </c>
      <c r="D248" s="55">
        <v>470312</v>
      </c>
      <c r="E248" s="55">
        <v>502557</v>
      </c>
      <c r="F248" s="55">
        <v>526935</v>
      </c>
      <c r="G248" s="55">
        <v>510129</v>
      </c>
      <c r="H248" s="55">
        <v>527605</v>
      </c>
      <c r="I248" s="55">
        <v>537056</v>
      </c>
      <c r="J248" s="55">
        <v>551364</v>
      </c>
      <c r="K248" s="55">
        <v>562679</v>
      </c>
      <c r="L248" s="55">
        <v>598971</v>
      </c>
      <c r="M248" s="55">
        <v>636229</v>
      </c>
      <c r="N248" s="57"/>
    </row>
    <row r="249" spans="1:14">
      <c r="A249" s="55" t="s">
        <v>414</v>
      </c>
      <c r="B249" s="55" t="s">
        <v>385</v>
      </c>
      <c r="C249" s="55">
        <v>139466</v>
      </c>
      <c r="D249" s="55">
        <v>157481</v>
      </c>
      <c r="E249" s="55">
        <v>160816</v>
      </c>
      <c r="F249" s="55">
        <v>162639</v>
      </c>
      <c r="G249" s="55">
        <v>157403</v>
      </c>
      <c r="H249" s="55">
        <v>161913</v>
      </c>
      <c r="I249" s="55">
        <v>157233</v>
      </c>
      <c r="J249" s="55">
        <v>153382</v>
      </c>
      <c r="K249" s="55">
        <v>151035</v>
      </c>
      <c r="L249" s="55">
        <v>154605</v>
      </c>
      <c r="M249" s="55">
        <v>154590</v>
      </c>
      <c r="N249" s="57"/>
    </row>
    <row r="250" spans="1:14">
      <c r="A250" s="55" t="s">
        <v>414</v>
      </c>
      <c r="B250" s="55" t="s">
        <v>386</v>
      </c>
      <c r="C250" s="55">
        <v>27708</v>
      </c>
      <c r="D250" s="55">
        <v>29753</v>
      </c>
      <c r="E250" s="55">
        <v>33188</v>
      </c>
      <c r="F250" s="55">
        <v>35705</v>
      </c>
      <c r="G250" s="55">
        <v>36646</v>
      </c>
      <c r="H250" s="55">
        <v>40079</v>
      </c>
      <c r="I250" s="55">
        <v>43718</v>
      </c>
      <c r="J250" s="55">
        <v>48393</v>
      </c>
      <c r="K250" s="55">
        <v>51184</v>
      </c>
      <c r="L250" s="55">
        <v>58289</v>
      </c>
      <c r="M250" s="55">
        <v>69617</v>
      </c>
      <c r="N250" s="57"/>
    </row>
    <row r="251" spans="1:14">
      <c r="A251" s="55" t="s">
        <v>414</v>
      </c>
      <c r="B251" s="55" t="s">
        <v>387</v>
      </c>
      <c r="C251" s="55">
        <v>278762</v>
      </c>
      <c r="D251" s="55">
        <v>301053</v>
      </c>
      <c r="E251" s="55">
        <v>325921</v>
      </c>
      <c r="F251" s="55">
        <v>345592</v>
      </c>
      <c r="G251" s="55">
        <v>331628</v>
      </c>
      <c r="H251" s="55">
        <v>340712</v>
      </c>
      <c r="I251" s="55">
        <v>349670</v>
      </c>
      <c r="J251" s="55">
        <v>361573</v>
      </c>
      <c r="K251" s="55">
        <v>371561</v>
      </c>
      <c r="L251" s="55">
        <v>395892</v>
      </c>
      <c r="M251" s="55">
        <v>418545</v>
      </c>
      <c r="N251" s="57"/>
    </row>
    <row r="252" spans="1:14">
      <c r="A252" s="55" t="s">
        <v>414</v>
      </c>
      <c r="B252" s="55" t="s">
        <v>388</v>
      </c>
      <c r="C252" s="55">
        <v>181142</v>
      </c>
      <c r="D252" s="55">
        <v>166518</v>
      </c>
      <c r="E252" s="55">
        <v>171140</v>
      </c>
      <c r="F252" s="55">
        <v>172049</v>
      </c>
      <c r="G252" s="55">
        <v>164247</v>
      </c>
      <c r="H252" s="55">
        <v>161241</v>
      </c>
      <c r="I252" s="55">
        <v>166636</v>
      </c>
      <c r="J252" s="55">
        <v>167624</v>
      </c>
      <c r="K252" s="55">
        <v>172084</v>
      </c>
      <c r="L252" s="55">
        <v>183477</v>
      </c>
      <c r="M252" s="55">
        <v>199682</v>
      </c>
      <c r="N252" s="57"/>
    </row>
    <row r="253" spans="1:14">
      <c r="A253" s="55" t="s">
        <v>414</v>
      </c>
      <c r="B253" s="55" t="s">
        <v>389</v>
      </c>
      <c r="C253" s="55">
        <v>153831</v>
      </c>
      <c r="D253" s="55">
        <v>162830</v>
      </c>
      <c r="E253" s="55">
        <v>176179</v>
      </c>
      <c r="F253" s="55">
        <v>186267</v>
      </c>
      <c r="G253" s="55">
        <v>179645</v>
      </c>
      <c r="H253" s="55">
        <v>188838</v>
      </c>
      <c r="I253" s="55">
        <v>196021</v>
      </c>
      <c r="J253" s="55">
        <v>210670</v>
      </c>
      <c r="K253" s="55">
        <v>227002</v>
      </c>
      <c r="L253" s="55">
        <v>245399</v>
      </c>
      <c r="M253" s="55">
        <v>263974</v>
      </c>
      <c r="N253" s="57"/>
    </row>
    <row r="254" spans="1:14">
      <c r="A254" s="55" t="s">
        <v>414</v>
      </c>
      <c r="B254" s="55" t="s">
        <v>390</v>
      </c>
      <c r="C254" s="55">
        <v>132313</v>
      </c>
      <c r="D254" s="55">
        <v>140342</v>
      </c>
      <c r="E254" s="55">
        <v>152341</v>
      </c>
      <c r="F254" s="55">
        <v>161768</v>
      </c>
      <c r="G254" s="55">
        <v>155738</v>
      </c>
      <c r="H254" s="55">
        <v>163873</v>
      </c>
      <c r="I254" s="55">
        <v>170090</v>
      </c>
      <c r="J254" s="55">
        <v>183631</v>
      </c>
      <c r="K254" s="55">
        <v>199090</v>
      </c>
      <c r="L254" s="55">
        <v>217223</v>
      </c>
      <c r="M254" s="55">
        <v>235456</v>
      </c>
      <c r="N254" s="57"/>
    </row>
    <row r="255" spans="1:14">
      <c r="A255" s="55" t="s">
        <v>414</v>
      </c>
      <c r="B255" s="55" t="s">
        <v>391</v>
      </c>
      <c r="C255" s="55">
        <v>21889</v>
      </c>
      <c r="D255" s="55">
        <v>22844</v>
      </c>
      <c r="E255" s="55">
        <v>24177</v>
      </c>
      <c r="F255" s="55">
        <v>24790</v>
      </c>
      <c r="G255" s="55">
        <v>24213</v>
      </c>
      <c r="H255" s="55">
        <v>25268</v>
      </c>
      <c r="I255" s="55">
        <v>26253</v>
      </c>
      <c r="J255" s="55">
        <v>27328</v>
      </c>
      <c r="K255" s="55">
        <v>28159</v>
      </c>
      <c r="L255" s="55">
        <v>28336</v>
      </c>
      <c r="M255" s="55">
        <v>28570</v>
      </c>
      <c r="N255" s="57"/>
    </row>
    <row r="256" spans="1:14">
      <c r="A256" s="55" t="s">
        <v>414</v>
      </c>
      <c r="B256" s="55" t="s">
        <v>392</v>
      </c>
      <c r="C256" s="55">
        <v>644949</v>
      </c>
      <c r="D256" s="55">
        <v>650670</v>
      </c>
      <c r="E256" s="55">
        <v>675729</v>
      </c>
      <c r="F256" s="55">
        <v>700492</v>
      </c>
      <c r="G256" s="55">
        <v>716798</v>
      </c>
      <c r="H256" s="55">
        <v>738538</v>
      </c>
      <c r="I256" s="55">
        <v>741161</v>
      </c>
      <c r="J256" s="55">
        <v>744250</v>
      </c>
      <c r="K256" s="55">
        <v>756083</v>
      </c>
      <c r="L256" s="55">
        <v>764770</v>
      </c>
      <c r="M256" s="55">
        <v>777690</v>
      </c>
      <c r="N256" s="57"/>
    </row>
    <row r="257" spans="1:14">
      <c r="A257" s="55" t="s">
        <v>414</v>
      </c>
      <c r="B257" s="55" t="s">
        <v>393</v>
      </c>
      <c r="C257" s="55">
        <v>84246</v>
      </c>
      <c r="D257" s="55">
        <v>84651</v>
      </c>
      <c r="E257" s="55">
        <v>86976</v>
      </c>
      <c r="F257" s="55">
        <v>87407</v>
      </c>
      <c r="G257" s="55">
        <v>91159</v>
      </c>
      <c r="H257" s="55">
        <v>94237</v>
      </c>
      <c r="I257" s="55">
        <v>96855</v>
      </c>
      <c r="J257" s="55">
        <v>100170</v>
      </c>
      <c r="K257" s="55">
        <v>103629</v>
      </c>
      <c r="L257" s="55">
        <v>105426</v>
      </c>
      <c r="M257" s="55">
        <v>108638</v>
      </c>
      <c r="N257" s="57"/>
    </row>
    <row r="258" spans="1:14">
      <c r="A258" s="55" t="s">
        <v>414</v>
      </c>
      <c r="B258" s="55" t="s">
        <v>394</v>
      </c>
      <c r="C258" s="55">
        <v>559907</v>
      </c>
      <c r="D258" s="55">
        <v>565182</v>
      </c>
      <c r="E258" s="55">
        <v>587774</v>
      </c>
      <c r="F258" s="55">
        <v>611708</v>
      </c>
      <c r="G258" s="55">
        <v>624483</v>
      </c>
      <c r="H258" s="55">
        <v>643158</v>
      </c>
      <c r="I258" s="55">
        <v>643575</v>
      </c>
      <c r="J258" s="55">
        <v>643908</v>
      </c>
      <c r="K258" s="55">
        <v>652658</v>
      </c>
      <c r="L258" s="55">
        <v>659667</v>
      </c>
      <c r="M258" s="55">
        <v>669642</v>
      </c>
      <c r="N258" s="57"/>
    </row>
    <row r="259" spans="1:14">
      <c r="A259" s="55" t="s">
        <v>414</v>
      </c>
      <c r="B259" s="55" t="s">
        <v>395</v>
      </c>
      <c r="C259" s="55">
        <v>252898</v>
      </c>
      <c r="D259" s="55">
        <v>257920</v>
      </c>
      <c r="E259" s="55">
        <v>268954</v>
      </c>
      <c r="F259" s="55">
        <v>281120</v>
      </c>
      <c r="G259" s="55">
        <v>288052</v>
      </c>
      <c r="H259" s="55">
        <v>297172</v>
      </c>
      <c r="I259" s="55">
        <v>294661</v>
      </c>
      <c r="J259" s="55">
        <v>294640</v>
      </c>
      <c r="K259" s="55">
        <v>298494</v>
      </c>
      <c r="L259" s="55">
        <v>303086</v>
      </c>
      <c r="M259" s="55">
        <v>305752</v>
      </c>
      <c r="N259" s="57"/>
    </row>
    <row r="260" spans="1:14">
      <c r="A260" s="55" t="s">
        <v>414</v>
      </c>
      <c r="B260" s="55" t="s">
        <v>396</v>
      </c>
      <c r="C260" s="55">
        <v>276349</v>
      </c>
      <c r="D260" s="55">
        <v>274482</v>
      </c>
      <c r="E260" s="55">
        <v>282975</v>
      </c>
      <c r="F260" s="55">
        <v>292809</v>
      </c>
      <c r="G260" s="55">
        <v>298252</v>
      </c>
      <c r="H260" s="55">
        <v>304257</v>
      </c>
      <c r="I260" s="55">
        <v>305535</v>
      </c>
      <c r="J260" s="55">
        <v>303487</v>
      </c>
      <c r="K260" s="55">
        <v>306791</v>
      </c>
      <c r="L260" s="55">
        <v>308867</v>
      </c>
      <c r="M260" s="55">
        <v>311188</v>
      </c>
      <c r="N260" s="57"/>
    </row>
    <row r="261" spans="1:14">
      <c r="A261" s="55" t="s">
        <v>414</v>
      </c>
      <c r="B261" s="55" t="s">
        <v>397</v>
      </c>
      <c r="C261" s="55">
        <v>33512</v>
      </c>
      <c r="D261" s="55">
        <v>34889</v>
      </c>
      <c r="E261" s="55">
        <v>37677</v>
      </c>
      <c r="F261" s="55">
        <v>39435</v>
      </c>
      <c r="G261" s="55">
        <v>39738</v>
      </c>
      <c r="H261" s="55">
        <v>43045</v>
      </c>
      <c r="I261" s="55">
        <v>45015</v>
      </c>
      <c r="J261" s="55">
        <v>47321</v>
      </c>
      <c r="K261" s="55">
        <v>48923</v>
      </c>
      <c r="L261" s="55">
        <v>49031</v>
      </c>
      <c r="M261" s="55">
        <v>54200</v>
      </c>
      <c r="N261" s="57"/>
    </row>
    <row r="262" spans="1:14">
      <c r="A262" s="55" t="s">
        <v>414</v>
      </c>
      <c r="B262" s="55" t="s">
        <v>398</v>
      </c>
      <c r="C262" s="55">
        <v>286780</v>
      </c>
      <c r="D262" s="55">
        <v>303147</v>
      </c>
      <c r="E262" s="55">
        <v>314054</v>
      </c>
      <c r="F262" s="55">
        <v>323616</v>
      </c>
      <c r="G262" s="55">
        <v>314603</v>
      </c>
      <c r="H262" s="55">
        <v>325660</v>
      </c>
      <c r="I262" s="55">
        <v>335727</v>
      </c>
      <c r="J262" s="55">
        <v>345770</v>
      </c>
      <c r="K262" s="55">
        <v>357395</v>
      </c>
      <c r="L262" s="55">
        <v>372500</v>
      </c>
      <c r="M262" s="55">
        <v>389407</v>
      </c>
      <c r="N262" s="57"/>
    </row>
    <row r="263" spans="1:14">
      <c r="A263" s="55" t="s">
        <v>414</v>
      </c>
      <c r="B263" s="55" t="s">
        <v>399</v>
      </c>
      <c r="C263" s="55">
        <v>62049</v>
      </c>
      <c r="D263" s="55">
        <v>64680</v>
      </c>
      <c r="E263" s="55">
        <v>71759</v>
      </c>
      <c r="F263" s="55">
        <v>79068</v>
      </c>
      <c r="G263" s="55">
        <v>78034</v>
      </c>
      <c r="H263" s="55">
        <v>86779</v>
      </c>
      <c r="I263" s="55">
        <v>87325</v>
      </c>
      <c r="J263" s="55">
        <v>88659</v>
      </c>
      <c r="K263" s="55">
        <v>93631</v>
      </c>
      <c r="L263" s="55">
        <v>96798</v>
      </c>
      <c r="M263" s="55">
        <v>105585</v>
      </c>
      <c r="N263" s="57"/>
    </row>
    <row r="264" spans="1:14">
      <c r="A264" s="55" t="s">
        <v>414</v>
      </c>
      <c r="B264" s="55" t="s">
        <v>400</v>
      </c>
      <c r="C264" s="55">
        <v>32346</v>
      </c>
      <c r="D264" s="55">
        <v>32618</v>
      </c>
      <c r="E264" s="55">
        <v>34831</v>
      </c>
      <c r="F264" s="55">
        <v>39356</v>
      </c>
      <c r="G264" s="55">
        <v>39040</v>
      </c>
      <c r="H264" s="55">
        <v>42588</v>
      </c>
      <c r="I264" s="55">
        <v>45209</v>
      </c>
      <c r="J264" s="55">
        <v>45842</v>
      </c>
      <c r="K264" s="55">
        <v>47958</v>
      </c>
      <c r="L264" s="55">
        <v>49666</v>
      </c>
      <c r="M264" s="55">
        <v>52674</v>
      </c>
      <c r="N264" s="57"/>
    </row>
    <row r="265" spans="1:14">
      <c r="A265" s="55" t="s">
        <v>414</v>
      </c>
      <c r="B265" s="55" t="s">
        <v>401</v>
      </c>
      <c r="C265" s="55">
        <v>29568</v>
      </c>
      <c r="D265" s="55">
        <v>31712</v>
      </c>
      <c r="E265" s="55">
        <v>36315</v>
      </c>
      <c r="F265" s="55">
        <v>39187</v>
      </c>
      <c r="G265" s="55">
        <v>38507</v>
      </c>
      <c r="H265" s="55">
        <v>43524</v>
      </c>
      <c r="I265" s="55">
        <v>41830</v>
      </c>
      <c r="J265" s="55">
        <v>42516</v>
      </c>
      <c r="K265" s="55">
        <v>45281</v>
      </c>
      <c r="L265" s="55">
        <v>46741</v>
      </c>
      <c r="M265" s="55">
        <v>52271</v>
      </c>
      <c r="N265" s="57"/>
    </row>
    <row r="266" spans="1:14">
      <c r="A266" s="55" t="s">
        <v>414</v>
      </c>
      <c r="B266" s="55" t="s">
        <v>402</v>
      </c>
      <c r="C266" s="55">
        <v>224353</v>
      </c>
      <c r="D266" s="55">
        <v>238047</v>
      </c>
      <c r="E266" s="55">
        <v>242013</v>
      </c>
      <c r="F266" s="55">
        <v>244425</v>
      </c>
      <c r="G266" s="55">
        <v>236489</v>
      </c>
      <c r="H266" s="55">
        <v>239081</v>
      </c>
      <c r="I266" s="55">
        <v>248508</v>
      </c>
      <c r="J266" s="55">
        <v>257166</v>
      </c>
      <c r="K266" s="55">
        <v>263877</v>
      </c>
      <c r="L266" s="55">
        <v>275812</v>
      </c>
      <c r="M266" s="55">
        <v>284000</v>
      </c>
      <c r="N266" s="57"/>
    </row>
    <row r="267" spans="1:14">
      <c r="A267" s="55" t="s">
        <v>414</v>
      </c>
      <c r="B267" s="55" t="s">
        <v>403</v>
      </c>
      <c r="C267" s="55">
        <v>68759</v>
      </c>
      <c r="D267" s="55">
        <v>68567</v>
      </c>
      <c r="E267" s="55">
        <v>70467</v>
      </c>
      <c r="F267" s="55">
        <v>71960</v>
      </c>
      <c r="G267" s="55">
        <v>70676</v>
      </c>
      <c r="H267" s="55">
        <v>73488</v>
      </c>
      <c r="I267" s="55">
        <v>75687</v>
      </c>
      <c r="J267" s="55">
        <v>78396</v>
      </c>
      <c r="K267" s="55">
        <v>82912</v>
      </c>
      <c r="L267" s="55">
        <v>88261</v>
      </c>
      <c r="M267" s="55">
        <v>88466</v>
      </c>
      <c r="N267" s="57"/>
    </row>
    <row r="268" spans="1:14">
      <c r="A268" s="55" t="s">
        <v>414</v>
      </c>
      <c r="B268" s="55" t="s">
        <v>404</v>
      </c>
      <c r="C268" s="55">
        <v>155420</v>
      </c>
      <c r="D268" s="55">
        <v>169256</v>
      </c>
      <c r="E268" s="55">
        <v>171312</v>
      </c>
      <c r="F268" s="55">
        <v>172233</v>
      </c>
      <c r="G268" s="55">
        <v>165606</v>
      </c>
      <c r="H268" s="55">
        <v>165437</v>
      </c>
      <c r="I268" s="55">
        <v>172643</v>
      </c>
      <c r="J268" s="55">
        <v>178588</v>
      </c>
      <c r="K268" s="55">
        <v>180788</v>
      </c>
      <c r="L268" s="55">
        <v>187381</v>
      </c>
      <c r="M268" s="55">
        <v>195388</v>
      </c>
      <c r="N268" s="57"/>
    </row>
    <row r="269" spans="1:14">
      <c r="A269" s="55" t="s">
        <v>414</v>
      </c>
      <c r="B269" s="55" t="s">
        <v>415</v>
      </c>
      <c r="C269" s="55">
        <v>262537</v>
      </c>
      <c r="D269" s="55">
        <v>275350</v>
      </c>
      <c r="E269" s="55">
        <v>287919</v>
      </c>
      <c r="F269" s="55">
        <v>294173</v>
      </c>
      <c r="G269" s="55">
        <v>285605</v>
      </c>
      <c r="H269" s="55">
        <v>292170</v>
      </c>
      <c r="I269" s="55">
        <v>302291</v>
      </c>
      <c r="J269" s="55">
        <v>316572</v>
      </c>
      <c r="K269" s="55">
        <v>322470</v>
      </c>
      <c r="L269" s="55">
        <v>325381</v>
      </c>
      <c r="M269" s="55">
        <v>321418</v>
      </c>
      <c r="N269" s="57"/>
    </row>
    <row r="270" spans="1:14">
      <c r="A270" s="55" t="s">
        <v>414</v>
      </c>
      <c r="B270" s="55" t="s">
        <v>174</v>
      </c>
      <c r="C270" s="55">
        <v>1303867</v>
      </c>
      <c r="D270" s="55">
        <v>1337551</v>
      </c>
      <c r="E270" s="55">
        <v>1370173</v>
      </c>
      <c r="F270" s="55">
        <v>1403699</v>
      </c>
      <c r="G270" s="55">
        <v>1411312</v>
      </c>
      <c r="H270" s="55">
        <v>1419590</v>
      </c>
      <c r="I270" s="55">
        <v>1419574</v>
      </c>
      <c r="J270" s="55">
        <v>1423825</v>
      </c>
      <c r="K270" s="55">
        <v>1422857</v>
      </c>
      <c r="L270" s="55">
        <v>1429217</v>
      </c>
      <c r="M270" s="55">
        <v>1444774</v>
      </c>
      <c r="N270" s="57"/>
    </row>
    <row r="271" spans="1:14">
      <c r="A271" s="55" t="s">
        <v>414</v>
      </c>
      <c r="B271" s="55" t="s">
        <v>219</v>
      </c>
      <c r="C271" s="55">
        <v>516050</v>
      </c>
      <c r="D271" s="55">
        <v>522458</v>
      </c>
      <c r="E271" s="55">
        <v>529664</v>
      </c>
      <c r="F271" s="55">
        <v>539485</v>
      </c>
      <c r="G271" s="55">
        <v>540027</v>
      </c>
      <c r="H271" s="55">
        <v>537051</v>
      </c>
      <c r="I271" s="55">
        <v>525635</v>
      </c>
      <c r="J271" s="55">
        <v>514992</v>
      </c>
      <c r="K271" s="55">
        <v>493228</v>
      </c>
      <c r="L271" s="55">
        <v>483041</v>
      </c>
      <c r="M271" s="55">
        <v>479895</v>
      </c>
      <c r="N271" s="57"/>
    </row>
    <row r="272" spans="1:14">
      <c r="A272" s="55" t="s">
        <v>414</v>
      </c>
      <c r="B272" s="55" t="s">
        <v>406</v>
      </c>
      <c r="C272" s="55">
        <v>463602</v>
      </c>
      <c r="D272" s="55">
        <v>469347</v>
      </c>
      <c r="E272" s="55">
        <v>475139</v>
      </c>
      <c r="F272" s="55">
        <v>483816</v>
      </c>
      <c r="G272" s="55">
        <v>486731</v>
      </c>
      <c r="H272" s="55">
        <v>476535</v>
      </c>
      <c r="I272" s="55">
        <v>467410</v>
      </c>
      <c r="J272" s="55">
        <v>452197</v>
      </c>
      <c r="K272" s="55">
        <v>435118</v>
      </c>
      <c r="L272" s="55">
        <v>423153</v>
      </c>
      <c r="M272" s="55">
        <v>415184</v>
      </c>
      <c r="N272" s="57"/>
    </row>
    <row r="273" spans="1:14">
      <c r="A273" s="55" t="s">
        <v>414</v>
      </c>
      <c r="B273" s="55" t="s">
        <v>407</v>
      </c>
      <c r="C273" s="55">
        <v>56404</v>
      </c>
      <c r="D273" s="55">
        <v>57117</v>
      </c>
      <c r="E273" s="55">
        <v>58429</v>
      </c>
      <c r="F273" s="55">
        <v>59616</v>
      </c>
      <c r="G273" s="55">
        <v>57861</v>
      </c>
      <c r="H273" s="55">
        <v>62957</v>
      </c>
      <c r="I273" s="55">
        <v>60873</v>
      </c>
      <c r="J273" s="55">
        <v>64027</v>
      </c>
      <c r="K273" s="55">
        <v>59791</v>
      </c>
      <c r="L273" s="55">
        <v>60777</v>
      </c>
      <c r="M273" s="55">
        <v>64431</v>
      </c>
      <c r="N273" s="57"/>
    </row>
    <row r="274" spans="1:14">
      <c r="A274" s="55" t="s">
        <v>414</v>
      </c>
      <c r="B274" s="55" t="s">
        <v>221</v>
      </c>
      <c r="C274" s="55">
        <v>791411</v>
      </c>
      <c r="D274" s="55">
        <v>818643</v>
      </c>
      <c r="E274" s="55">
        <v>844044</v>
      </c>
      <c r="F274" s="55">
        <v>867720</v>
      </c>
      <c r="G274" s="55">
        <v>874702</v>
      </c>
      <c r="H274" s="55">
        <v>885771</v>
      </c>
      <c r="I274" s="55">
        <v>896763</v>
      </c>
      <c r="J274" s="55">
        <v>911084</v>
      </c>
      <c r="K274" s="55">
        <v>930988</v>
      </c>
      <c r="L274" s="55">
        <v>947217</v>
      </c>
      <c r="M274" s="55">
        <v>965744</v>
      </c>
      <c r="N274" s="57"/>
    </row>
    <row r="275" spans="1:14">
      <c r="A275" s="55" t="s">
        <v>414</v>
      </c>
      <c r="B275" s="55" t="s">
        <v>406</v>
      </c>
      <c r="C275" s="55">
        <v>719007</v>
      </c>
      <c r="D275" s="55">
        <v>743613</v>
      </c>
      <c r="E275" s="55">
        <v>766424</v>
      </c>
      <c r="F275" s="55">
        <v>789241</v>
      </c>
      <c r="G275" s="55">
        <v>799395</v>
      </c>
      <c r="H275" s="55">
        <v>812976</v>
      </c>
      <c r="I275" s="55">
        <v>824163</v>
      </c>
      <c r="J275" s="55">
        <v>838464</v>
      </c>
      <c r="K275" s="55">
        <v>855128</v>
      </c>
      <c r="L275" s="55">
        <v>868376</v>
      </c>
      <c r="M275" s="55">
        <v>885577</v>
      </c>
      <c r="N275" s="57"/>
    </row>
    <row r="276" spans="1:14">
      <c r="A276" s="55" t="s">
        <v>414</v>
      </c>
      <c r="B276" s="55" t="s">
        <v>407</v>
      </c>
      <c r="C276" s="55">
        <v>72627</v>
      </c>
      <c r="D276" s="55">
        <v>75283</v>
      </c>
      <c r="E276" s="55">
        <v>77894</v>
      </c>
      <c r="F276" s="55">
        <v>78681</v>
      </c>
      <c r="G276" s="55">
        <v>75331</v>
      </c>
      <c r="H276" s="55">
        <v>72805</v>
      </c>
      <c r="I276" s="55">
        <v>72637</v>
      </c>
      <c r="J276" s="55">
        <v>72725</v>
      </c>
      <c r="K276" s="55">
        <v>75872</v>
      </c>
      <c r="L276" s="55">
        <v>78754</v>
      </c>
      <c r="M276" s="55">
        <v>80097</v>
      </c>
      <c r="N276" s="57"/>
    </row>
    <row r="277" spans="1:14">
      <c r="A277" s="55" t="s">
        <v>414</v>
      </c>
      <c r="B277" s="55" t="s">
        <v>416</v>
      </c>
      <c r="C277" s="55">
        <v>-780281</v>
      </c>
      <c r="D277" s="55">
        <v>-808822</v>
      </c>
      <c r="E277" s="55">
        <v>-788364</v>
      </c>
      <c r="F277" s="55">
        <v>-783308</v>
      </c>
      <c r="G277" s="55">
        <v>-765177</v>
      </c>
      <c r="H277" s="55">
        <v>-714965</v>
      </c>
      <c r="I277" s="55">
        <v>-648167</v>
      </c>
      <c r="J277" s="55">
        <v>-617440</v>
      </c>
      <c r="K277" s="55">
        <v>-546158</v>
      </c>
      <c r="L277" s="55">
        <v>-446745</v>
      </c>
      <c r="M277" s="55">
        <v>-384162</v>
      </c>
      <c r="N277" s="57"/>
    </row>
    <row r="278" spans="1:14">
      <c r="A278" s="55" t="s">
        <v>414</v>
      </c>
      <c r="B278" s="55" t="s">
        <v>408</v>
      </c>
      <c r="C278" s="55">
        <v>1555357</v>
      </c>
      <c r="D278" s="55">
        <v>1643350</v>
      </c>
      <c r="E278" s="55">
        <v>1673540</v>
      </c>
      <c r="F278" s="55">
        <v>1661584</v>
      </c>
      <c r="G278" s="55">
        <v>1625517</v>
      </c>
      <c r="H278" s="55">
        <v>1679893</v>
      </c>
      <c r="I278" s="55">
        <v>1721238</v>
      </c>
      <c r="J278" s="55">
        <v>1846924</v>
      </c>
      <c r="K278" s="55">
        <v>1885918</v>
      </c>
      <c r="L278" s="55">
        <v>1952876</v>
      </c>
      <c r="M278" s="55">
        <v>2056251</v>
      </c>
      <c r="N278" s="57"/>
    </row>
    <row r="279" spans="1:14">
      <c r="A279" s="55" t="s">
        <v>414</v>
      </c>
      <c r="B279" s="55" t="s">
        <v>409</v>
      </c>
      <c r="C279" s="59">
        <v>4553101</v>
      </c>
      <c r="D279" s="59">
        <v>4752157</v>
      </c>
      <c r="E279" s="59">
        <v>4964017</v>
      </c>
      <c r="F279" s="59">
        <v>5096237</v>
      </c>
      <c r="G279" s="59">
        <v>5126624</v>
      </c>
      <c r="H279" s="59">
        <v>5335838</v>
      </c>
      <c r="I279" s="59">
        <v>5489312</v>
      </c>
      <c r="J279" s="59">
        <v>5699294</v>
      </c>
      <c r="K279" s="59">
        <v>5852683</v>
      </c>
      <c r="L279" s="59">
        <v>6121647</v>
      </c>
      <c r="M279" s="59">
        <v>6425950</v>
      </c>
      <c r="N279" s="57"/>
    </row>
    <row r="280" spans="1:14">
      <c r="A280" s="55" t="s">
        <v>414</v>
      </c>
      <c r="B280" s="55" t="s">
        <v>410</v>
      </c>
      <c r="C280" s="55">
        <v>56715</v>
      </c>
      <c r="D280" s="55">
        <v>63424</v>
      </c>
      <c r="E280" s="55">
        <v>68780</v>
      </c>
      <c r="F280" s="55">
        <v>72755</v>
      </c>
      <c r="G280" s="55">
        <v>74317</v>
      </c>
      <c r="H280" s="55">
        <v>80748</v>
      </c>
      <c r="I280" s="55">
        <v>87959</v>
      </c>
      <c r="J280" s="55">
        <v>102249</v>
      </c>
      <c r="K280" s="55">
        <v>123644</v>
      </c>
      <c r="L280" s="55">
        <v>147489</v>
      </c>
      <c r="M280" s="55">
        <v>178781</v>
      </c>
      <c r="N280" s="57"/>
    </row>
    <row r="281" spans="1:14">
      <c r="N281" s="57"/>
    </row>
    <row r="282" spans="1:14">
      <c r="A282" s="17" t="s">
        <v>417</v>
      </c>
      <c r="C282" s="59"/>
      <c r="D282" s="59"/>
      <c r="E282" s="59"/>
      <c r="F282" s="59"/>
      <c r="G282" s="59"/>
      <c r="H282" s="59"/>
      <c r="I282" s="59"/>
      <c r="J282" s="59"/>
      <c r="K282" s="59"/>
      <c r="L282" s="59"/>
      <c r="M282" s="59"/>
    </row>
    <row r="283" spans="1:14">
      <c r="A283" s="55" t="s">
        <v>418</v>
      </c>
      <c r="B283" s="55" t="s">
        <v>325</v>
      </c>
      <c r="C283" s="57">
        <v>57.887</v>
      </c>
      <c r="D283" s="57">
        <v>60.265999999999998</v>
      </c>
      <c r="E283" s="57">
        <v>62.42</v>
      </c>
      <c r="F283" s="57">
        <v>63.591000000000001</v>
      </c>
      <c r="G283" s="57">
        <v>63.442</v>
      </c>
      <c r="H283" s="57">
        <v>65.594999999999999</v>
      </c>
      <c r="I283" s="57">
        <v>67.465999999999994</v>
      </c>
      <c r="J283" s="57">
        <v>70.213999999999999</v>
      </c>
      <c r="K283" s="57">
        <v>71.98</v>
      </c>
      <c r="L283" s="57">
        <v>74.671999999999997</v>
      </c>
      <c r="M283" s="57">
        <v>78</v>
      </c>
      <c r="N283" s="57"/>
    </row>
    <row r="284" spans="1:14">
      <c r="A284" s="55" t="s">
        <v>418</v>
      </c>
      <c r="B284" s="55" t="s">
        <v>326</v>
      </c>
      <c r="C284" s="57">
        <v>55.466000000000001</v>
      </c>
      <c r="D284" s="57">
        <v>58.097999999999999</v>
      </c>
      <c r="E284" s="57">
        <v>60.243000000000002</v>
      </c>
      <c r="F284" s="57">
        <v>61.264000000000003</v>
      </c>
      <c r="G284" s="57">
        <v>61.161000000000001</v>
      </c>
      <c r="H284" s="57">
        <v>63.536999999999999</v>
      </c>
      <c r="I284" s="57">
        <v>65.296000000000006</v>
      </c>
      <c r="J284" s="57">
        <v>68.373999999999995</v>
      </c>
      <c r="K284" s="57">
        <v>70.111999999999995</v>
      </c>
      <c r="L284" s="57">
        <v>73.146000000000001</v>
      </c>
      <c r="M284" s="57">
        <v>76.84</v>
      </c>
      <c r="N284" s="57"/>
    </row>
    <row r="285" spans="1:14">
      <c r="A285" s="55" t="s">
        <v>418</v>
      </c>
      <c r="B285" s="55" t="s">
        <v>327</v>
      </c>
      <c r="C285" s="57">
        <v>56.75</v>
      </c>
      <c r="D285" s="57">
        <v>50.674999999999997</v>
      </c>
      <c r="E285" s="57">
        <v>56.741999999999997</v>
      </c>
      <c r="F285" s="57">
        <v>60.073999999999998</v>
      </c>
      <c r="G285" s="57">
        <v>60.756</v>
      </c>
      <c r="H285" s="57">
        <v>67.963999999999999</v>
      </c>
      <c r="I285" s="57">
        <v>58.982999999999997</v>
      </c>
      <c r="J285" s="57">
        <v>70.447999999999993</v>
      </c>
      <c r="K285" s="57">
        <v>59.555</v>
      </c>
      <c r="L285" s="57">
        <v>66.286000000000001</v>
      </c>
      <c r="M285" s="57">
        <v>71.590999999999994</v>
      </c>
      <c r="N285" s="57"/>
    </row>
    <row r="286" spans="1:14">
      <c r="A286" s="55" t="s">
        <v>418</v>
      </c>
      <c r="B286" s="55" t="s">
        <v>328</v>
      </c>
      <c r="C286" s="57">
        <v>50.24</v>
      </c>
      <c r="D286" s="57">
        <v>44.707999999999998</v>
      </c>
      <c r="E286" s="57">
        <v>51.252000000000002</v>
      </c>
      <c r="F286" s="57">
        <v>54.911000000000001</v>
      </c>
      <c r="G286" s="57">
        <v>55.811999999999998</v>
      </c>
      <c r="H286" s="57">
        <v>64.930999999999997</v>
      </c>
      <c r="I286" s="57">
        <v>56.692999999999998</v>
      </c>
      <c r="J286" s="57">
        <v>69.131</v>
      </c>
      <c r="K286" s="57">
        <v>55.277000000000001</v>
      </c>
      <c r="L286" s="57">
        <v>63.99</v>
      </c>
      <c r="M286" s="57">
        <v>71.076999999999998</v>
      </c>
      <c r="N286" s="57"/>
    </row>
    <row r="287" spans="1:14">
      <c r="A287" s="55" t="s">
        <v>418</v>
      </c>
      <c r="B287" s="55" t="s">
        <v>329</v>
      </c>
      <c r="C287" s="57">
        <v>94.438999999999993</v>
      </c>
      <c r="D287" s="57">
        <v>85.369</v>
      </c>
      <c r="E287" s="57">
        <v>87.411000000000001</v>
      </c>
      <c r="F287" s="57">
        <v>88.07</v>
      </c>
      <c r="G287" s="57">
        <v>87.266000000000005</v>
      </c>
      <c r="H287" s="57">
        <v>83.078000000000003</v>
      </c>
      <c r="I287" s="57">
        <v>70.399000000000001</v>
      </c>
      <c r="J287" s="57">
        <v>77.781000000000006</v>
      </c>
      <c r="K287" s="57">
        <v>79.771000000000001</v>
      </c>
      <c r="L287" s="57">
        <v>76.718999999999994</v>
      </c>
      <c r="M287" s="57">
        <v>73.391000000000005</v>
      </c>
      <c r="N287" s="57"/>
    </row>
    <row r="288" spans="1:14">
      <c r="A288" s="55" t="s">
        <v>418</v>
      </c>
      <c r="B288" s="55" t="s">
        <v>330</v>
      </c>
      <c r="C288" s="57">
        <v>122.364</v>
      </c>
      <c r="D288" s="57">
        <v>136.911</v>
      </c>
      <c r="E288" s="57">
        <v>132.27600000000001</v>
      </c>
      <c r="F288" s="57">
        <v>130.78700000000001</v>
      </c>
      <c r="G288" s="57">
        <v>133.113</v>
      </c>
      <c r="H288" s="57">
        <v>129.02199999999999</v>
      </c>
      <c r="I288" s="57">
        <v>131.161</v>
      </c>
      <c r="J288" s="57">
        <v>142.428</v>
      </c>
      <c r="K288" s="57">
        <v>143.47399999999999</v>
      </c>
      <c r="L288" s="57">
        <v>133.68199999999999</v>
      </c>
      <c r="M288" s="57">
        <v>138.09700000000001</v>
      </c>
      <c r="N288" s="57"/>
    </row>
    <row r="289" spans="1:21">
      <c r="A289" s="55" t="s">
        <v>418</v>
      </c>
      <c r="B289" s="55" t="s">
        <v>331</v>
      </c>
      <c r="C289" s="57">
        <v>219.381</v>
      </c>
      <c r="D289" s="57">
        <v>236.40299999999999</v>
      </c>
      <c r="E289" s="57">
        <v>226.18</v>
      </c>
      <c r="F289" s="57">
        <v>211.67500000000001</v>
      </c>
      <c r="G289" s="57">
        <v>211.982</v>
      </c>
      <c r="H289" s="57">
        <v>201.05600000000001</v>
      </c>
      <c r="I289" s="57">
        <v>198.76400000000001</v>
      </c>
      <c r="J289" s="57">
        <v>218.22300000000001</v>
      </c>
      <c r="K289" s="57">
        <v>226.09899999999999</v>
      </c>
      <c r="L289" s="57">
        <v>191.23400000000001</v>
      </c>
      <c r="M289" s="57">
        <v>193.685</v>
      </c>
      <c r="N289" s="57"/>
    </row>
    <row r="290" spans="1:21">
      <c r="A290" s="55" t="s">
        <v>418</v>
      </c>
      <c r="B290" s="55" t="s">
        <v>332</v>
      </c>
      <c r="C290" s="57">
        <v>52.073999999999998</v>
      </c>
      <c r="D290" s="57">
        <v>63.784999999999997</v>
      </c>
      <c r="E290" s="57">
        <v>64.929000000000002</v>
      </c>
      <c r="F290" s="57">
        <v>69.424000000000007</v>
      </c>
      <c r="G290" s="57">
        <v>74.186000000000007</v>
      </c>
      <c r="H290" s="57">
        <v>76.801000000000002</v>
      </c>
      <c r="I290" s="57">
        <v>79.447999999999993</v>
      </c>
      <c r="J290" s="57">
        <v>88.38</v>
      </c>
      <c r="K290" s="57">
        <v>87.415000000000006</v>
      </c>
      <c r="L290" s="57">
        <v>94.564999999999998</v>
      </c>
      <c r="M290" s="57">
        <v>99.878</v>
      </c>
      <c r="N290" s="57"/>
    </row>
    <row r="291" spans="1:21">
      <c r="A291" s="55" t="s">
        <v>418</v>
      </c>
      <c r="B291" s="55" t="s">
        <v>333</v>
      </c>
      <c r="C291" s="57">
        <v>80.248000000000005</v>
      </c>
      <c r="D291" s="57">
        <v>87.950999999999993</v>
      </c>
      <c r="E291" s="57">
        <v>77.477000000000004</v>
      </c>
      <c r="F291" s="57">
        <v>86.263999999999996</v>
      </c>
      <c r="G291" s="57">
        <v>84.822999999999993</v>
      </c>
      <c r="H291" s="57">
        <v>76.721000000000004</v>
      </c>
      <c r="I291" s="57">
        <v>85.882999999999996</v>
      </c>
      <c r="J291" s="57">
        <v>83.116</v>
      </c>
      <c r="K291" s="57">
        <v>77.176000000000002</v>
      </c>
      <c r="L291" s="57">
        <v>77.182000000000002</v>
      </c>
      <c r="M291" s="57">
        <v>83.28</v>
      </c>
      <c r="N291" s="57"/>
    </row>
    <row r="292" spans="1:21">
      <c r="A292" s="55" t="s">
        <v>418</v>
      </c>
      <c r="B292" s="55" t="s">
        <v>334</v>
      </c>
      <c r="C292" s="57">
        <v>82.731999999999999</v>
      </c>
      <c r="D292" s="57">
        <v>82.022000000000006</v>
      </c>
      <c r="E292" s="57">
        <v>90.436999999999998</v>
      </c>
      <c r="F292" s="57">
        <v>95.575999999999993</v>
      </c>
      <c r="G292" s="57">
        <v>96.834000000000003</v>
      </c>
      <c r="H292" s="57">
        <v>97.688999999999993</v>
      </c>
      <c r="I292" s="57">
        <v>96.433999999999997</v>
      </c>
      <c r="J292" s="57">
        <v>99.397000000000006</v>
      </c>
      <c r="K292" s="57">
        <v>102.62</v>
      </c>
      <c r="L292" s="57">
        <v>101.71599999999999</v>
      </c>
      <c r="M292" s="57">
        <v>97.108000000000004</v>
      </c>
      <c r="N292" s="57"/>
    </row>
    <row r="293" spans="1:21">
      <c r="A293" s="55" t="s">
        <v>418</v>
      </c>
      <c r="B293" s="55" t="s">
        <v>335</v>
      </c>
      <c r="C293" s="57">
        <v>79.147999999999996</v>
      </c>
      <c r="D293" s="57">
        <v>82.975999999999999</v>
      </c>
      <c r="E293" s="57">
        <v>85.325999999999993</v>
      </c>
      <c r="F293" s="57">
        <v>84.778999999999996</v>
      </c>
      <c r="G293" s="57">
        <v>78.616</v>
      </c>
      <c r="H293" s="57">
        <v>80.403000000000006</v>
      </c>
      <c r="I293" s="57">
        <v>82.649000000000001</v>
      </c>
      <c r="J293" s="57">
        <v>87.293000000000006</v>
      </c>
      <c r="K293" s="57">
        <v>88.224000000000004</v>
      </c>
      <c r="L293" s="57">
        <v>92.981999999999999</v>
      </c>
      <c r="M293" s="57">
        <v>95.17</v>
      </c>
      <c r="N293" s="57"/>
    </row>
    <row r="294" spans="1:21">
      <c r="A294" s="55" t="s">
        <v>418</v>
      </c>
      <c r="B294" s="55" t="s">
        <v>336</v>
      </c>
      <c r="C294" s="57">
        <v>54.843000000000004</v>
      </c>
      <c r="D294" s="57">
        <v>58.683</v>
      </c>
      <c r="E294" s="57">
        <v>59.359000000000002</v>
      </c>
      <c r="F294" s="57">
        <v>58.575000000000003</v>
      </c>
      <c r="G294" s="57">
        <v>57.673999999999999</v>
      </c>
      <c r="H294" s="57">
        <v>59.597000000000001</v>
      </c>
      <c r="I294" s="57">
        <v>61.987000000000002</v>
      </c>
      <c r="J294" s="57">
        <v>66.078000000000003</v>
      </c>
      <c r="K294" s="57">
        <v>68.798000000000002</v>
      </c>
      <c r="L294" s="57">
        <v>70.997</v>
      </c>
      <c r="M294" s="57">
        <v>75.260999999999996</v>
      </c>
      <c r="N294" s="57"/>
    </row>
    <row r="295" spans="1:21">
      <c r="A295" s="55" t="s">
        <v>418</v>
      </c>
      <c r="B295" s="55" t="s">
        <v>337</v>
      </c>
      <c r="C295" s="57">
        <v>42.637</v>
      </c>
      <c r="D295" s="57">
        <v>46.87</v>
      </c>
      <c r="E295" s="57">
        <v>47.61</v>
      </c>
      <c r="F295" s="57">
        <v>46.725999999999999</v>
      </c>
      <c r="G295" s="57">
        <v>45.243000000000002</v>
      </c>
      <c r="H295" s="57">
        <v>46.186999999999998</v>
      </c>
      <c r="I295" s="57">
        <v>48.128999999999998</v>
      </c>
      <c r="J295" s="57">
        <v>51.83</v>
      </c>
      <c r="K295" s="57">
        <v>55.832000000000001</v>
      </c>
      <c r="L295" s="57">
        <v>59.253</v>
      </c>
      <c r="M295" s="57">
        <v>64.194000000000003</v>
      </c>
      <c r="N295" s="57"/>
    </row>
    <row r="296" spans="1:21">
      <c r="A296" s="55" t="s">
        <v>418</v>
      </c>
      <c r="B296" s="55" t="s">
        <v>338</v>
      </c>
      <c r="C296" s="57">
        <v>115.5</v>
      </c>
      <c r="D296" s="57">
        <v>116.986</v>
      </c>
      <c r="E296" s="57">
        <v>116.913</v>
      </c>
      <c r="F296" s="57">
        <v>117.496</v>
      </c>
      <c r="G296" s="57">
        <v>108.455</v>
      </c>
      <c r="H296" s="57">
        <v>98.099000000000004</v>
      </c>
      <c r="I296" s="57">
        <v>86.734999999999999</v>
      </c>
      <c r="J296" s="57">
        <v>90.037000000000006</v>
      </c>
      <c r="K296" s="57">
        <v>99.147999999999996</v>
      </c>
      <c r="L296" s="57">
        <v>97.561999999999998</v>
      </c>
      <c r="M296" s="57">
        <v>95.509</v>
      </c>
      <c r="N296" s="57"/>
    </row>
    <row r="297" spans="1:21">
      <c r="A297" s="55" t="s">
        <v>418</v>
      </c>
      <c r="B297" s="55" t="s">
        <v>339</v>
      </c>
      <c r="C297" s="57">
        <v>72.847999999999999</v>
      </c>
      <c r="D297" s="57">
        <v>79.021000000000001</v>
      </c>
      <c r="E297" s="57">
        <v>81.319999999999993</v>
      </c>
      <c r="F297" s="57">
        <v>79.338999999999999</v>
      </c>
      <c r="G297" s="57">
        <v>71.006</v>
      </c>
      <c r="H297" s="57">
        <v>80.504999999999995</v>
      </c>
      <c r="I297" s="57">
        <v>80.244</v>
      </c>
      <c r="J297" s="57">
        <v>87.222999999999999</v>
      </c>
      <c r="K297" s="57">
        <v>88.066000000000003</v>
      </c>
      <c r="L297" s="57">
        <v>86.909000000000006</v>
      </c>
      <c r="M297" s="57">
        <v>99.284000000000006</v>
      </c>
      <c r="N297" s="57"/>
      <c r="O297" s="57"/>
      <c r="P297" s="57"/>
      <c r="Q297" s="57"/>
      <c r="R297" s="57"/>
      <c r="S297" s="57"/>
      <c r="T297" s="57"/>
      <c r="U297" s="57"/>
    </row>
    <row r="298" spans="1:21">
      <c r="A298" s="55" t="s">
        <v>418</v>
      </c>
      <c r="B298" s="55" t="s">
        <v>340</v>
      </c>
      <c r="C298" s="57">
        <v>86.831000000000003</v>
      </c>
      <c r="D298" s="57">
        <v>90.677000000000007</v>
      </c>
      <c r="E298" s="57">
        <v>93.412999999999997</v>
      </c>
      <c r="F298" s="57">
        <v>91.070999999999998</v>
      </c>
      <c r="G298" s="57">
        <v>91.944999999999993</v>
      </c>
      <c r="H298" s="57">
        <v>95.453000000000003</v>
      </c>
      <c r="I298" s="57">
        <v>101.411</v>
      </c>
      <c r="J298" s="57">
        <v>103.108</v>
      </c>
      <c r="K298" s="57">
        <v>98.722999999999999</v>
      </c>
      <c r="L298" s="57">
        <v>102.411</v>
      </c>
      <c r="M298" s="57">
        <v>105.223</v>
      </c>
      <c r="N298" s="57"/>
      <c r="O298" s="57"/>
      <c r="P298" s="57"/>
      <c r="Q298" s="57"/>
      <c r="R298" s="57"/>
      <c r="S298" s="57"/>
      <c r="T298" s="57"/>
      <c r="U298" s="57"/>
    </row>
    <row r="299" spans="1:21">
      <c r="A299" s="55" t="s">
        <v>418</v>
      </c>
      <c r="B299" s="55" t="s">
        <v>341</v>
      </c>
      <c r="C299" s="57">
        <v>83.488</v>
      </c>
      <c r="D299" s="57">
        <v>87.724999999999994</v>
      </c>
      <c r="E299" s="57">
        <v>86.557000000000002</v>
      </c>
      <c r="F299" s="57">
        <v>84.238</v>
      </c>
      <c r="G299" s="57">
        <v>78.394999999999996</v>
      </c>
      <c r="H299" s="57">
        <v>80.269000000000005</v>
      </c>
      <c r="I299" s="57">
        <v>83.397999999999996</v>
      </c>
      <c r="J299" s="57">
        <v>93.68</v>
      </c>
      <c r="K299" s="57">
        <v>97.468000000000004</v>
      </c>
      <c r="L299" s="57">
        <v>99.727000000000004</v>
      </c>
      <c r="M299" s="57">
        <v>102.074</v>
      </c>
      <c r="N299" s="57"/>
      <c r="O299" s="57"/>
      <c r="P299" s="57"/>
      <c r="Q299" s="57"/>
      <c r="R299" s="57"/>
      <c r="S299" s="57"/>
      <c r="T299" s="57"/>
      <c r="U299" s="57"/>
    </row>
    <row r="300" spans="1:21">
      <c r="A300" s="55" t="s">
        <v>418</v>
      </c>
      <c r="B300" s="55" t="s">
        <v>342</v>
      </c>
      <c r="C300" s="57">
        <v>88.188000000000002</v>
      </c>
      <c r="D300" s="57">
        <v>102.117</v>
      </c>
      <c r="E300" s="57">
        <v>106.059</v>
      </c>
      <c r="F300" s="57">
        <v>102.49</v>
      </c>
      <c r="G300" s="57">
        <v>89.938000000000002</v>
      </c>
      <c r="H300" s="57">
        <v>89.317999999999998</v>
      </c>
      <c r="I300" s="57">
        <v>89.369</v>
      </c>
      <c r="J300" s="57">
        <v>92.802999999999997</v>
      </c>
      <c r="K300" s="57">
        <v>98.575999999999993</v>
      </c>
      <c r="L300" s="57">
        <v>94.784999999999997</v>
      </c>
      <c r="M300" s="57">
        <v>96.933000000000007</v>
      </c>
      <c r="N300" s="57"/>
      <c r="O300" s="57"/>
      <c r="P300" s="57"/>
      <c r="Q300" s="57"/>
      <c r="R300" s="57"/>
      <c r="S300" s="57"/>
      <c r="T300" s="57"/>
      <c r="U300" s="57"/>
    </row>
    <row r="301" spans="1:21">
      <c r="A301" s="55" t="s">
        <v>418</v>
      </c>
      <c r="B301" s="55" t="s">
        <v>343</v>
      </c>
      <c r="C301" s="57">
        <v>2.7240000000000002</v>
      </c>
      <c r="D301" s="57">
        <v>3.2189999999999999</v>
      </c>
      <c r="E301" s="57">
        <v>3.4750000000000001</v>
      </c>
      <c r="F301" s="57">
        <v>3.7679999999999998</v>
      </c>
      <c r="G301" s="57">
        <v>3.964</v>
      </c>
      <c r="H301" s="57">
        <v>4.3769999999999998</v>
      </c>
      <c r="I301" s="57">
        <v>4.96</v>
      </c>
      <c r="J301" s="57">
        <v>6.1</v>
      </c>
      <c r="K301" s="57">
        <v>8.6229999999999993</v>
      </c>
      <c r="L301" s="57">
        <v>11.19</v>
      </c>
      <c r="M301" s="57">
        <v>14.723000000000001</v>
      </c>
      <c r="N301" s="57"/>
      <c r="O301" s="57"/>
      <c r="P301" s="57"/>
      <c r="Q301" s="57"/>
      <c r="R301" s="57"/>
      <c r="S301" s="57"/>
      <c r="T301" s="57"/>
      <c r="U301" s="57"/>
    </row>
    <row r="302" spans="1:21">
      <c r="A302" s="55" t="s">
        <v>418</v>
      </c>
      <c r="B302" s="55" t="s">
        <v>344</v>
      </c>
      <c r="C302" s="57">
        <v>106.029</v>
      </c>
      <c r="D302" s="57">
        <v>107.904</v>
      </c>
      <c r="E302" s="57">
        <v>110.012</v>
      </c>
      <c r="F302" s="57">
        <v>106.756</v>
      </c>
      <c r="G302" s="57">
        <v>101.70699999999999</v>
      </c>
      <c r="H302" s="57">
        <v>102.434</v>
      </c>
      <c r="I302" s="57">
        <v>108.461</v>
      </c>
      <c r="J302" s="57">
        <v>115.831</v>
      </c>
      <c r="K302" s="57">
        <v>111.91500000000001</v>
      </c>
      <c r="L302" s="57">
        <v>107.831</v>
      </c>
      <c r="M302" s="57">
        <v>112.286</v>
      </c>
      <c r="N302" s="57"/>
      <c r="O302" s="57"/>
      <c r="P302" s="57"/>
      <c r="Q302" s="57"/>
      <c r="R302" s="57"/>
      <c r="S302" s="57"/>
      <c r="T302" s="57"/>
      <c r="U302" s="57"/>
    </row>
    <row r="303" spans="1:21">
      <c r="A303" s="55" t="s">
        <v>418</v>
      </c>
      <c r="B303" s="55" t="s">
        <v>345</v>
      </c>
      <c r="C303" s="57">
        <v>58.302</v>
      </c>
      <c r="D303" s="57">
        <v>64.918000000000006</v>
      </c>
      <c r="E303" s="57">
        <v>62.216999999999999</v>
      </c>
      <c r="F303" s="57">
        <v>51.38</v>
      </c>
      <c r="G303" s="57">
        <v>49.018999999999998</v>
      </c>
      <c r="H303" s="57">
        <v>57.503</v>
      </c>
      <c r="I303" s="57">
        <v>64.039000000000001</v>
      </c>
      <c r="J303" s="57">
        <v>74.316000000000003</v>
      </c>
      <c r="K303" s="57">
        <v>71.849000000000004</v>
      </c>
      <c r="L303" s="57">
        <v>68.260000000000005</v>
      </c>
      <c r="M303" s="57">
        <v>70.418000000000006</v>
      </c>
      <c r="N303" s="57"/>
      <c r="O303" s="57"/>
      <c r="P303" s="57"/>
      <c r="Q303" s="57"/>
      <c r="R303" s="57"/>
      <c r="S303" s="57"/>
      <c r="T303" s="57"/>
      <c r="U303" s="57"/>
    </row>
    <row r="304" spans="1:21">
      <c r="A304" s="55" t="s">
        <v>418</v>
      </c>
      <c r="B304" s="55" t="s">
        <v>346</v>
      </c>
      <c r="C304" s="57">
        <v>144.17099999999999</v>
      </c>
      <c r="D304" s="57">
        <v>147.16200000000001</v>
      </c>
      <c r="E304" s="57">
        <v>144.75899999999999</v>
      </c>
      <c r="F304" s="57">
        <v>144.08000000000001</v>
      </c>
      <c r="G304" s="57">
        <v>151.21700000000001</v>
      </c>
      <c r="H304" s="57">
        <v>119.152</v>
      </c>
      <c r="I304" s="57">
        <v>111.551</v>
      </c>
      <c r="J304" s="57">
        <v>89.715999999999994</v>
      </c>
      <c r="K304" s="57">
        <v>83.855000000000004</v>
      </c>
      <c r="L304" s="57">
        <v>95.646000000000001</v>
      </c>
      <c r="M304" s="57">
        <v>95.022999999999996</v>
      </c>
      <c r="N304" s="57"/>
      <c r="O304" s="57"/>
      <c r="P304" s="57"/>
      <c r="Q304" s="57"/>
      <c r="R304" s="57"/>
      <c r="S304" s="57"/>
      <c r="T304" s="57"/>
      <c r="U304" s="57"/>
    </row>
    <row r="305" spans="1:21">
      <c r="A305" s="55" t="s">
        <v>418</v>
      </c>
      <c r="B305" s="55" t="s">
        <v>347</v>
      </c>
      <c r="C305" s="57">
        <v>79.807000000000002</v>
      </c>
      <c r="D305" s="57">
        <v>79.647000000000006</v>
      </c>
      <c r="E305" s="57">
        <v>80.495000000000005</v>
      </c>
      <c r="F305" s="57">
        <v>74.766999999999996</v>
      </c>
      <c r="G305" s="57">
        <v>69.430999999999997</v>
      </c>
      <c r="H305" s="57">
        <v>75.838999999999999</v>
      </c>
      <c r="I305" s="57">
        <v>81.7</v>
      </c>
      <c r="J305" s="57">
        <v>81.242999999999995</v>
      </c>
      <c r="K305" s="57">
        <v>81.757999999999996</v>
      </c>
      <c r="L305" s="57">
        <v>83.933000000000007</v>
      </c>
      <c r="M305" s="57">
        <v>91.700999999999993</v>
      </c>
      <c r="N305" s="57"/>
      <c r="O305" s="57"/>
      <c r="P305" s="57"/>
      <c r="Q305" s="57"/>
      <c r="R305" s="57"/>
      <c r="S305" s="57"/>
      <c r="T305" s="57"/>
      <c r="U305" s="57"/>
    </row>
    <row r="306" spans="1:21">
      <c r="A306" s="55" t="s">
        <v>418</v>
      </c>
      <c r="B306" s="55" t="s">
        <v>348</v>
      </c>
      <c r="C306" s="57">
        <v>43.277000000000001</v>
      </c>
      <c r="D306" s="57">
        <v>57.411999999999999</v>
      </c>
      <c r="E306" s="57">
        <v>57.688000000000002</v>
      </c>
      <c r="F306" s="57">
        <v>62.005000000000003</v>
      </c>
      <c r="G306" s="57">
        <v>61.448</v>
      </c>
      <c r="H306" s="57">
        <v>62.338000000000001</v>
      </c>
      <c r="I306" s="57">
        <v>61.805999999999997</v>
      </c>
      <c r="J306" s="57">
        <v>61.837000000000003</v>
      </c>
      <c r="K306" s="57">
        <v>64.332999999999998</v>
      </c>
      <c r="L306" s="57">
        <v>70.814999999999998</v>
      </c>
      <c r="M306" s="57">
        <v>71.093000000000004</v>
      </c>
      <c r="N306" s="57"/>
      <c r="O306" s="57"/>
      <c r="P306" s="57"/>
      <c r="Q306" s="57"/>
      <c r="R306" s="57"/>
      <c r="S306" s="57"/>
      <c r="T306" s="57"/>
      <c r="U306" s="57"/>
    </row>
    <row r="307" spans="1:21">
      <c r="A307" s="55" t="s">
        <v>418</v>
      </c>
      <c r="B307" s="55" t="s">
        <v>349</v>
      </c>
      <c r="C307" s="57">
        <v>77.95</v>
      </c>
      <c r="D307" s="57">
        <v>80.123000000000005</v>
      </c>
      <c r="E307" s="57">
        <v>80.543999999999997</v>
      </c>
      <c r="F307" s="57">
        <v>80.093000000000004</v>
      </c>
      <c r="G307" s="57">
        <v>80.650999999999996</v>
      </c>
      <c r="H307" s="57">
        <v>84.671999999999997</v>
      </c>
      <c r="I307" s="57">
        <v>87.852999999999994</v>
      </c>
      <c r="J307" s="57">
        <v>92.38</v>
      </c>
      <c r="K307" s="57">
        <v>91.805000000000007</v>
      </c>
      <c r="L307" s="57">
        <v>91.156999999999996</v>
      </c>
      <c r="M307" s="57">
        <v>93.698999999999998</v>
      </c>
      <c r="N307" s="57"/>
      <c r="O307" s="57"/>
      <c r="P307" s="57"/>
      <c r="Q307" s="57"/>
      <c r="R307" s="57"/>
      <c r="S307" s="57"/>
      <c r="T307" s="57"/>
      <c r="U307" s="57"/>
    </row>
    <row r="308" spans="1:21">
      <c r="A308" s="55" t="s">
        <v>418</v>
      </c>
      <c r="B308" s="55" t="s">
        <v>350</v>
      </c>
      <c r="C308" s="57">
        <v>88.043000000000006</v>
      </c>
      <c r="D308" s="57">
        <v>90.248000000000005</v>
      </c>
      <c r="E308" s="57">
        <v>88.581999999999994</v>
      </c>
      <c r="F308" s="57">
        <v>89.301000000000002</v>
      </c>
      <c r="G308" s="57">
        <v>89.558999999999997</v>
      </c>
      <c r="H308" s="57">
        <v>92.546000000000006</v>
      </c>
      <c r="I308" s="57">
        <v>92.444000000000003</v>
      </c>
      <c r="J308" s="57">
        <v>98.1</v>
      </c>
      <c r="K308" s="57">
        <v>111.89</v>
      </c>
      <c r="L308" s="57">
        <v>102.14</v>
      </c>
      <c r="M308" s="57">
        <v>98.569000000000003</v>
      </c>
      <c r="N308" s="57"/>
      <c r="O308" s="57"/>
      <c r="P308" s="57"/>
      <c r="Q308" s="57"/>
      <c r="R308" s="57"/>
      <c r="S308" s="57"/>
      <c r="T308" s="57"/>
      <c r="U308" s="57"/>
    </row>
    <row r="309" spans="1:21">
      <c r="A309" s="55" t="s">
        <v>418</v>
      </c>
      <c r="B309" s="55" t="s">
        <v>351</v>
      </c>
      <c r="C309" s="57">
        <v>93.936000000000007</v>
      </c>
      <c r="D309" s="57">
        <v>100.777</v>
      </c>
      <c r="E309" s="57">
        <v>104.349</v>
      </c>
      <c r="F309" s="57">
        <v>101.68600000000001</v>
      </c>
      <c r="G309" s="57">
        <v>101.91500000000001</v>
      </c>
      <c r="H309" s="57">
        <v>112.38500000000001</v>
      </c>
      <c r="I309" s="57">
        <v>115.988</v>
      </c>
      <c r="J309" s="57">
        <v>120.861</v>
      </c>
      <c r="K309" s="57">
        <v>119.875</v>
      </c>
      <c r="L309" s="57">
        <v>115.616</v>
      </c>
      <c r="M309" s="57">
        <v>116.881</v>
      </c>
      <c r="N309" s="57"/>
      <c r="O309" s="57"/>
      <c r="P309" s="57"/>
      <c r="Q309" s="57"/>
      <c r="R309" s="57"/>
      <c r="S309" s="57"/>
      <c r="T309" s="57"/>
      <c r="U309" s="57"/>
    </row>
    <row r="310" spans="1:21">
      <c r="A310" s="55" t="s">
        <v>418</v>
      </c>
      <c r="B310" s="55" t="s">
        <v>352</v>
      </c>
      <c r="C310" s="57">
        <v>155.15299999999999</v>
      </c>
      <c r="D310" s="57">
        <v>158.58500000000001</v>
      </c>
      <c r="E310" s="57">
        <v>161.761</v>
      </c>
      <c r="F310" s="57">
        <v>159.167</v>
      </c>
      <c r="G310" s="57">
        <v>160.63499999999999</v>
      </c>
      <c r="H310" s="57">
        <v>166.49199999999999</v>
      </c>
      <c r="I310" s="57">
        <v>163.404</v>
      </c>
      <c r="J310" s="57">
        <v>163.75299999999999</v>
      </c>
      <c r="K310" s="57">
        <v>160.63800000000001</v>
      </c>
      <c r="L310" s="57">
        <v>150.89599999999999</v>
      </c>
      <c r="M310" s="57">
        <v>143.38999999999999</v>
      </c>
      <c r="N310" s="57"/>
      <c r="O310" s="57"/>
      <c r="P310" s="57"/>
      <c r="Q310" s="57"/>
      <c r="R310" s="57"/>
      <c r="S310" s="57"/>
      <c r="T310" s="57"/>
      <c r="U310" s="57"/>
    </row>
    <row r="311" spans="1:21">
      <c r="A311" s="55" t="s">
        <v>418</v>
      </c>
      <c r="B311" s="55" t="s">
        <v>353</v>
      </c>
      <c r="C311" s="57">
        <v>105.61799999999999</v>
      </c>
      <c r="D311" s="57">
        <v>108.52200000000001</v>
      </c>
      <c r="E311" s="57">
        <v>106.145</v>
      </c>
      <c r="F311" s="57">
        <v>106.173</v>
      </c>
      <c r="G311" s="57">
        <v>109.336</v>
      </c>
      <c r="H311" s="57">
        <v>115.663</v>
      </c>
      <c r="I311" s="57">
        <v>125.60899999999999</v>
      </c>
      <c r="J311" s="57">
        <v>129.90100000000001</v>
      </c>
      <c r="K311" s="57">
        <v>107.292</v>
      </c>
      <c r="L311" s="57">
        <v>111.532</v>
      </c>
      <c r="M311" s="57">
        <v>115.93</v>
      </c>
      <c r="N311" s="57"/>
      <c r="O311" s="57"/>
      <c r="P311" s="57"/>
      <c r="Q311" s="57"/>
      <c r="R311" s="57"/>
      <c r="S311" s="57"/>
      <c r="T311" s="57"/>
      <c r="U311" s="57"/>
    </row>
    <row r="312" spans="1:21">
      <c r="A312" s="55" t="s">
        <v>418</v>
      </c>
      <c r="B312" s="55" t="s">
        <v>354</v>
      </c>
      <c r="C312" s="57">
        <v>99.168000000000006</v>
      </c>
      <c r="D312" s="57">
        <v>108.181</v>
      </c>
      <c r="E312" s="57">
        <v>110.42</v>
      </c>
      <c r="F312" s="57">
        <v>111.886</v>
      </c>
      <c r="G312" s="57">
        <v>106.87</v>
      </c>
      <c r="H312" s="57">
        <v>110.765</v>
      </c>
      <c r="I312" s="57">
        <v>105.264</v>
      </c>
      <c r="J312" s="57">
        <v>109.27500000000001</v>
      </c>
      <c r="K312" s="57">
        <v>111.97</v>
      </c>
      <c r="L312" s="57">
        <v>105.145</v>
      </c>
      <c r="M312" s="57">
        <v>102.65900000000001</v>
      </c>
      <c r="N312" s="57"/>
      <c r="O312" s="57"/>
      <c r="P312" s="57"/>
      <c r="Q312" s="57"/>
      <c r="R312" s="57"/>
      <c r="S312" s="57"/>
      <c r="T312" s="57"/>
      <c r="U312" s="57"/>
    </row>
    <row r="313" spans="1:21">
      <c r="A313" s="55" t="s">
        <v>418</v>
      </c>
      <c r="B313" s="55" t="s">
        <v>355</v>
      </c>
      <c r="C313" s="57">
        <v>31.111000000000001</v>
      </c>
      <c r="D313" s="57">
        <v>37.268000000000001</v>
      </c>
      <c r="E313" s="57">
        <v>34.712000000000003</v>
      </c>
      <c r="F313" s="57">
        <v>25.324000000000002</v>
      </c>
      <c r="G313" s="57">
        <v>27.635000000000002</v>
      </c>
      <c r="H313" s="57">
        <v>31.414000000000001</v>
      </c>
      <c r="I313" s="57">
        <v>42.396000000000001</v>
      </c>
      <c r="J313" s="57">
        <v>40.930999999999997</v>
      </c>
      <c r="K313" s="57">
        <v>35.335999999999999</v>
      </c>
      <c r="L313" s="57">
        <v>41.29</v>
      </c>
      <c r="M313" s="57">
        <v>52.457999999999998</v>
      </c>
      <c r="N313" s="57"/>
      <c r="O313" s="57"/>
      <c r="P313" s="57"/>
      <c r="Q313" s="57"/>
      <c r="R313" s="57"/>
      <c r="S313" s="57"/>
      <c r="T313" s="57"/>
      <c r="U313" s="57"/>
    </row>
    <row r="314" spans="1:21">
      <c r="A314" s="55" t="s">
        <v>418</v>
      </c>
      <c r="B314" s="55" t="s">
        <v>356</v>
      </c>
      <c r="C314" s="57">
        <v>79.619</v>
      </c>
      <c r="D314" s="57">
        <v>76.515000000000001</v>
      </c>
      <c r="E314" s="57">
        <v>77.492000000000004</v>
      </c>
      <c r="F314" s="57">
        <v>83.275000000000006</v>
      </c>
      <c r="G314" s="57">
        <v>81.733999999999995</v>
      </c>
      <c r="H314" s="57">
        <v>84.135999999999996</v>
      </c>
      <c r="I314" s="57">
        <v>84.328000000000003</v>
      </c>
      <c r="J314" s="57">
        <v>91.43</v>
      </c>
      <c r="K314" s="57">
        <v>88.644000000000005</v>
      </c>
      <c r="L314" s="57">
        <v>90.685000000000002</v>
      </c>
      <c r="M314" s="57">
        <v>94.305000000000007</v>
      </c>
      <c r="N314" s="57"/>
      <c r="O314" s="57"/>
      <c r="P314" s="57"/>
      <c r="Q314" s="57"/>
      <c r="R314" s="57"/>
      <c r="S314" s="57"/>
      <c r="T314" s="57"/>
      <c r="U314" s="57"/>
    </row>
    <row r="315" spans="1:21">
      <c r="A315" s="55" t="s">
        <v>418</v>
      </c>
      <c r="B315" s="55" t="s">
        <v>357</v>
      </c>
      <c r="C315" s="57">
        <v>54.177</v>
      </c>
      <c r="D315" s="57">
        <v>55.924999999999997</v>
      </c>
      <c r="E315" s="57">
        <v>61.987000000000002</v>
      </c>
      <c r="F315" s="57">
        <v>60.938000000000002</v>
      </c>
      <c r="G315" s="57">
        <v>63.552</v>
      </c>
      <c r="H315" s="57">
        <v>68.114999999999995</v>
      </c>
      <c r="I315" s="57">
        <v>74.763000000000005</v>
      </c>
      <c r="J315" s="57">
        <v>80.084000000000003</v>
      </c>
      <c r="K315" s="57">
        <v>78.843999999999994</v>
      </c>
      <c r="L315" s="57">
        <v>83.587000000000003</v>
      </c>
      <c r="M315" s="57">
        <v>89.498999999999995</v>
      </c>
      <c r="N315" s="57"/>
      <c r="O315" s="57"/>
      <c r="P315" s="57"/>
      <c r="Q315" s="57"/>
      <c r="R315" s="57"/>
      <c r="S315" s="57"/>
      <c r="T315" s="57"/>
      <c r="U315" s="57"/>
    </row>
    <row r="316" spans="1:21">
      <c r="A316" s="55" t="s">
        <v>418</v>
      </c>
      <c r="B316" s="55" t="s">
        <v>358</v>
      </c>
      <c r="C316" s="57">
        <v>39.192</v>
      </c>
      <c r="D316" s="57">
        <v>41.305999999999997</v>
      </c>
      <c r="E316" s="57">
        <v>43.307000000000002</v>
      </c>
      <c r="F316" s="57">
        <v>42.692</v>
      </c>
      <c r="G316" s="57">
        <v>44.438000000000002</v>
      </c>
      <c r="H316" s="57">
        <v>48.49</v>
      </c>
      <c r="I316" s="57">
        <v>49.957000000000001</v>
      </c>
      <c r="J316" s="57">
        <v>53.134</v>
      </c>
      <c r="K316" s="57">
        <v>52.901000000000003</v>
      </c>
      <c r="L316" s="57">
        <v>57.783000000000001</v>
      </c>
      <c r="M316" s="57">
        <v>64.067999999999998</v>
      </c>
      <c r="N316" s="57"/>
      <c r="O316" s="57"/>
      <c r="P316" s="57"/>
      <c r="Q316" s="57"/>
      <c r="R316" s="57"/>
      <c r="S316" s="57"/>
      <c r="T316" s="57"/>
      <c r="U316" s="57"/>
    </row>
    <row r="317" spans="1:21">
      <c r="A317" s="55" t="s">
        <v>418</v>
      </c>
      <c r="B317" s="55" t="s">
        <v>359</v>
      </c>
      <c r="C317" s="57">
        <v>46.1</v>
      </c>
      <c r="D317" s="57">
        <v>50.725999999999999</v>
      </c>
      <c r="E317" s="57">
        <v>52.972999999999999</v>
      </c>
      <c r="F317" s="57">
        <v>53.825000000000003</v>
      </c>
      <c r="G317" s="57">
        <v>53.661000000000001</v>
      </c>
      <c r="H317" s="57">
        <v>56.466999999999999</v>
      </c>
      <c r="I317" s="57">
        <v>59.225000000000001</v>
      </c>
      <c r="J317" s="57">
        <v>63.523000000000003</v>
      </c>
      <c r="K317" s="57">
        <v>66.713999999999999</v>
      </c>
      <c r="L317" s="57">
        <v>72.881</v>
      </c>
      <c r="M317" s="57">
        <v>79.185000000000002</v>
      </c>
      <c r="N317" s="57"/>
      <c r="O317" s="57"/>
      <c r="P317" s="57"/>
      <c r="Q317" s="57"/>
      <c r="R317" s="57"/>
      <c r="S317" s="57"/>
      <c r="T317" s="57"/>
      <c r="U317" s="57"/>
    </row>
    <row r="318" spans="1:21">
      <c r="A318" s="55" t="s">
        <v>418</v>
      </c>
      <c r="B318" s="55" t="s">
        <v>360</v>
      </c>
      <c r="C318" s="57">
        <v>48.988999999999997</v>
      </c>
      <c r="D318" s="57">
        <v>50.432000000000002</v>
      </c>
      <c r="E318" s="57">
        <v>52.396999999999998</v>
      </c>
      <c r="F318" s="57">
        <v>55.146999999999998</v>
      </c>
      <c r="G318" s="57">
        <v>57.664000000000001</v>
      </c>
      <c r="H318" s="57">
        <v>61.325000000000003</v>
      </c>
      <c r="I318" s="57">
        <v>64.042000000000002</v>
      </c>
      <c r="J318" s="57">
        <v>69.180000000000007</v>
      </c>
      <c r="K318" s="57">
        <v>71.236000000000004</v>
      </c>
      <c r="L318" s="57">
        <v>75.138000000000005</v>
      </c>
      <c r="M318" s="57">
        <v>79.006</v>
      </c>
      <c r="N318" s="57"/>
      <c r="O318" s="57"/>
      <c r="P318" s="57"/>
      <c r="Q318" s="57"/>
      <c r="R318" s="57"/>
      <c r="S318" s="57"/>
      <c r="T318" s="57"/>
      <c r="U318" s="57"/>
    </row>
    <row r="319" spans="1:21">
      <c r="A319" s="55" t="s">
        <v>418</v>
      </c>
      <c r="B319" s="55" t="s">
        <v>361</v>
      </c>
      <c r="C319" s="57">
        <v>34.069000000000003</v>
      </c>
      <c r="D319" s="57">
        <v>37.9</v>
      </c>
      <c r="E319" s="57">
        <v>40.61</v>
      </c>
      <c r="F319" s="57">
        <v>46.767000000000003</v>
      </c>
      <c r="G319" s="57">
        <v>44.511000000000003</v>
      </c>
      <c r="H319" s="57">
        <v>50.576000000000001</v>
      </c>
      <c r="I319" s="57">
        <v>52.692</v>
      </c>
      <c r="J319" s="57">
        <v>61.045000000000002</v>
      </c>
      <c r="K319" s="57">
        <v>64.534000000000006</v>
      </c>
      <c r="L319" s="57">
        <v>71.561000000000007</v>
      </c>
      <c r="M319" s="57">
        <v>77.251000000000005</v>
      </c>
      <c r="N319" s="57"/>
      <c r="O319" s="57"/>
      <c r="P319" s="57"/>
      <c r="Q319" s="57"/>
      <c r="R319" s="57"/>
      <c r="S319" s="57"/>
      <c r="T319" s="57"/>
      <c r="U319" s="57"/>
    </row>
    <row r="320" spans="1:21">
      <c r="A320" s="55" t="s">
        <v>418</v>
      </c>
      <c r="B320" s="55" t="s">
        <v>362</v>
      </c>
      <c r="C320" s="57">
        <v>76.462999999999994</v>
      </c>
      <c r="D320" s="57">
        <v>78.522999999999996</v>
      </c>
      <c r="E320" s="57">
        <v>73.274000000000001</v>
      </c>
      <c r="F320" s="57">
        <v>76.989999999999995</v>
      </c>
      <c r="G320" s="57">
        <v>87.287999999999997</v>
      </c>
      <c r="H320" s="57">
        <v>88.887</v>
      </c>
      <c r="I320" s="57">
        <v>88.881</v>
      </c>
      <c r="J320" s="57">
        <v>92.435000000000002</v>
      </c>
      <c r="K320" s="57">
        <v>93.938999999999993</v>
      </c>
      <c r="L320" s="57">
        <v>94.941999999999993</v>
      </c>
      <c r="M320" s="57">
        <v>89.427000000000007</v>
      </c>
      <c r="N320" s="57"/>
      <c r="O320" s="57"/>
      <c r="P320" s="57"/>
      <c r="Q320" s="57"/>
      <c r="R320" s="57"/>
      <c r="S320" s="57"/>
      <c r="T320" s="57"/>
      <c r="U320" s="57"/>
    </row>
    <row r="321" spans="1:21">
      <c r="A321" s="55" t="s">
        <v>418</v>
      </c>
      <c r="B321" s="55" t="s">
        <v>363</v>
      </c>
      <c r="C321" s="57">
        <v>49.584000000000003</v>
      </c>
      <c r="D321" s="57">
        <v>51.978999999999999</v>
      </c>
      <c r="E321" s="57">
        <v>57.831000000000003</v>
      </c>
      <c r="F321" s="57">
        <v>70.070999999999998</v>
      </c>
      <c r="G321" s="57">
        <v>76.102000000000004</v>
      </c>
      <c r="H321" s="57">
        <v>83.212000000000003</v>
      </c>
      <c r="I321" s="57">
        <v>87.408000000000001</v>
      </c>
      <c r="J321" s="57">
        <v>95.052000000000007</v>
      </c>
      <c r="K321" s="57">
        <v>92.382000000000005</v>
      </c>
      <c r="L321" s="57">
        <v>99.825999999999993</v>
      </c>
      <c r="M321" s="57">
        <v>107.98399999999999</v>
      </c>
      <c r="N321" s="57"/>
      <c r="O321" s="57"/>
      <c r="P321" s="57"/>
      <c r="Q321" s="57"/>
      <c r="R321" s="57"/>
      <c r="S321" s="57"/>
      <c r="T321" s="57"/>
      <c r="U321" s="57"/>
    </row>
    <row r="322" spans="1:21">
      <c r="A322" s="55" t="s">
        <v>418</v>
      </c>
      <c r="B322" s="55" t="s">
        <v>364</v>
      </c>
      <c r="C322" s="57">
        <v>47.24</v>
      </c>
      <c r="D322" s="57">
        <v>47.719000000000001</v>
      </c>
      <c r="E322" s="57">
        <v>49.869</v>
      </c>
      <c r="F322" s="57">
        <v>49.93</v>
      </c>
      <c r="G322" s="57">
        <v>53.634</v>
      </c>
      <c r="H322" s="57">
        <v>57.872999999999998</v>
      </c>
      <c r="I322" s="57">
        <v>61.624000000000002</v>
      </c>
      <c r="J322" s="57">
        <v>68.128</v>
      </c>
      <c r="K322" s="57">
        <v>70.522999999999996</v>
      </c>
      <c r="L322" s="57">
        <v>75.097999999999999</v>
      </c>
      <c r="M322" s="57">
        <v>79.47</v>
      </c>
      <c r="N322" s="57"/>
      <c r="O322" s="57"/>
      <c r="P322" s="57"/>
      <c r="Q322" s="57"/>
      <c r="R322" s="57"/>
      <c r="S322" s="57"/>
      <c r="T322" s="57"/>
      <c r="U322" s="57"/>
    </row>
    <row r="323" spans="1:21">
      <c r="A323" s="55" t="s">
        <v>418</v>
      </c>
      <c r="B323" s="55" t="s">
        <v>365</v>
      </c>
      <c r="C323" s="57">
        <v>61.777999999999999</v>
      </c>
      <c r="D323" s="57">
        <v>58.973999999999997</v>
      </c>
      <c r="E323" s="57">
        <v>64.573999999999998</v>
      </c>
      <c r="F323" s="57">
        <v>69.168999999999997</v>
      </c>
      <c r="G323" s="57">
        <v>64.832999999999998</v>
      </c>
      <c r="H323" s="57">
        <v>63.183999999999997</v>
      </c>
      <c r="I323" s="57">
        <v>67.641999999999996</v>
      </c>
      <c r="J323" s="57">
        <v>72.358999999999995</v>
      </c>
      <c r="K323" s="57">
        <v>74.25</v>
      </c>
      <c r="L323" s="57">
        <v>75.385999999999996</v>
      </c>
      <c r="M323" s="57">
        <v>86.55</v>
      </c>
      <c r="N323" s="57"/>
      <c r="O323" s="57"/>
      <c r="P323" s="57"/>
      <c r="Q323" s="57"/>
      <c r="R323" s="57"/>
      <c r="S323" s="57"/>
      <c r="T323" s="57"/>
      <c r="U323" s="57"/>
    </row>
    <row r="324" spans="1:21">
      <c r="A324" s="55" t="s">
        <v>418</v>
      </c>
      <c r="B324" s="55" t="s">
        <v>366</v>
      </c>
      <c r="C324" s="57">
        <v>58.691000000000003</v>
      </c>
      <c r="D324" s="57">
        <v>51.512</v>
      </c>
      <c r="E324" s="57">
        <v>60.179000000000002</v>
      </c>
      <c r="F324" s="57">
        <v>69.747</v>
      </c>
      <c r="G324" s="57">
        <v>67.795000000000002</v>
      </c>
      <c r="H324" s="57">
        <v>67.546000000000006</v>
      </c>
      <c r="I324" s="57">
        <v>62.701999999999998</v>
      </c>
      <c r="J324" s="57">
        <v>57.234999999999999</v>
      </c>
      <c r="K324" s="57">
        <v>66.069999999999993</v>
      </c>
      <c r="L324" s="57">
        <v>66.697000000000003</v>
      </c>
      <c r="M324" s="57">
        <v>61.715000000000003</v>
      </c>
      <c r="N324" s="57"/>
      <c r="O324" s="57"/>
      <c r="P324" s="57"/>
      <c r="Q324" s="57"/>
      <c r="R324" s="57"/>
      <c r="S324" s="57"/>
      <c r="T324" s="57"/>
      <c r="U324" s="57"/>
    </row>
    <row r="325" spans="1:21">
      <c r="A325" s="55" t="s">
        <v>418</v>
      </c>
      <c r="B325" s="55" t="s">
        <v>367</v>
      </c>
      <c r="C325" s="57">
        <v>55.735999999999997</v>
      </c>
      <c r="D325" s="57">
        <v>57.078000000000003</v>
      </c>
      <c r="E325" s="57">
        <v>58.947000000000003</v>
      </c>
      <c r="F325" s="57">
        <v>60.341999999999999</v>
      </c>
      <c r="G325" s="57">
        <v>64.828000000000003</v>
      </c>
      <c r="H325" s="57">
        <v>66.739000000000004</v>
      </c>
      <c r="I325" s="57">
        <v>69.813000000000002</v>
      </c>
      <c r="J325" s="57">
        <v>71.686999999999998</v>
      </c>
      <c r="K325" s="57">
        <v>70.664000000000001</v>
      </c>
      <c r="L325" s="57">
        <v>72.745000000000005</v>
      </c>
      <c r="M325" s="57">
        <v>74.87</v>
      </c>
      <c r="N325" s="57"/>
      <c r="O325" s="57"/>
      <c r="P325" s="57"/>
      <c r="Q325" s="57"/>
      <c r="R325" s="57"/>
      <c r="S325" s="57"/>
      <c r="T325" s="57"/>
      <c r="U325" s="57"/>
    </row>
    <row r="326" spans="1:21">
      <c r="A326" s="55" t="s">
        <v>418</v>
      </c>
      <c r="B326" s="55" t="s">
        <v>368</v>
      </c>
      <c r="C326" s="57">
        <v>40.804000000000002</v>
      </c>
      <c r="D326" s="57">
        <v>43.606000000000002</v>
      </c>
      <c r="E326" s="57">
        <v>44.325000000000003</v>
      </c>
      <c r="F326" s="57">
        <v>44.524999999999999</v>
      </c>
      <c r="G326" s="57">
        <v>47.23</v>
      </c>
      <c r="H326" s="57">
        <v>51.747</v>
      </c>
      <c r="I326" s="57">
        <v>54.929000000000002</v>
      </c>
      <c r="J326" s="57">
        <v>59.746000000000002</v>
      </c>
      <c r="K326" s="57">
        <v>63.615000000000002</v>
      </c>
      <c r="L326" s="57">
        <v>66.363</v>
      </c>
      <c r="M326" s="57">
        <v>73.652000000000001</v>
      </c>
      <c r="N326" s="57"/>
      <c r="O326" s="57"/>
      <c r="P326" s="57"/>
      <c r="Q326" s="57"/>
      <c r="R326" s="57"/>
      <c r="S326" s="57"/>
      <c r="T326" s="57"/>
      <c r="U326" s="57"/>
    </row>
    <row r="327" spans="1:21">
      <c r="A327" s="55" t="s">
        <v>418</v>
      </c>
      <c r="B327" s="55" t="s">
        <v>369</v>
      </c>
      <c r="C327" s="57">
        <v>37.356000000000002</v>
      </c>
      <c r="D327" s="57">
        <v>38.579000000000001</v>
      </c>
      <c r="E327" s="57">
        <v>41.287999999999997</v>
      </c>
      <c r="F327" s="57">
        <v>42.649000000000001</v>
      </c>
      <c r="G327" s="57">
        <v>43.057000000000002</v>
      </c>
      <c r="H327" s="57">
        <v>45.429000000000002</v>
      </c>
      <c r="I327" s="57">
        <v>47.837000000000003</v>
      </c>
      <c r="J327" s="57">
        <v>50.284999999999997</v>
      </c>
      <c r="K327" s="57">
        <v>52.033999999999999</v>
      </c>
      <c r="L327" s="57">
        <v>55.320999999999998</v>
      </c>
      <c r="M327" s="57">
        <v>56.402000000000001</v>
      </c>
      <c r="N327" s="57"/>
      <c r="O327" s="57"/>
      <c r="P327" s="57"/>
      <c r="Q327" s="57"/>
      <c r="R327" s="57"/>
      <c r="S327" s="57"/>
      <c r="T327" s="57"/>
      <c r="U327" s="57"/>
    </row>
    <row r="328" spans="1:21">
      <c r="A328" s="55" t="s">
        <v>418</v>
      </c>
      <c r="B328" s="55" t="s">
        <v>370</v>
      </c>
      <c r="C328" s="57">
        <v>34.573999999999998</v>
      </c>
      <c r="D328" s="57">
        <v>35.697000000000003</v>
      </c>
      <c r="E328" s="57">
        <v>38.847000000000001</v>
      </c>
      <c r="F328" s="57">
        <v>38.851999999999997</v>
      </c>
      <c r="G328" s="57">
        <v>37.771999999999998</v>
      </c>
      <c r="H328" s="57">
        <v>41.021000000000001</v>
      </c>
      <c r="I328" s="57">
        <v>42.164999999999999</v>
      </c>
      <c r="J328" s="57">
        <v>46.798999999999999</v>
      </c>
      <c r="K328" s="57">
        <v>48.154000000000003</v>
      </c>
      <c r="L328" s="57">
        <v>53.877000000000002</v>
      </c>
      <c r="M328" s="57">
        <v>60.826000000000001</v>
      </c>
      <c r="N328" s="57"/>
      <c r="O328" s="57"/>
      <c r="P328" s="57"/>
      <c r="Q328" s="57"/>
      <c r="R328" s="57"/>
      <c r="S328" s="57"/>
      <c r="T328" s="57"/>
      <c r="U328" s="57"/>
    </row>
    <row r="329" spans="1:21">
      <c r="A329" s="55" t="s">
        <v>418</v>
      </c>
      <c r="B329" s="55" t="s">
        <v>371</v>
      </c>
      <c r="C329" s="57">
        <v>62.74</v>
      </c>
      <c r="D329" s="57">
        <v>59.704000000000001</v>
      </c>
      <c r="E329" s="57">
        <v>68.867999999999995</v>
      </c>
      <c r="F329" s="57">
        <v>62.86</v>
      </c>
      <c r="G329" s="57">
        <v>58.957000000000001</v>
      </c>
      <c r="H329" s="57">
        <v>58.726999999999997</v>
      </c>
      <c r="I329" s="57">
        <v>65.997</v>
      </c>
      <c r="J329" s="57">
        <v>64.397999999999996</v>
      </c>
      <c r="K329" s="57">
        <v>70.781999999999996</v>
      </c>
      <c r="L329" s="57">
        <v>74.018000000000001</v>
      </c>
      <c r="M329" s="57">
        <v>75.572000000000003</v>
      </c>
      <c r="N329" s="57"/>
      <c r="O329" s="57"/>
      <c r="P329" s="57"/>
      <c r="Q329" s="57"/>
      <c r="R329" s="57"/>
      <c r="S329" s="57"/>
      <c r="T329" s="57"/>
      <c r="U329" s="57"/>
    </row>
    <row r="330" spans="1:21">
      <c r="A330" s="55" t="s">
        <v>418</v>
      </c>
      <c r="B330" s="55" t="s">
        <v>372</v>
      </c>
      <c r="C330" s="57">
        <v>35.274000000000001</v>
      </c>
      <c r="D330" s="57">
        <v>36.762999999999998</v>
      </c>
      <c r="E330" s="57">
        <v>38.807000000000002</v>
      </c>
      <c r="F330" s="57">
        <v>41.25</v>
      </c>
      <c r="G330" s="57">
        <v>42.731999999999999</v>
      </c>
      <c r="H330" s="57">
        <v>45.412999999999997</v>
      </c>
      <c r="I330" s="57">
        <v>47.981999999999999</v>
      </c>
      <c r="J330" s="57">
        <v>49.988999999999997</v>
      </c>
      <c r="K330" s="57">
        <v>51.692</v>
      </c>
      <c r="L330" s="57">
        <v>54.886000000000003</v>
      </c>
      <c r="M330" s="57">
        <v>54.35</v>
      </c>
      <c r="N330" s="57"/>
      <c r="O330" s="57"/>
      <c r="P330" s="57"/>
      <c r="Q330" s="57"/>
      <c r="R330" s="57"/>
      <c r="S330" s="57"/>
      <c r="T330" s="57"/>
      <c r="U330" s="57"/>
    </row>
    <row r="331" spans="1:21">
      <c r="A331" s="55" t="s">
        <v>418</v>
      </c>
      <c r="B331" s="55" t="s">
        <v>373</v>
      </c>
      <c r="C331" s="57">
        <v>47.575000000000003</v>
      </c>
      <c r="D331" s="57">
        <v>49.725999999999999</v>
      </c>
      <c r="E331" s="57">
        <v>51.744</v>
      </c>
      <c r="F331" s="57">
        <v>52.918999999999997</v>
      </c>
      <c r="G331" s="57">
        <v>51.151000000000003</v>
      </c>
      <c r="H331" s="57">
        <v>48.447000000000003</v>
      </c>
      <c r="I331" s="57">
        <v>48.890999999999998</v>
      </c>
      <c r="J331" s="57">
        <v>51.506</v>
      </c>
      <c r="K331" s="57">
        <v>50.212000000000003</v>
      </c>
      <c r="L331" s="57">
        <v>46.768000000000001</v>
      </c>
      <c r="M331" s="57">
        <v>43.933</v>
      </c>
      <c r="N331" s="57"/>
      <c r="O331" s="57"/>
      <c r="P331" s="57"/>
      <c r="Q331" s="57"/>
      <c r="R331" s="57"/>
      <c r="S331" s="57"/>
      <c r="T331" s="57"/>
      <c r="U331" s="57"/>
    </row>
    <row r="332" spans="1:21">
      <c r="A332" s="55" t="s">
        <v>418</v>
      </c>
      <c r="B332" s="55" t="s">
        <v>374</v>
      </c>
      <c r="C332" s="57">
        <v>56.56</v>
      </c>
      <c r="D332" s="57">
        <v>58.606999999999999</v>
      </c>
      <c r="E332" s="57">
        <v>60.088000000000001</v>
      </c>
      <c r="F332" s="57">
        <v>61.497</v>
      </c>
      <c r="G332" s="57">
        <v>62.438000000000002</v>
      </c>
      <c r="H332" s="57">
        <v>64.388000000000005</v>
      </c>
      <c r="I332" s="57">
        <v>66.268000000000001</v>
      </c>
      <c r="J332" s="57">
        <v>67.850999999999999</v>
      </c>
      <c r="K332" s="57">
        <v>69.614999999999995</v>
      </c>
      <c r="L332" s="57">
        <v>71.251000000000005</v>
      </c>
      <c r="M332" s="57">
        <v>74.418999999999997</v>
      </c>
      <c r="N332" s="57"/>
      <c r="O332" s="57"/>
      <c r="P332" s="57"/>
      <c r="Q332" s="57"/>
      <c r="R332" s="57"/>
      <c r="S332" s="57"/>
      <c r="T332" s="57"/>
      <c r="U332" s="57"/>
    </row>
    <row r="333" spans="1:21">
      <c r="A333" s="55" t="s">
        <v>418</v>
      </c>
      <c r="B333" s="55" t="s">
        <v>375</v>
      </c>
      <c r="C333" s="57">
        <v>50.954999999999998</v>
      </c>
      <c r="D333" s="57">
        <v>52.360999999999997</v>
      </c>
      <c r="E333" s="57">
        <v>53.161999999999999</v>
      </c>
      <c r="F333" s="57">
        <v>54.798000000000002</v>
      </c>
      <c r="G333" s="57">
        <v>56.47</v>
      </c>
      <c r="H333" s="57">
        <v>56.435000000000002</v>
      </c>
      <c r="I333" s="57">
        <v>58.465000000000003</v>
      </c>
      <c r="J333" s="57">
        <v>58.832000000000001</v>
      </c>
      <c r="K333" s="57">
        <v>59.771999999999998</v>
      </c>
      <c r="L333" s="57">
        <v>61.115000000000002</v>
      </c>
      <c r="M333" s="57">
        <v>64.37</v>
      </c>
      <c r="N333" s="57"/>
      <c r="O333" s="57"/>
      <c r="P333" s="57"/>
      <c r="Q333" s="57"/>
      <c r="R333" s="57"/>
      <c r="S333" s="57"/>
      <c r="T333" s="57"/>
      <c r="U333" s="57"/>
    </row>
    <row r="334" spans="1:21">
      <c r="A334" s="55" t="s">
        <v>418</v>
      </c>
      <c r="B334" s="55" t="s">
        <v>376</v>
      </c>
      <c r="C334" s="57">
        <v>69.724999999999994</v>
      </c>
      <c r="D334" s="57">
        <v>67.304000000000002</v>
      </c>
      <c r="E334" s="57">
        <v>69.489999999999995</v>
      </c>
      <c r="F334" s="57">
        <v>72.697000000000003</v>
      </c>
      <c r="G334" s="57">
        <v>72.89</v>
      </c>
      <c r="H334" s="57">
        <v>71.039000000000001</v>
      </c>
      <c r="I334" s="57">
        <v>73.525999999999996</v>
      </c>
      <c r="J334" s="57">
        <v>72.019000000000005</v>
      </c>
      <c r="K334" s="57">
        <v>68.992999999999995</v>
      </c>
      <c r="L334" s="57">
        <v>67.408000000000001</v>
      </c>
      <c r="M334" s="57">
        <v>66.185000000000002</v>
      </c>
      <c r="N334" s="57"/>
      <c r="O334" s="57"/>
      <c r="P334" s="57"/>
      <c r="Q334" s="57"/>
      <c r="R334" s="57"/>
      <c r="S334" s="57"/>
      <c r="T334" s="57"/>
      <c r="U334" s="57"/>
    </row>
    <row r="335" spans="1:21">
      <c r="A335" s="55" t="s">
        <v>418</v>
      </c>
      <c r="B335" s="55" t="s">
        <v>377</v>
      </c>
      <c r="C335" s="57">
        <v>12.36</v>
      </c>
      <c r="D335" s="57">
        <v>13.301</v>
      </c>
      <c r="E335" s="57">
        <v>13.709</v>
      </c>
      <c r="F335" s="57">
        <v>12.916</v>
      </c>
      <c r="G335" s="57">
        <v>14.013</v>
      </c>
      <c r="H335" s="57">
        <v>13.978999999999999</v>
      </c>
      <c r="I335" s="57">
        <v>18.259</v>
      </c>
      <c r="J335" s="57">
        <v>19.007999999999999</v>
      </c>
      <c r="K335" s="57">
        <v>22.997</v>
      </c>
      <c r="L335" s="57">
        <v>30.204999999999998</v>
      </c>
      <c r="M335" s="57">
        <v>39.481000000000002</v>
      </c>
      <c r="N335" s="57"/>
      <c r="O335" s="57"/>
      <c r="P335" s="57"/>
      <c r="Q335" s="57"/>
      <c r="R335" s="57"/>
      <c r="S335" s="57"/>
      <c r="T335" s="57"/>
      <c r="U335" s="57"/>
    </row>
    <row r="336" spans="1:21">
      <c r="A336" s="55" t="s">
        <v>418</v>
      </c>
      <c r="B336" s="55" t="s">
        <v>378</v>
      </c>
      <c r="C336" s="57">
        <v>68.126999999999995</v>
      </c>
      <c r="D336" s="57">
        <v>76.887</v>
      </c>
      <c r="E336" s="57">
        <v>75.938999999999993</v>
      </c>
      <c r="F336" s="57">
        <v>78.953999999999994</v>
      </c>
      <c r="G336" s="57">
        <v>83.082999999999998</v>
      </c>
      <c r="H336" s="57">
        <v>85.634</v>
      </c>
      <c r="I336" s="57">
        <v>81.057000000000002</v>
      </c>
      <c r="J336" s="57">
        <v>83.491</v>
      </c>
      <c r="K336" s="57">
        <v>85.08</v>
      </c>
      <c r="L336" s="57">
        <v>82.149000000000001</v>
      </c>
      <c r="M336" s="57">
        <v>84.13</v>
      </c>
      <c r="N336" s="57"/>
      <c r="O336" s="57"/>
      <c r="P336" s="57"/>
      <c r="Q336" s="57"/>
      <c r="R336" s="57"/>
      <c r="S336" s="57"/>
      <c r="T336" s="57"/>
      <c r="U336" s="57"/>
    </row>
    <row r="337" spans="1:21">
      <c r="A337" s="55" t="s">
        <v>418</v>
      </c>
      <c r="B337" s="55" t="s">
        <v>379</v>
      </c>
      <c r="C337" s="57">
        <v>34.643999999999998</v>
      </c>
      <c r="D337" s="57">
        <v>31.507000000000001</v>
      </c>
      <c r="E337" s="57">
        <v>30.085999999999999</v>
      </c>
      <c r="F337" s="57">
        <v>33.433</v>
      </c>
      <c r="G337" s="57">
        <v>34.012</v>
      </c>
      <c r="H337" s="57">
        <v>36.325000000000003</v>
      </c>
      <c r="I337" s="57">
        <v>40.51</v>
      </c>
      <c r="J337" s="57">
        <v>40.048000000000002</v>
      </c>
      <c r="K337" s="57">
        <v>42.472000000000001</v>
      </c>
      <c r="L337" s="57">
        <v>42.46</v>
      </c>
      <c r="M337" s="57">
        <v>41.7</v>
      </c>
      <c r="N337" s="57"/>
      <c r="O337" s="57"/>
      <c r="P337" s="57"/>
      <c r="Q337" s="57"/>
      <c r="R337" s="57"/>
      <c r="S337" s="57"/>
      <c r="T337" s="57"/>
      <c r="U337" s="57"/>
    </row>
    <row r="338" spans="1:21">
      <c r="A338" s="55" t="s">
        <v>418</v>
      </c>
      <c r="B338" s="55" t="s">
        <v>380</v>
      </c>
      <c r="C338" s="57">
        <v>60.478999999999999</v>
      </c>
      <c r="D338" s="57">
        <v>62.927</v>
      </c>
      <c r="E338" s="57">
        <v>64.825999999999993</v>
      </c>
      <c r="F338" s="57">
        <v>66.114000000000004</v>
      </c>
      <c r="G338" s="57">
        <v>66.620999999999995</v>
      </c>
      <c r="H338" s="57">
        <v>69.849000000000004</v>
      </c>
      <c r="I338" s="57">
        <v>71.637</v>
      </c>
      <c r="J338" s="57">
        <v>74.03</v>
      </c>
      <c r="K338" s="57">
        <v>76.352999999999994</v>
      </c>
      <c r="L338" s="57">
        <v>78.19</v>
      </c>
      <c r="M338" s="57">
        <v>81.284999999999997</v>
      </c>
      <c r="N338" s="57"/>
      <c r="O338" s="57"/>
      <c r="P338" s="57"/>
      <c r="Q338" s="57"/>
      <c r="R338" s="57"/>
      <c r="S338" s="57"/>
      <c r="T338" s="57"/>
      <c r="U338" s="57"/>
    </row>
    <row r="339" spans="1:21">
      <c r="A339" s="55" t="s">
        <v>418</v>
      </c>
      <c r="B339" s="55" t="s">
        <v>381</v>
      </c>
      <c r="C339" s="57">
        <v>62.207999999999998</v>
      </c>
      <c r="D339" s="57">
        <v>64.2</v>
      </c>
      <c r="E339" s="57">
        <v>66.070999999999998</v>
      </c>
      <c r="F339" s="57">
        <v>67.084000000000003</v>
      </c>
      <c r="G339" s="57">
        <v>67.968999999999994</v>
      </c>
      <c r="H339" s="57">
        <v>71.164000000000001</v>
      </c>
      <c r="I339" s="57">
        <v>72.816999999999993</v>
      </c>
      <c r="J339" s="57">
        <v>75.007999999999996</v>
      </c>
      <c r="K339" s="57">
        <v>77.254999999999995</v>
      </c>
      <c r="L339" s="57">
        <v>78.426000000000002</v>
      </c>
      <c r="M339" s="57">
        <v>81.286000000000001</v>
      </c>
      <c r="N339" s="57"/>
      <c r="O339" s="57"/>
      <c r="P339" s="57"/>
      <c r="Q339" s="57"/>
      <c r="R339" s="57"/>
      <c r="S339" s="57"/>
      <c r="T339" s="57"/>
      <c r="U339" s="57"/>
    </row>
    <row r="340" spans="1:21">
      <c r="A340" s="55" t="s">
        <v>418</v>
      </c>
      <c r="B340" s="55" t="s">
        <v>382</v>
      </c>
      <c r="C340" s="57">
        <v>47.113</v>
      </c>
      <c r="D340" s="57">
        <v>52.993000000000002</v>
      </c>
      <c r="E340" s="57">
        <v>55.1</v>
      </c>
      <c r="F340" s="57">
        <v>58.506999999999998</v>
      </c>
      <c r="G340" s="57">
        <v>56.057000000000002</v>
      </c>
      <c r="H340" s="57">
        <v>59.552999999999997</v>
      </c>
      <c r="I340" s="57">
        <v>62.44</v>
      </c>
      <c r="J340" s="57">
        <v>66.475999999999999</v>
      </c>
      <c r="K340" s="57">
        <v>69.435000000000002</v>
      </c>
      <c r="L340" s="57">
        <v>76.902000000000001</v>
      </c>
      <c r="M340" s="57">
        <v>82.063999999999993</v>
      </c>
      <c r="N340" s="57"/>
      <c r="O340" s="57"/>
      <c r="P340" s="57"/>
      <c r="Q340" s="57"/>
      <c r="R340" s="57"/>
      <c r="S340" s="57"/>
      <c r="T340" s="57"/>
      <c r="U340" s="57"/>
    </row>
    <row r="341" spans="1:21">
      <c r="A341" s="55" t="s">
        <v>418</v>
      </c>
      <c r="B341" s="55" t="s">
        <v>383</v>
      </c>
      <c r="C341" s="57">
        <v>51.537999999999997</v>
      </c>
      <c r="D341" s="57">
        <v>54.137999999999998</v>
      </c>
      <c r="E341" s="57">
        <v>57.634999999999998</v>
      </c>
      <c r="F341" s="57">
        <v>60.140999999999998</v>
      </c>
      <c r="G341" s="57">
        <v>58.045999999999999</v>
      </c>
      <c r="H341" s="57">
        <v>59.786999999999999</v>
      </c>
      <c r="I341" s="57">
        <v>61.281999999999996</v>
      </c>
      <c r="J341" s="57">
        <v>63.417999999999999</v>
      </c>
      <c r="K341" s="57">
        <v>65.656000000000006</v>
      </c>
      <c r="L341" s="57">
        <v>70.179000000000002</v>
      </c>
      <c r="M341" s="57">
        <v>75.051000000000002</v>
      </c>
      <c r="N341" s="57"/>
      <c r="O341" s="57"/>
      <c r="P341" s="57"/>
      <c r="Q341" s="57"/>
      <c r="R341" s="57"/>
      <c r="S341" s="57"/>
      <c r="T341" s="57"/>
      <c r="U341" s="57"/>
    </row>
    <row r="342" spans="1:21">
      <c r="A342" s="55" t="s">
        <v>418</v>
      </c>
      <c r="B342" s="55" t="s">
        <v>384</v>
      </c>
      <c r="C342" s="57">
        <v>49.46</v>
      </c>
      <c r="D342" s="57">
        <v>54.039000000000001</v>
      </c>
      <c r="E342" s="57">
        <v>57.744</v>
      </c>
      <c r="F342" s="57">
        <v>60.545000000000002</v>
      </c>
      <c r="G342" s="57">
        <v>58.613999999999997</v>
      </c>
      <c r="H342" s="57">
        <v>60.622</v>
      </c>
      <c r="I342" s="57">
        <v>61.707999999999998</v>
      </c>
      <c r="J342" s="57">
        <v>63.351999999999997</v>
      </c>
      <c r="K342" s="57">
        <v>64.652000000000001</v>
      </c>
      <c r="L342" s="57">
        <v>68.822000000000003</v>
      </c>
      <c r="M342" s="57">
        <v>73.102999999999994</v>
      </c>
      <c r="N342" s="57"/>
      <c r="O342" s="57"/>
      <c r="P342" s="57"/>
      <c r="Q342" s="57"/>
      <c r="R342" s="57"/>
      <c r="S342" s="57"/>
      <c r="T342" s="57"/>
      <c r="U342" s="57"/>
    </row>
    <row r="343" spans="1:21">
      <c r="A343" s="55" t="s">
        <v>418</v>
      </c>
      <c r="B343" s="55" t="s">
        <v>385</v>
      </c>
      <c r="C343" s="57">
        <v>73.016000000000005</v>
      </c>
      <c r="D343" s="57">
        <v>82.447999999999993</v>
      </c>
      <c r="E343" s="57">
        <v>84.194000000000003</v>
      </c>
      <c r="F343" s="57">
        <v>85.147999999999996</v>
      </c>
      <c r="G343" s="57">
        <v>82.406999999999996</v>
      </c>
      <c r="H343" s="57">
        <v>84.768000000000001</v>
      </c>
      <c r="I343" s="57">
        <v>82.317999999999998</v>
      </c>
      <c r="J343" s="57">
        <v>80.302000000000007</v>
      </c>
      <c r="K343" s="57">
        <v>79.072999999999993</v>
      </c>
      <c r="L343" s="57">
        <v>80.941999999999993</v>
      </c>
      <c r="M343" s="57">
        <v>80.933999999999997</v>
      </c>
      <c r="N343" s="57"/>
      <c r="O343" s="57"/>
      <c r="P343" s="57"/>
      <c r="Q343" s="57"/>
      <c r="R343" s="57"/>
      <c r="S343" s="57"/>
      <c r="T343" s="57"/>
      <c r="U343" s="57"/>
    </row>
    <row r="344" spans="1:21">
      <c r="A344" s="55" t="s">
        <v>418</v>
      </c>
      <c r="B344" s="55" t="s">
        <v>386</v>
      </c>
      <c r="C344" s="57">
        <v>21.138999999999999</v>
      </c>
      <c r="D344" s="57">
        <v>22.699000000000002</v>
      </c>
      <c r="E344" s="57">
        <v>25.32</v>
      </c>
      <c r="F344" s="57">
        <v>27.24</v>
      </c>
      <c r="G344" s="57">
        <v>27.957999999999998</v>
      </c>
      <c r="H344" s="57">
        <v>30.577000000000002</v>
      </c>
      <c r="I344" s="57">
        <v>33.353000000000002</v>
      </c>
      <c r="J344" s="57">
        <v>36.92</v>
      </c>
      <c r="K344" s="57">
        <v>39.048999999999999</v>
      </c>
      <c r="L344" s="57">
        <v>44.47</v>
      </c>
      <c r="M344" s="57">
        <v>53.112000000000002</v>
      </c>
      <c r="N344" s="57"/>
      <c r="O344" s="57"/>
      <c r="P344" s="57"/>
      <c r="Q344" s="57"/>
      <c r="R344" s="57"/>
      <c r="S344" s="57"/>
      <c r="T344" s="57"/>
      <c r="U344" s="57"/>
    </row>
    <row r="345" spans="1:21">
      <c r="A345" s="55" t="s">
        <v>418</v>
      </c>
      <c r="B345" s="55" t="s">
        <v>387</v>
      </c>
      <c r="C345" s="57">
        <v>50.847000000000001</v>
      </c>
      <c r="D345" s="57">
        <v>54.912999999999997</v>
      </c>
      <c r="E345" s="57">
        <v>59.448999999999998</v>
      </c>
      <c r="F345" s="57">
        <v>63.036999999999999</v>
      </c>
      <c r="G345" s="57">
        <v>60.49</v>
      </c>
      <c r="H345" s="57">
        <v>62.146999999999998</v>
      </c>
      <c r="I345" s="57">
        <v>63.780999999999999</v>
      </c>
      <c r="J345" s="57">
        <v>65.951999999999998</v>
      </c>
      <c r="K345" s="57">
        <v>67.774000000000001</v>
      </c>
      <c r="L345" s="57">
        <v>72.212000000000003</v>
      </c>
      <c r="M345" s="57">
        <v>76.343999999999994</v>
      </c>
      <c r="N345" s="57"/>
      <c r="O345" s="57"/>
      <c r="P345" s="57"/>
      <c r="Q345" s="57"/>
      <c r="R345" s="57"/>
      <c r="S345" s="57"/>
      <c r="T345" s="57"/>
      <c r="U345" s="57"/>
    </row>
    <row r="346" spans="1:21">
      <c r="A346" s="55" t="s">
        <v>418</v>
      </c>
      <c r="B346" s="55" t="s">
        <v>388</v>
      </c>
      <c r="C346" s="57">
        <v>82.930999999999997</v>
      </c>
      <c r="D346" s="57">
        <v>76.236000000000004</v>
      </c>
      <c r="E346" s="57">
        <v>78.352000000000004</v>
      </c>
      <c r="F346" s="57">
        <v>78.768000000000001</v>
      </c>
      <c r="G346" s="57">
        <v>75.195999999999998</v>
      </c>
      <c r="H346" s="57">
        <v>73.819999999999993</v>
      </c>
      <c r="I346" s="57">
        <v>76.290000000000006</v>
      </c>
      <c r="J346" s="57">
        <v>76.742000000000004</v>
      </c>
      <c r="K346" s="57">
        <v>78.784000000000006</v>
      </c>
      <c r="L346" s="57">
        <v>84</v>
      </c>
      <c r="M346" s="57">
        <v>91.418999999999997</v>
      </c>
      <c r="N346" s="57"/>
      <c r="O346" s="57"/>
      <c r="P346" s="57"/>
      <c r="Q346" s="57"/>
      <c r="R346" s="57"/>
      <c r="S346" s="57"/>
      <c r="T346" s="57"/>
      <c r="U346" s="57"/>
    </row>
    <row r="347" spans="1:21">
      <c r="A347" s="55" t="s">
        <v>418</v>
      </c>
      <c r="B347" s="55" t="s">
        <v>389</v>
      </c>
      <c r="C347" s="57">
        <v>41.415999999999997</v>
      </c>
      <c r="D347" s="57">
        <v>43.838999999999999</v>
      </c>
      <c r="E347" s="57">
        <v>47.433</v>
      </c>
      <c r="F347" s="57">
        <v>50.149000000000001</v>
      </c>
      <c r="G347" s="57">
        <v>48.366</v>
      </c>
      <c r="H347" s="57">
        <v>50.841000000000001</v>
      </c>
      <c r="I347" s="57">
        <v>52.774999999999999</v>
      </c>
      <c r="J347" s="57">
        <v>56.719000000000001</v>
      </c>
      <c r="K347" s="57">
        <v>61.116</v>
      </c>
      <c r="L347" s="57">
        <v>66.069000000000003</v>
      </c>
      <c r="M347" s="57">
        <v>71.069999999999993</v>
      </c>
      <c r="N347" s="57"/>
      <c r="O347" s="57"/>
      <c r="P347" s="57"/>
      <c r="Q347" s="57"/>
      <c r="R347" s="57"/>
      <c r="S347" s="57"/>
      <c r="T347" s="57"/>
      <c r="U347" s="57"/>
    </row>
    <row r="348" spans="1:21">
      <c r="A348" s="55" t="s">
        <v>418</v>
      </c>
      <c r="B348" s="55" t="s">
        <v>390</v>
      </c>
      <c r="C348" s="57">
        <v>39.652000000000001</v>
      </c>
      <c r="D348" s="57">
        <v>42.058</v>
      </c>
      <c r="E348" s="57">
        <v>45.654000000000003</v>
      </c>
      <c r="F348" s="57">
        <v>48.478999999999999</v>
      </c>
      <c r="G348" s="57">
        <v>46.671999999999997</v>
      </c>
      <c r="H348" s="57">
        <v>49.11</v>
      </c>
      <c r="I348" s="57">
        <v>50.972999999999999</v>
      </c>
      <c r="J348" s="57">
        <v>55.030999999999999</v>
      </c>
      <c r="K348" s="57">
        <v>59.664000000000001</v>
      </c>
      <c r="L348" s="57">
        <v>65.097999999999999</v>
      </c>
      <c r="M348" s="57">
        <v>70.561999999999998</v>
      </c>
      <c r="N348" s="57"/>
      <c r="O348" s="57"/>
      <c r="P348" s="57"/>
      <c r="Q348" s="57"/>
      <c r="R348" s="57"/>
      <c r="S348" s="57"/>
      <c r="T348" s="57"/>
      <c r="U348" s="57"/>
    </row>
    <row r="349" spans="1:21">
      <c r="A349" s="55" t="s">
        <v>418</v>
      </c>
      <c r="B349" s="55" t="s">
        <v>391</v>
      </c>
      <c r="C349" s="57">
        <v>57.997</v>
      </c>
      <c r="D349" s="57">
        <v>60.529000000000003</v>
      </c>
      <c r="E349" s="57">
        <v>64.06</v>
      </c>
      <c r="F349" s="57">
        <v>65.683999999999997</v>
      </c>
      <c r="G349" s="57">
        <v>64.156000000000006</v>
      </c>
      <c r="H349" s="57">
        <v>66.951999999999998</v>
      </c>
      <c r="I349" s="57">
        <v>69.561000000000007</v>
      </c>
      <c r="J349" s="57">
        <v>72.408000000000001</v>
      </c>
      <c r="K349" s="57">
        <v>74.611999999999995</v>
      </c>
      <c r="L349" s="57">
        <v>75.08</v>
      </c>
      <c r="M349" s="57">
        <v>75.7</v>
      </c>
      <c r="N349" s="57"/>
      <c r="O349" s="57"/>
      <c r="P349" s="57"/>
      <c r="Q349" s="57"/>
      <c r="R349" s="57"/>
      <c r="S349" s="57"/>
      <c r="T349" s="57"/>
      <c r="U349" s="57"/>
    </row>
    <row r="350" spans="1:21">
      <c r="A350" s="55" t="s">
        <v>418</v>
      </c>
      <c r="B350" s="55" t="s">
        <v>392</v>
      </c>
      <c r="C350" s="57">
        <v>67.638000000000005</v>
      </c>
      <c r="D350" s="57">
        <v>68.238</v>
      </c>
      <c r="E350" s="57">
        <v>70.866</v>
      </c>
      <c r="F350" s="57">
        <v>73.462999999999994</v>
      </c>
      <c r="G350" s="57">
        <v>75.173000000000002</v>
      </c>
      <c r="H350" s="57">
        <v>77.453000000000003</v>
      </c>
      <c r="I350" s="57">
        <v>77.727999999999994</v>
      </c>
      <c r="J350" s="57">
        <v>78.052000000000007</v>
      </c>
      <c r="K350" s="57">
        <v>79.293000000000006</v>
      </c>
      <c r="L350" s="57">
        <v>80.203999999999994</v>
      </c>
      <c r="M350" s="57">
        <v>81.558999999999997</v>
      </c>
      <c r="N350" s="57"/>
      <c r="O350" s="57"/>
      <c r="P350" s="57"/>
      <c r="Q350" s="57"/>
      <c r="R350" s="57"/>
      <c r="S350" s="57"/>
      <c r="T350" s="57"/>
      <c r="U350" s="57"/>
    </row>
    <row r="351" spans="1:21">
      <c r="A351" s="55" t="s">
        <v>418</v>
      </c>
      <c r="B351" s="55" t="s">
        <v>393</v>
      </c>
      <c r="C351" s="57">
        <v>70.096000000000004</v>
      </c>
      <c r="D351" s="57">
        <v>70.433000000000007</v>
      </c>
      <c r="E351" s="57">
        <v>72.367000000000004</v>
      </c>
      <c r="F351" s="57">
        <v>72.725999999999999</v>
      </c>
      <c r="G351" s="57">
        <v>75.847999999999999</v>
      </c>
      <c r="H351" s="57">
        <v>78.409000000000006</v>
      </c>
      <c r="I351" s="57">
        <v>80.587000000000003</v>
      </c>
      <c r="J351" s="57">
        <v>83.344999999999999</v>
      </c>
      <c r="K351" s="57">
        <v>86.222999999999999</v>
      </c>
      <c r="L351" s="57">
        <v>87.718000000000004</v>
      </c>
      <c r="M351" s="57">
        <v>90.391000000000005</v>
      </c>
      <c r="N351" s="57"/>
      <c r="O351" s="57"/>
      <c r="P351" s="57"/>
      <c r="Q351" s="57"/>
      <c r="R351" s="57"/>
      <c r="S351" s="57"/>
      <c r="T351" s="57"/>
      <c r="U351" s="57"/>
    </row>
    <row r="352" spans="1:21">
      <c r="A352" s="55" t="s">
        <v>418</v>
      </c>
      <c r="B352" s="55" t="s">
        <v>394</v>
      </c>
      <c r="C352" s="57">
        <v>67.188000000000002</v>
      </c>
      <c r="D352" s="57">
        <v>67.820999999999998</v>
      </c>
      <c r="E352" s="57">
        <v>70.531999999999996</v>
      </c>
      <c r="F352" s="57">
        <v>73.403999999999996</v>
      </c>
      <c r="G352" s="57">
        <v>74.936999999999998</v>
      </c>
      <c r="H352" s="57">
        <v>77.177999999999997</v>
      </c>
      <c r="I352" s="57">
        <v>77.227999999999994</v>
      </c>
      <c r="J352" s="57">
        <v>77.268000000000001</v>
      </c>
      <c r="K352" s="57">
        <v>78.317999999999998</v>
      </c>
      <c r="L352" s="57">
        <v>79.159000000000006</v>
      </c>
      <c r="M352" s="57">
        <v>80.355999999999995</v>
      </c>
      <c r="N352" s="57"/>
      <c r="O352" s="57"/>
      <c r="P352" s="57"/>
      <c r="Q352" s="57"/>
      <c r="R352" s="57"/>
      <c r="S352" s="57"/>
      <c r="T352" s="57"/>
      <c r="U352" s="57"/>
    </row>
    <row r="353" spans="1:21">
      <c r="A353" s="55" t="s">
        <v>418</v>
      </c>
      <c r="B353" s="55" t="s">
        <v>395</v>
      </c>
      <c r="C353" s="57">
        <v>62.341999999999999</v>
      </c>
      <c r="D353" s="57">
        <v>63.58</v>
      </c>
      <c r="E353" s="57">
        <v>66.3</v>
      </c>
      <c r="F353" s="57">
        <v>69.299000000000007</v>
      </c>
      <c r="G353" s="57">
        <v>71.007999999999996</v>
      </c>
      <c r="H353" s="57">
        <v>73.256</v>
      </c>
      <c r="I353" s="57">
        <v>72.637</v>
      </c>
      <c r="J353" s="57">
        <v>72.632000000000005</v>
      </c>
      <c r="K353" s="57">
        <v>73.581999999999994</v>
      </c>
      <c r="L353" s="57">
        <v>74.713999999999999</v>
      </c>
      <c r="M353" s="57">
        <v>75.370999999999995</v>
      </c>
      <c r="N353" s="57"/>
      <c r="O353" s="57"/>
      <c r="P353" s="57"/>
      <c r="Q353" s="57"/>
      <c r="R353" s="57"/>
      <c r="S353" s="57"/>
      <c r="T353" s="57"/>
      <c r="U353" s="57"/>
    </row>
    <row r="354" spans="1:21">
      <c r="A354" s="55" t="s">
        <v>418</v>
      </c>
      <c r="B354" s="55" t="s">
        <v>396</v>
      </c>
      <c r="C354" s="57">
        <v>77.87</v>
      </c>
      <c r="D354" s="57">
        <v>77.343999999999994</v>
      </c>
      <c r="E354" s="57">
        <v>79.736999999999995</v>
      </c>
      <c r="F354" s="57">
        <v>82.507999999999996</v>
      </c>
      <c r="G354" s="57">
        <v>84.042000000000002</v>
      </c>
      <c r="H354" s="57">
        <v>85.733999999999995</v>
      </c>
      <c r="I354" s="57">
        <v>86.093999999999994</v>
      </c>
      <c r="J354" s="57">
        <v>85.516999999999996</v>
      </c>
      <c r="K354" s="57">
        <v>86.447999999999993</v>
      </c>
      <c r="L354" s="57">
        <v>87.033000000000001</v>
      </c>
      <c r="M354" s="57">
        <v>87.686999999999998</v>
      </c>
      <c r="N354" s="57"/>
      <c r="O354" s="57"/>
      <c r="P354" s="57"/>
      <c r="Q354" s="57"/>
      <c r="R354" s="57"/>
      <c r="S354" s="57"/>
      <c r="T354" s="57"/>
      <c r="U354" s="57"/>
    </row>
    <row r="355" spans="1:21">
      <c r="A355" s="55" t="s">
        <v>418</v>
      </c>
      <c r="B355" s="55" t="s">
        <v>397</v>
      </c>
      <c r="C355" s="57">
        <v>46.034999999999997</v>
      </c>
      <c r="D355" s="57">
        <v>47.927</v>
      </c>
      <c r="E355" s="57">
        <v>51.756</v>
      </c>
      <c r="F355" s="57">
        <v>54.170999999999999</v>
      </c>
      <c r="G355" s="57">
        <v>54.587000000000003</v>
      </c>
      <c r="H355" s="57">
        <v>59.13</v>
      </c>
      <c r="I355" s="57">
        <v>61.835999999999999</v>
      </c>
      <c r="J355" s="57">
        <v>65.004000000000005</v>
      </c>
      <c r="K355" s="57">
        <v>67.204999999999998</v>
      </c>
      <c r="L355" s="57">
        <v>67.352999999999994</v>
      </c>
      <c r="M355" s="57">
        <v>74.453000000000003</v>
      </c>
      <c r="N355" s="57"/>
      <c r="O355" s="57"/>
      <c r="P355" s="57"/>
      <c r="Q355" s="57"/>
      <c r="R355" s="57"/>
      <c r="S355" s="57"/>
      <c r="T355" s="57"/>
      <c r="U355" s="57"/>
    </row>
    <row r="356" spans="1:21">
      <c r="A356" s="55" t="s">
        <v>418</v>
      </c>
      <c r="B356" s="55" t="s">
        <v>398</v>
      </c>
      <c r="C356" s="57">
        <v>59.082000000000001</v>
      </c>
      <c r="D356" s="57">
        <v>62.454000000000001</v>
      </c>
      <c r="E356" s="57">
        <v>64.700999999999993</v>
      </c>
      <c r="F356" s="57">
        <v>66.671000000000006</v>
      </c>
      <c r="G356" s="57">
        <v>64.813999999999993</v>
      </c>
      <c r="H356" s="57">
        <v>67.091999999999999</v>
      </c>
      <c r="I356" s="57">
        <v>69.165999999999997</v>
      </c>
      <c r="J356" s="57">
        <v>71.234999999999999</v>
      </c>
      <c r="K356" s="57">
        <v>73.63</v>
      </c>
      <c r="L356" s="57">
        <v>76.742000000000004</v>
      </c>
      <c r="M356" s="57">
        <v>80.224999999999994</v>
      </c>
      <c r="N356" s="57"/>
      <c r="O356" s="57"/>
      <c r="P356" s="57"/>
      <c r="Q356" s="57"/>
      <c r="R356" s="57"/>
      <c r="S356" s="57"/>
      <c r="T356" s="57"/>
      <c r="U356" s="57"/>
    </row>
    <row r="357" spans="1:21">
      <c r="A357" s="55" t="s">
        <v>418</v>
      </c>
      <c r="B357" s="55" t="s">
        <v>399</v>
      </c>
      <c r="C357" s="57">
        <v>52.207000000000001</v>
      </c>
      <c r="D357" s="57">
        <v>54.420999999999999</v>
      </c>
      <c r="E357" s="57">
        <v>60.377000000000002</v>
      </c>
      <c r="F357" s="57">
        <v>66.527000000000001</v>
      </c>
      <c r="G357" s="57">
        <v>65.656999999999996</v>
      </c>
      <c r="H357" s="57">
        <v>73.015000000000001</v>
      </c>
      <c r="I357" s="57">
        <v>73.474000000000004</v>
      </c>
      <c r="J357" s="57">
        <v>74.596999999999994</v>
      </c>
      <c r="K357" s="57">
        <v>78.78</v>
      </c>
      <c r="L357" s="57">
        <v>81.444999999999993</v>
      </c>
      <c r="M357" s="57">
        <v>88.837999999999994</v>
      </c>
      <c r="N357" s="57"/>
      <c r="O357" s="57"/>
      <c r="P357" s="57"/>
      <c r="Q357" s="57"/>
      <c r="R357" s="57"/>
      <c r="S357" s="57"/>
      <c r="T357" s="57"/>
      <c r="U357" s="57"/>
    </row>
    <row r="358" spans="1:21">
      <c r="A358" s="55" t="s">
        <v>418</v>
      </c>
      <c r="B358" s="55" t="s">
        <v>400</v>
      </c>
      <c r="C358" s="57">
        <v>49.371000000000002</v>
      </c>
      <c r="D358" s="57">
        <v>49.786000000000001</v>
      </c>
      <c r="E358" s="57">
        <v>53.164000000000001</v>
      </c>
      <c r="F358" s="57">
        <v>60.070999999999998</v>
      </c>
      <c r="G358" s="57">
        <v>59.588000000000001</v>
      </c>
      <c r="H358" s="57">
        <v>65.004000000000005</v>
      </c>
      <c r="I358" s="57">
        <v>69.004000000000005</v>
      </c>
      <c r="J358" s="57">
        <v>69.971000000000004</v>
      </c>
      <c r="K358" s="57">
        <v>73.200999999999993</v>
      </c>
      <c r="L358" s="57">
        <v>75.807000000000002</v>
      </c>
      <c r="M358" s="57">
        <v>80.399000000000001</v>
      </c>
      <c r="N358" s="57"/>
      <c r="O358" s="57"/>
      <c r="P358" s="57"/>
      <c r="Q358" s="57"/>
      <c r="R358" s="57"/>
      <c r="S358" s="57"/>
      <c r="T358" s="57"/>
      <c r="U358" s="57"/>
    </row>
    <row r="359" spans="1:21">
      <c r="A359" s="55" t="s">
        <v>418</v>
      </c>
      <c r="B359" s="55" t="s">
        <v>401</v>
      </c>
      <c r="C359" s="57">
        <v>55.438000000000002</v>
      </c>
      <c r="D359" s="57">
        <v>59.459000000000003</v>
      </c>
      <c r="E359" s="57">
        <v>68.087999999999994</v>
      </c>
      <c r="F359" s="57">
        <v>73.474000000000004</v>
      </c>
      <c r="G359" s="57">
        <v>72.197999999999993</v>
      </c>
      <c r="H359" s="57">
        <v>81.605000000000004</v>
      </c>
      <c r="I359" s="57">
        <v>78.427999999999997</v>
      </c>
      <c r="J359" s="57">
        <v>79.715000000000003</v>
      </c>
      <c r="K359" s="57">
        <v>84.9</v>
      </c>
      <c r="L359" s="57">
        <v>87.637</v>
      </c>
      <c r="M359" s="57">
        <v>98.004999999999995</v>
      </c>
      <c r="N359" s="57"/>
      <c r="O359" s="57"/>
      <c r="P359" s="57"/>
      <c r="Q359" s="57"/>
      <c r="R359" s="57"/>
      <c r="S359" s="57"/>
      <c r="T359" s="57"/>
      <c r="U359" s="57"/>
    </row>
    <row r="360" spans="1:21">
      <c r="A360" s="55" t="s">
        <v>418</v>
      </c>
      <c r="B360" s="55" t="s">
        <v>402</v>
      </c>
      <c r="C360" s="57">
        <v>61.207999999999998</v>
      </c>
      <c r="D360" s="57">
        <v>64.944000000000003</v>
      </c>
      <c r="E360" s="57">
        <v>66.025999999999996</v>
      </c>
      <c r="F360" s="57">
        <v>66.683999999999997</v>
      </c>
      <c r="G360" s="57">
        <v>64.519000000000005</v>
      </c>
      <c r="H360" s="57">
        <v>65.225999999999999</v>
      </c>
      <c r="I360" s="57">
        <v>67.798000000000002</v>
      </c>
      <c r="J360" s="57">
        <v>70.16</v>
      </c>
      <c r="K360" s="57">
        <v>71.991</v>
      </c>
      <c r="L360" s="57">
        <v>75.247</v>
      </c>
      <c r="M360" s="57">
        <v>77.480999999999995</v>
      </c>
      <c r="N360" s="57"/>
      <c r="O360" s="57"/>
      <c r="P360" s="57"/>
      <c r="Q360" s="57"/>
      <c r="R360" s="57"/>
      <c r="S360" s="57"/>
      <c r="T360" s="57"/>
      <c r="U360" s="57"/>
    </row>
    <row r="361" spans="1:21">
      <c r="A361" s="55" t="s">
        <v>418</v>
      </c>
      <c r="B361" s="55" t="s">
        <v>403</v>
      </c>
      <c r="C361" s="57">
        <v>62.454999999999998</v>
      </c>
      <c r="D361" s="57">
        <v>62.28</v>
      </c>
      <c r="E361" s="57">
        <v>64.006</v>
      </c>
      <c r="F361" s="57">
        <v>65.361999999999995</v>
      </c>
      <c r="G361" s="57">
        <v>64.195999999999998</v>
      </c>
      <c r="H361" s="57">
        <v>66.75</v>
      </c>
      <c r="I361" s="57">
        <v>68.748000000000005</v>
      </c>
      <c r="J361" s="57">
        <v>71.207999999999998</v>
      </c>
      <c r="K361" s="57">
        <v>75.31</v>
      </c>
      <c r="L361" s="57">
        <v>80.168999999999997</v>
      </c>
      <c r="M361" s="57">
        <v>80.355000000000004</v>
      </c>
      <c r="N361" s="57"/>
      <c r="O361" s="57"/>
      <c r="P361" s="57"/>
      <c r="Q361" s="57"/>
      <c r="R361" s="57"/>
      <c r="S361" s="57"/>
      <c r="T361" s="57"/>
      <c r="U361" s="57"/>
    </row>
    <row r="362" spans="1:21">
      <c r="A362" s="55" t="s">
        <v>418</v>
      </c>
      <c r="B362" s="55" t="s">
        <v>404</v>
      </c>
      <c r="C362" s="57">
        <v>60.604999999999997</v>
      </c>
      <c r="D362" s="57">
        <v>66</v>
      </c>
      <c r="E362" s="57">
        <v>66.802000000000007</v>
      </c>
      <c r="F362" s="57">
        <v>67.161000000000001</v>
      </c>
      <c r="G362" s="57">
        <v>64.576999999999998</v>
      </c>
      <c r="H362" s="57">
        <v>64.510999999999996</v>
      </c>
      <c r="I362" s="57">
        <v>67.320999999999998</v>
      </c>
      <c r="J362" s="57">
        <v>69.638999999999996</v>
      </c>
      <c r="K362" s="57">
        <v>70.497</v>
      </c>
      <c r="L362" s="57">
        <v>73.067999999999998</v>
      </c>
      <c r="M362" s="57">
        <v>76.19</v>
      </c>
      <c r="N362" s="57"/>
      <c r="O362" s="57"/>
      <c r="P362" s="57"/>
      <c r="Q362" s="57"/>
      <c r="R362" s="57"/>
      <c r="S362" s="57"/>
      <c r="T362" s="57"/>
      <c r="U362" s="57"/>
    </row>
    <row r="363" spans="1:21">
      <c r="A363" s="55" t="s">
        <v>418</v>
      </c>
      <c r="B363" s="55" t="s">
        <v>405</v>
      </c>
      <c r="C363" s="57">
        <v>83.864999999999995</v>
      </c>
      <c r="D363" s="57">
        <v>87.957999999999998</v>
      </c>
      <c r="E363" s="57">
        <v>91.972999999999999</v>
      </c>
      <c r="F363" s="57">
        <v>93.971000000000004</v>
      </c>
      <c r="G363" s="57">
        <v>91.233999999999995</v>
      </c>
      <c r="H363" s="57">
        <v>93.331000000000003</v>
      </c>
      <c r="I363" s="57">
        <v>96.563999999999993</v>
      </c>
      <c r="J363" s="57">
        <v>101.126</v>
      </c>
      <c r="K363" s="57">
        <v>103.01</v>
      </c>
      <c r="L363" s="57">
        <v>103.94</v>
      </c>
      <c r="M363" s="57">
        <v>102.67400000000001</v>
      </c>
      <c r="N363" s="57"/>
      <c r="O363" s="57"/>
      <c r="P363" s="57"/>
      <c r="Q363" s="57"/>
      <c r="R363" s="57"/>
      <c r="S363" s="57"/>
      <c r="T363" s="57"/>
      <c r="U363" s="57"/>
    </row>
    <row r="364" spans="1:21">
      <c r="A364" s="55" t="s">
        <v>418</v>
      </c>
      <c r="B364" s="55" t="s">
        <v>174</v>
      </c>
      <c r="C364" s="57">
        <v>82.215999999999994</v>
      </c>
      <c r="D364" s="57">
        <v>84.34</v>
      </c>
      <c r="E364" s="57">
        <v>86.397000000000006</v>
      </c>
      <c r="F364" s="57">
        <v>88.510999999999996</v>
      </c>
      <c r="G364" s="57">
        <v>88.991</v>
      </c>
      <c r="H364" s="57">
        <v>89.513000000000005</v>
      </c>
      <c r="I364" s="57">
        <v>89.512</v>
      </c>
      <c r="J364" s="57">
        <v>89.78</v>
      </c>
      <c r="K364" s="57">
        <v>89.718999999999994</v>
      </c>
      <c r="L364" s="57">
        <v>90.12</v>
      </c>
      <c r="M364" s="57">
        <v>91.100999999999999</v>
      </c>
      <c r="N364" s="57"/>
      <c r="O364" s="57"/>
      <c r="P364" s="57"/>
      <c r="Q364" s="57"/>
      <c r="R364" s="57"/>
      <c r="S364" s="57"/>
      <c r="T364" s="57"/>
      <c r="U364" s="57"/>
    </row>
    <row r="365" spans="1:21">
      <c r="A365" s="55" t="s">
        <v>418</v>
      </c>
      <c r="B365" s="55" t="s">
        <v>219</v>
      </c>
      <c r="C365" s="57">
        <v>102.83799999999999</v>
      </c>
      <c r="D365" s="57">
        <v>104.11499999999999</v>
      </c>
      <c r="E365" s="57">
        <v>105.551</v>
      </c>
      <c r="F365" s="57">
        <v>107.508</v>
      </c>
      <c r="G365" s="57">
        <v>107.616</v>
      </c>
      <c r="H365" s="57">
        <v>107.023</v>
      </c>
      <c r="I365" s="57">
        <v>104.748</v>
      </c>
      <c r="J365" s="57">
        <v>102.627</v>
      </c>
      <c r="K365" s="57">
        <v>98.29</v>
      </c>
      <c r="L365" s="57">
        <v>96.26</v>
      </c>
      <c r="M365" s="57">
        <v>95.632999999999996</v>
      </c>
      <c r="N365" s="57"/>
      <c r="O365" s="57"/>
      <c r="P365" s="57"/>
      <c r="Q365" s="57"/>
      <c r="R365" s="57"/>
      <c r="S365" s="57"/>
      <c r="T365" s="57"/>
      <c r="U365" s="57"/>
    </row>
    <row r="366" spans="1:21">
      <c r="A366" s="55" t="s">
        <v>418</v>
      </c>
      <c r="B366" s="55" t="s">
        <v>406</v>
      </c>
      <c r="C366" s="57">
        <v>105.666</v>
      </c>
      <c r="D366" s="57">
        <v>106.97499999999999</v>
      </c>
      <c r="E366" s="57">
        <v>108.29600000000001</v>
      </c>
      <c r="F366" s="57">
        <v>110.273</v>
      </c>
      <c r="G366" s="57">
        <v>110.938</v>
      </c>
      <c r="H366" s="57">
        <v>108.614</v>
      </c>
      <c r="I366" s="57">
        <v>106.53400000000001</v>
      </c>
      <c r="J366" s="57">
        <v>103.066</v>
      </c>
      <c r="K366" s="57">
        <v>99.174000000000007</v>
      </c>
      <c r="L366" s="57">
        <v>96.447000000000003</v>
      </c>
      <c r="M366" s="57">
        <v>94.63</v>
      </c>
      <c r="N366" s="57"/>
      <c r="O366" s="57"/>
      <c r="P366" s="57"/>
      <c r="Q366" s="57"/>
      <c r="R366" s="57"/>
      <c r="S366" s="57"/>
      <c r="T366" s="57"/>
      <c r="U366" s="57"/>
    </row>
    <row r="367" spans="1:21">
      <c r="A367" s="55" t="s">
        <v>418</v>
      </c>
      <c r="B367" s="55" t="s">
        <v>407</v>
      </c>
      <c r="C367" s="57">
        <v>89.436999999999998</v>
      </c>
      <c r="D367" s="57">
        <v>90.566999999999993</v>
      </c>
      <c r="E367" s="57">
        <v>92.647999999999996</v>
      </c>
      <c r="F367" s="57">
        <v>94.528999999999996</v>
      </c>
      <c r="G367" s="57">
        <v>91.745999999999995</v>
      </c>
      <c r="H367" s="57">
        <v>99.826999999999998</v>
      </c>
      <c r="I367" s="57">
        <v>96.522999999999996</v>
      </c>
      <c r="J367" s="57">
        <v>101.524</v>
      </c>
      <c r="K367" s="57">
        <v>94.807000000000002</v>
      </c>
      <c r="L367" s="57">
        <v>96.37</v>
      </c>
      <c r="M367" s="57">
        <v>102.164</v>
      </c>
      <c r="N367" s="57"/>
      <c r="O367" s="57"/>
      <c r="P367" s="57"/>
      <c r="Q367" s="57"/>
      <c r="R367" s="57"/>
      <c r="S367" s="57"/>
      <c r="T367" s="57"/>
      <c r="U367" s="57"/>
    </row>
    <row r="368" spans="1:21">
      <c r="A368" s="55" t="s">
        <v>418</v>
      </c>
      <c r="B368" s="55" t="s">
        <v>221</v>
      </c>
      <c r="C368" s="57">
        <v>73.001999999999995</v>
      </c>
      <c r="D368" s="57">
        <v>75.513999999999996</v>
      </c>
      <c r="E368" s="57">
        <v>77.856999999999999</v>
      </c>
      <c r="F368" s="57">
        <v>80.040999999999997</v>
      </c>
      <c r="G368" s="57">
        <v>80.685000000000002</v>
      </c>
      <c r="H368" s="57">
        <v>81.706000000000003</v>
      </c>
      <c r="I368" s="57">
        <v>82.72</v>
      </c>
      <c r="J368" s="57">
        <v>84.040999999999997</v>
      </c>
      <c r="K368" s="57">
        <v>85.876999999999995</v>
      </c>
      <c r="L368" s="57">
        <v>87.373999999999995</v>
      </c>
      <c r="M368" s="57">
        <v>89.082999999999998</v>
      </c>
      <c r="N368" s="57"/>
      <c r="O368" s="57"/>
      <c r="P368" s="57"/>
      <c r="Q368" s="57"/>
      <c r="R368" s="57"/>
      <c r="S368" s="57"/>
      <c r="T368" s="57"/>
      <c r="U368" s="57"/>
    </row>
    <row r="369" spans="1:21">
      <c r="A369" s="55" t="s">
        <v>418</v>
      </c>
      <c r="B369" s="55" t="s">
        <v>406</v>
      </c>
      <c r="C369" s="57">
        <v>72.063999999999993</v>
      </c>
      <c r="D369" s="57">
        <v>74.53</v>
      </c>
      <c r="E369" s="57">
        <v>76.816999999999993</v>
      </c>
      <c r="F369" s="57">
        <v>79.102999999999994</v>
      </c>
      <c r="G369" s="57">
        <v>80.120999999999995</v>
      </c>
      <c r="H369" s="57">
        <v>81.481999999999999</v>
      </c>
      <c r="I369" s="57">
        <v>82.603999999999999</v>
      </c>
      <c r="J369" s="57">
        <v>84.037000000000006</v>
      </c>
      <c r="K369" s="57">
        <v>85.706999999999994</v>
      </c>
      <c r="L369" s="57">
        <v>87.034999999999997</v>
      </c>
      <c r="M369" s="57">
        <v>88.759</v>
      </c>
      <c r="N369" s="57"/>
      <c r="O369" s="57"/>
      <c r="P369" s="57"/>
      <c r="Q369" s="57"/>
      <c r="R369" s="57"/>
      <c r="S369" s="57"/>
      <c r="T369" s="57"/>
      <c r="U369" s="57"/>
    </row>
    <row r="370" spans="1:21">
      <c r="A370" s="55" t="s">
        <v>418</v>
      </c>
      <c r="B370" s="55" t="s">
        <v>407</v>
      </c>
      <c r="C370" s="57">
        <v>84.096000000000004</v>
      </c>
      <c r="D370" s="57">
        <v>87.171000000000006</v>
      </c>
      <c r="E370" s="57">
        <v>90.194999999999993</v>
      </c>
      <c r="F370" s="57">
        <v>91.105999999999995</v>
      </c>
      <c r="G370" s="57">
        <v>87.227000000000004</v>
      </c>
      <c r="H370" s="57">
        <v>84.302000000000007</v>
      </c>
      <c r="I370" s="57">
        <v>84.108000000000004</v>
      </c>
      <c r="J370" s="57">
        <v>84.21</v>
      </c>
      <c r="K370" s="57">
        <v>87.853999999999999</v>
      </c>
      <c r="L370" s="57">
        <v>91.191000000000003</v>
      </c>
      <c r="M370" s="57">
        <v>92.745999999999995</v>
      </c>
      <c r="N370" s="57"/>
      <c r="O370" s="57"/>
      <c r="P370" s="57"/>
      <c r="Q370" s="57"/>
      <c r="R370" s="57"/>
      <c r="S370" s="57"/>
      <c r="T370" s="57"/>
      <c r="U370" s="57"/>
    </row>
    <row r="371" spans="1:21">
      <c r="A371" s="55" t="s">
        <v>418</v>
      </c>
      <c r="B371" s="55" t="s">
        <v>408</v>
      </c>
      <c r="C371" s="57">
        <v>62.183999999999997</v>
      </c>
      <c r="D371" s="57">
        <v>65.701999999999998</v>
      </c>
      <c r="E371" s="57">
        <v>66.909000000000006</v>
      </c>
      <c r="F371" s="57">
        <v>66.430999999999997</v>
      </c>
      <c r="G371" s="57">
        <v>64.989000000000004</v>
      </c>
      <c r="H371" s="57">
        <v>67.162999999999997</v>
      </c>
      <c r="I371" s="57">
        <v>68.816000000000003</v>
      </c>
      <c r="J371" s="57">
        <v>73.840999999999994</v>
      </c>
      <c r="K371" s="57">
        <v>75.400000000000006</v>
      </c>
      <c r="L371" s="57">
        <v>78.076999999999998</v>
      </c>
      <c r="M371" s="57">
        <v>82.21</v>
      </c>
      <c r="N371" s="57"/>
      <c r="O371" s="57"/>
      <c r="P371" s="57"/>
      <c r="Q371" s="57"/>
      <c r="R371" s="57"/>
      <c r="S371" s="57"/>
      <c r="T371" s="57"/>
      <c r="U371" s="57"/>
    </row>
    <row r="372" spans="1:21">
      <c r="A372" s="55" t="s">
        <v>418</v>
      </c>
      <c r="B372" s="55" t="s">
        <v>409</v>
      </c>
      <c r="C372" s="57">
        <v>53.341000000000001</v>
      </c>
      <c r="D372" s="57">
        <v>55.673000000000002</v>
      </c>
      <c r="E372" s="57">
        <v>58.155000000000001</v>
      </c>
      <c r="F372" s="57">
        <v>59.704000000000001</v>
      </c>
      <c r="G372" s="57">
        <v>60.06</v>
      </c>
      <c r="H372" s="57">
        <v>62.511000000000003</v>
      </c>
      <c r="I372" s="57">
        <v>64.308999999999997</v>
      </c>
      <c r="J372" s="57">
        <v>66.769000000000005</v>
      </c>
      <c r="K372" s="57">
        <v>68.566000000000003</v>
      </c>
      <c r="L372" s="57">
        <v>71.716999999999999</v>
      </c>
      <c r="M372" s="57">
        <v>75.281999999999996</v>
      </c>
      <c r="N372" s="57"/>
    </row>
    <row r="373" spans="1:21">
      <c r="A373" s="55" t="s">
        <v>418</v>
      </c>
      <c r="B373" s="55" t="s">
        <v>410</v>
      </c>
      <c r="C373" s="57">
        <v>10.601000000000001</v>
      </c>
      <c r="D373" s="57">
        <v>11.855</v>
      </c>
      <c r="E373" s="57">
        <v>12.856</v>
      </c>
      <c r="F373" s="57">
        <v>13.599</v>
      </c>
      <c r="G373" s="57">
        <v>13.891</v>
      </c>
      <c r="H373" s="57">
        <v>15.093</v>
      </c>
      <c r="I373" s="57">
        <v>16.440999999999999</v>
      </c>
      <c r="J373" s="57">
        <v>19.111999999999998</v>
      </c>
      <c r="K373" s="57">
        <v>23.111000000000001</v>
      </c>
      <c r="L373" s="57">
        <v>27.568000000000001</v>
      </c>
      <c r="M373" s="57">
        <v>33.417000000000002</v>
      </c>
    </row>
    <row r="374" spans="1:21">
      <c r="C374" s="57"/>
      <c r="D374" s="57"/>
      <c r="E374" s="57"/>
      <c r="F374" s="57"/>
      <c r="G374" s="57"/>
      <c r="H374" s="57"/>
      <c r="I374" s="57"/>
      <c r="J374" s="57"/>
      <c r="K374" s="57"/>
      <c r="L374" s="57"/>
      <c r="M374" s="57"/>
    </row>
    <row r="375" spans="1:21">
      <c r="A375" s="60" t="s">
        <v>419</v>
      </c>
      <c r="C375" s="57"/>
      <c r="D375" s="57"/>
      <c r="E375" s="57"/>
      <c r="F375" s="57"/>
      <c r="G375" s="57"/>
      <c r="H375" s="57"/>
      <c r="I375" s="57"/>
      <c r="J375" s="57"/>
      <c r="K375" s="57"/>
      <c r="L375" s="57"/>
      <c r="M375" s="57"/>
      <c r="O375" s="57"/>
      <c r="P375" s="57"/>
      <c r="Q375" s="57"/>
      <c r="R375" s="57"/>
      <c r="S375" s="57"/>
      <c r="T375" s="57"/>
      <c r="U375" s="57"/>
    </row>
    <row r="376" spans="1:21">
      <c r="A376" s="55" t="s">
        <v>420</v>
      </c>
      <c r="B376" s="55" t="s">
        <v>325</v>
      </c>
      <c r="C376" s="57">
        <v>64.819000000000003</v>
      </c>
      <c r="D376" s="57">
        <v>67.046000000000006</v>
      </c>
      <c r="E376" s="57">
        <v>69.576999999999998</v>
      </c>
      <c r="F376" s="57">
        <v>72.262</v>
      </c>
      <c r="G376" s="57">
        <v>74.823999999999998</v>
      </c>
      <c r="H376" s="57">
        <v>76.597999999999999</v>
      </c>
      <c r="I376" s="57">
        <v>78.290000000000006</v>
      </c>
      <c r="J376" s="57">
        <v>79.94</v>
      </c>
      <c r="K376" s="57">
        <v>81.605999999999995</v>
      </c>
      <c r="L376" s="57">
        <v>83.159000000000006</v>
      </c>
      <c r="M376" s="57">
        <v>84.628</v>
      </c>
      <c r="N376" s="57"/>
      <c r="O376" s="57"/>
      <c r="P376" s="57"/>
      <c r="Q376" s="57"/>
      <c r="R376" s="57"/>
      <c r="S376" s="57"/>
      <c r="T376" s="57"/>
      <c r="U376" s="57"/>
    </row>
    <row r="377" spans="1:21">
      <c r="A377" s="55" t="s">
        <v>420</v>
      </c>
      <c r="B377" s="55" t="s">
        <v>326</v>
      </c>
      <c r="C377" s="57">
        <v>66.704999999999998</v>
      </c>
      <c r="D377" s="57">
        <v>68.64</v>
      </c>
      <c r="E377" s="57">
        <v>71.231999999999999</v>
      </c>
      <c r="F377" s="57">
        <v>73.963999999999999</v>
      </c>
      <c r="G377" s="57">
        <v>76.150000000000006</v>
      </c>
      <c r="H377" s="57">
        <v>77.709999999999994</v>
      </c>
      <c r="I377" s="57">
        <v>79.700999999999993</v>
      </c>
      <c r="J377" s="57">
        <v>81.209000000000003</v>
      </c>
      <c r="K377" s="57">
        <v>83.08</v>
      </c>
      <c r="L377" s="57">
        <v>84.503</v>
      </c>
      <c r="M377" s="57">
        <v>85.733999999999995</v>
      </c>
      <c r="N377" s="57"/>
      <c r="O377" s="57"/>
      <c r="P377" s="57"/>
      <c r="Q377" s="57"/>
      <c r="R377" s="57"/>
      <c r="S377" s="57"/>
      <c r="T377" s="57"/>
      <c r="U377" s="57"/>
    </row>
    <row r="378" spans="1:21">
      <c r="A378" s="55" t="s">
        <v>420</v>
      </c>
      <c r="B378" s="55" t="s">
        <v>327</v>
      </c>
      <c r="C378" s="57">
        <v>109.193</v>
      </c>
      <c r="D378" s="57">
        <v>121.22</v>
      </c>
      <c r="E378" s="57">
        <v>126.985</v>
      </c>
      <c r="F378" s="57">
        <v>125.31399999999999</v>
      </c>
      <c r="G378" s="57">
        <v>114.324</v>
      </c>
      <c r="H378" s="57">
        <v>114.94</v>
      </c>
      <c r="I378" s="57">
        <v>120.851</v>
      </c>
      <c r="J378" s="57">
        <v>117.902</v>
      </c>
      <c r="K378" s="57">
        <v>120.613</v>
      </c>
      <c r="L378" s="57">
        <v>135.54599999999999</v>
      </c>
      <c r="M378" s="57">
        <v>119.09399999999999</v>
      </c>
      <c r="N378" s="57"/>
      <c r="O378" s="57"/>
      <c r="P378" s="57"/>
      <c r="Q378" s="57"/>
      <c r="R378" s="57"/>
      <c r="S378" s="57"/>
      <c r="T378" s="57"/>
      <c r="U378" s="57"/>
    </row>
    <row r="379" spans="1:21">
      <c r="A379" s="55" t="s">
        <v>420</v>
      </c>
      <c r="B379" s="55" t="s">
        <v>328</v>
      </c>
      <c r="C379" s="57">
        <v>119.937</v>
      </c>
      <c r="D379" s="57">
        <v>133.172</v>
      </c>
      <c r="E379" s="57">
        <v>141.08799999999999</v>
      </c>
      <c r="F379" s="57">
        <v>137.91499999999999</v>
      </c>
      <c r="G379" s="57">
        <v>124.002</v>
      </c>
      <c r="H379" s="57">
        <v>121.363</v>
      </c>
      <c r="I379" s="57">
        <v>123.38200000000001</v>
      </c>
      <c r="J379" s="57">
        <v>118.962</v>
      </c>
      <c r="K379" s="57">
        <v>122.60899999999999</v>
      </c>
      <c r="L379" s="57">
        <v>142.88800000000001</v>
      </c>
      <c r="M379" s="57">
        <v>121.29</v>
      </c>
      <c r="N379" s="57"/>
      <c r="O379" s="57"/>
      <c r="P379" s="57"/>
      <c r="Q379" s="57"/>
      <c r="R379" s="57"/>
      <c r="S379" s="57"/>
      <c r="T379" s="57"/>
      <c r="U379" s="57"/>
    </row>
    <row r="380" spans="1:21">
      <c r="A380" s="55" t="s">
        <v>420</v>
      </c>
      <c r="B380" s="55" t="s">
        <v>329</v>
      </c>
      <c r="C380" s="57">
        <v>72.984999999999999</v>
      </c>
      <c r="D380" s="57">
        <v>80.962000000000003</v>
      </c>
      <c r="E380" s="57">
        <v>81.236000000000004</v>
      </c>
      <c r="F380" s="57">
        <v>83.408000000000001</v>
      </c>
      <c r="G380" s="57">
        <v>80.762</v>
      </c>
      <c r="H380" s="57">
        <v>90.683999999999997</v>
      </c>
      <c r="I380" s="57">
        <v>108.955</v>
      </c>
      <c r="J380" s="57">
        <v>111.07599999999999</v>
      </c>
      <c r="K380" s="57">
        <v>110.729</v>
      </c>
      <c r="L380" s="57">
        <v>108.706</v>
      </c>
      <c r="M380" s="57">
        <v>110.919</v>
      </c>
      <c r="N380" s="57"/>
      <c r="O380" s="57"/>
      <c r="P380" s="57"/>
      <c r="Q380" s="57"/>
      <c r="R380" s="57"/>
      <c r="S380" s="57"/>
      <c r="T380" s="57"/>
      <c r="U380" s="57"/>
    </row>
    <row r="381" spans="1:21">
      <c r="A381" s="55" t="s">
        <v>420</v>
      </c>
      <c r="B381" s="55" t="s">
        <v>330</v>
      </c>
      <c r="C381" s="57">
        <v>31.056000000000001</v>
      </c>
      <c r="D381" s="57">
        <v>28.132999999999999</v>
      </c>
      <c r="E381" s="57">
        <v>30.885999999999999</v>
      </c>
      <c r="F381" s="57">
        <v>35.15</v>
      </c>
      <c r="G381" s="57">
        <v>31.056999999999999</v>
      </c>
      <c r="H381" s="57">
        <v>29.664999999999999</v>
      </c>
      <c r="I381" s="57">
        <v>29.51</v>
      </c>
      <c r="J381" s="57">
        <v>27.719000000000001</v>
      </c>
      <c r="K381" s="57">
        <v>27.812000000000001</v>
      </c>
      <c r="L381" s="57">
        <v>35.033999999999999</v>
      </c>
      <c r="M381" s="57">
        <v>35.722000000000001</v>
      </c>
      <c r="N381" s="57"/>
      <c r="O381" s="57"/>
      <c r="P381" s="57"/>
      <c r="Q381" s="57"/>
      <c r="R381" s="57"/>
      <c r="S381" s="57"/>
      <c r="T381" s="57"/>
      <c r="U381" s="57"/>
    </row>
    <row r="382" spans="1:21">
      <c r="A382" s="55" t="s">
        <v>420</v>
      </c>
      <c r="B382" s="55" t="s">
        <v>331</v>
      </c>
      <c r="C382" s="57">
        <v>16.852</v>
      </c>
      <c r="D382" s="57">
        <v>14.1</v>
      </c>
      <c r="E382" s="57">
        <v>16.395</v>
      </c>
      <c r="F382" s="57">
        <v>20.472000000000001</v>
      </c>
      <c r="G382" s="57">
        <v>16.881</v>
      </c>
      <c r="H382" s="57">
        <v>16.37</v>
      </c>
      <c r="I382" s="57">
        <v>16.899000000000001</v>
      </c>
      <c r="J382" s="57">
        <v>14.907999999999999</v>
      </c>
      <c r="K382" s="57">
        <v>14.638</v>
      </c>
      <c r="L382" s="57">
        <v>22.277999999999999</v>
      </c>
      <c r="M382" s="57">
        <v>22.202999999999999</v>
      </c>
      <c r="N382" s="57"/>
      <c r="O382" s="57"/>
      <c r="P382" s="57"/>
      <c r="Q382" s="57"/>
      <c r="R382" s="57"/>
      <c r="S382" s="57"/>
      <c r="T382" s="57"/>
      <c r="U382" s="57"/>
    </row>
    <row r="383" spans="1:21">
      <c r="A383" s="55" t="s">
        <v>420</v>
      </c>
      <c r="B383" s="55" t="s">
        <v>332</v>
      </c>
      <c r="C383" s="57">
        <v>98.691999999999993</v>
      </c>
      <c r="D383" s="57">
        <v>97.852999999999994</v>
      </c>
      <c r="E383" s="57">
        <v>97.317999999999998</v>
      </c>
      <c r="F383" s="57">
        <v>93.155000000000001</v>
      </c>
      <c r="G383" s="57">
        <v>87.951999999999998</v>
      </c>
      <c r="H383" s="57">
        <v>84.611000000000004</v>
      </c>
      <c r="I383" s="57">
        <v>76.850999999999999</v>
      </c>
      <c r="J383" s="57">
        <v>78.450999999999993</v>
      </c>
      <c r="K383" s="57">
        <v>79.308000000000007</v>
      </c>
      <c r="L383" s="57">
        <v>74.338999999999999</v>
      </c>
      <c r="M383" s="57">
        <v>72.159000000000006</v>
      </c>
      <c r="N383" s="57"/>
      <c r="O383" s="57"/>
      <c r="P383" s="57"/>
      <c r="Q383" s="57"/>
      <c r="R383" s="57"/>
      <c r="S383" s="57"/>
      <c r="T383" s="57"/>
      <c r="U383" s="57"/>
    </row>
    <row r="384" spans="1:21">
      <c r="A384" s="55" t="s">
        <v>420</v>
      </c>
      <c r="B384" s="55" t="s">
        <v>333</v>
      </c>
      <c r="C384" s="57">
        <v>31.172000000000001</v>
      </c>
      <c r="D384" s="57">
        <v>35.412999999999997</v>
      </c>
      <c r="E384" s="57">
        <v>37.304000000000002</v>
      </c>
      <c r="F384" s="57">
        <v>38.83</v>
      </c>
      <c r="G384" s="57">
        <v>42.087000000000003</v>
      </c>
      <c r="H384" s="57">
        <v>36.472000000000001</v>
      </c>
      <c r="I384" s="57">
        <v>38.506</v>
      </c>
      <c r="J384" s="57">
        <v>39.078000000000003</v>
      </c>
      <c r="K384" s="57">
        <v>42.524999999999999</v>
      </c>
      <c r="L384" s="57">
        <v>46.046999999999997</v>
      </c>
      <c r="M384" s="57">
        <v>58.709000000000003</v>
      </c>
      <c r="N384" s="57"/>
      <c r="O384" s="57"/>
      <c r="P384" s="57"/>
      <c r="Q384" s="57"/>
      <c r="R384" s="57"/>
      <c r="S384" s="57"/>
      <c r="T384" s="57"/>
      <c r="U384" s="57"/>
    </row>
    <row r="385" spans="1:21">
      <c r="A385" s="55" t="s">
        <v>420</v>
      </c>
      <c r="B385" s="55" t="s">
        <v>334</v>
      </c>
      <c r="C385" s="57">
        <v>73.837999999999994</v>
      </c>
      <c r="D385" s="57">
        <v>74.08</v>
      </c>
      <c r="E385" s="57">
        <v>74.213999999999999</v>
      </c>
      <c r="F385" s="57">
        <v>73.936000000000007</v>
      </c>
      <c r="G385" s="57">
        <v>77.165999999999997</v>
      </c>
      <c r="H385" s="57">
        <v>79.402000000000001</v>
      </c>
      <c r="I385" s="57">
        <v>82.727000000000004</v>
      </c>
      <c r="J385" s="57">
        <v>83.644999999999996</v>
      </c>
      <c r="K385" s="57">
        <v>82.977000000000004</v>
      </c>
      <c r="L385" s="57">
        <v>82.799000000000007</v>
      </c>
      <c r="M385" s="57">
        <v>84.975999999999999</v>
      </c>
      <c r="N385" s="57"/>
      <c r="O385" s="57"/>
      <c r="P385" s="57"/>
      <c r="Q385" s="57"/>
      <c r="R385" s="57"/>
      <c r="S385" s="57"/>
      <c r="T385" s="57"/>
      <c r="U385" s="57"/>
    </row>
    <row r="386" spans="1:21">
      <c r="A386" s="55" t="s">
        <v>420</v>
      </c>
      <c r="B386" s="55" t="s">
        <v>335</v>
      </c>
      <c r="C386" s="57">
        <v>43.334000000000003</v>
      </c>
      <c r="D386" s="57">
        <v>44.555999999999997</v>
      </c>
      <c r="E386" s="57">
        <v>45.648000000000003</v>
      </c>
      <c r="F386" s="57">
        <v>46.902000000000001</v>
      </c>
      <c r="G386" s="57">
        <v>47.506</v>
      </c>
      <c r="H386" s="57">
        <v>47.345999999999997</v>
      </c>
      <c r="I386" s="57">
        <v>49.457000000000001</v>
      </c>
      <c r="J386" s="57">
        <v>51.850999999999999</v>
      </c>
      <c r="K386" s="57">
        <v>54.447000000000003</v>
      </c>
      <c r="L386" s="57">
        <v>56.34</v>
      </c>
      <c r="M386" s="57">
        <v>59.481000000000002</v>
      </c>
      <c r="N386" s="57"/>
      <c r="O386" s="57"/>
      <c r="P386" s="57"/>
      <c r="Q386" s="57"/>
      <c r="R386" s="57"/>
      <c r="S386" s="57"/>
      <c r="T386" s="57"/>
      <c r="U386" s="57"/>
    </row>
    <row r="387" spans="1:21">
      <c r="A387" s="55" t="s">
        <v>420</v>
      </c>
      <c r="B387" s="55" t="s">
        <v>336</v>
      </c>
      <c r="C387" s="57">
        <v>95.635000000000005</v>
      </c>
      <c r="D387" s="57">
        <v>97.748999999999995</v>
      </c>
      <c r="E387" s="57">
        <v>102</v>
      </c>
      <c r="F387" s="57">
        <v>105.404</v>
      </c>
      <c r="G387" s="57">
        <v>107.90600000000001</v>
      </c>
      <c r="H387" s="57">
        <v>108.70699999999999</v>
      </c>
      <c r="I387" s="57">
        <v>108.85599999999999</v>
      </c>
      <c r="J387" s="57">
        <v>108.714</v>
      </c>
      <c r="K387" s="57">
        <v>109.374</v>
      </c>
      <c r="L387" s="57">
        <v>108.46299999999999</v>
      </c>
      <c r="M387" s="57">
        <v>108.14400000000001</v>
      </c>
      <c r="N387" s="57"/>
      <c r="O387" s="57"/>
      <c r="P387" s="57"/>
      <c r="Q387" s="57"/>
      <c r="R387" s="57"/>
      <c r="S387" s="57"/>
      <c r="T387" s="57"/>
      <c r="U387" s="57"/>
    </row>
    <row r="388" spans="1:21">
      <c r="A388" s="55" t="s">
        <v>420</v>
      </c>
      <c r="B388" s="55" t="s">
        <v>337</v>
      </c>
      <c r="C388" s="57">
        <v>131.50800000000001</v>
      </c>
      <c r="D388" s="57">
        <v>130.67400000000001</v>
      </c>
      <c r="E388" s="57">
        <v>134.50200000000001</v>
      </c>
      <c r="F388" s="57">
        <v>136.17099999999999</v>
      </c>
      <c r="G388" s="57">
        <v>139.46199999999999</v>
      </c>
      <c r="H388" s="57">
        <v>141.61099999999999</v>
      </c>
      <c r="I388" s="57">
        <v>142.63399999999999</v>
      </c>
      <c r="J388" s="57">
        <v>142.83000000000001</v>
      </c>
      <c r="K388" s="57">
        <v>137.72800000000001</v>
      </c>
      <c r="L388" s="57">
        <v>135.458</v>
      </c>
      <c r="M388" s="57">
        <v>132.83099999999999</v>
      </c>
      <c r="N388" s="57"/>
      <c r="O388" s="57"/>
      <c r="P388" s="57"/>
      <c r="Q388" s="57"/>
      <c r="R388" s="57"/>
      <c r="S388" s="57"/>
      <c r="T388" s="57"/>
      <c r="U388" s="57"/>
    </row>
    <row r="389" spans="1:21">
      <c r="A389" s="55" t="s">
        <v>420</v>
      </c>
      <c r="B389" s="55" t="s">
        <v>338</v>
      </c>
      <c r="C389" s="57">
        <v>51.615000000000002</v>
      </c>
      <c r="D389" s="57">
        <v>50.968000000000004</v>
      </c>
      <c r="E389" s="57">
        <v>53.177999999999997</v>
      </c>
      <c r="F389" s="57">
        <v>50.604999999999997</v>
      </c>
      <c r="G389" s="57">
        <v>52.231999999999999</v>
      </c>
      <c r="H389" s="57">
        <v>61.058</v>
      </c>
      <c r="I389" s="57">
        <v>76.715000000000003</v>
      </c>
      <c r="J389" s="57">
        <v>82.11</v>
      </c>
      <c r="K389" s="57">
        <v>77.466999999999999</v>
      </c>
      <c r="L389" s="57">
        <v>77.697000000000003</v>
      </c>
      <c r="M389" s="57">
        <v>84.015000000000001</v>
      </c>
      <c r="N389" s="57"/>
      <c r="O389" s="57"/>
      <c r="P389" s="57"/>
      <c r="Q389" s="57"/>
      <c r="R389" s="57"/>
      <c r="S389" s="57"/>
      <c r="T389" s="57"/>
      <c r="U389" s="57"/>
    </row>
    <row r="390" spans="1:21">
      <c r="A390" s="55" t="s">
        <v>420</v>
      </c>
      <c r="B390" s="55" t="s">
        <v>339</v>
      </c>
      <c r="C390" s="57">
        <v>72.724999999999994</v>
      </c>
      <c r="D390" s="57">
        <v>71.373999999999995</v>
      </c>
      <c r="E390" s="57">
        <v>71.662999999999997</v>
      </c>
      <c r="F390" s="57">
        <v>71.799000000000007</v>
      </c>
      <c r="G390" s="57">
        <v>73.798000000000002</v>
      </c>
      <c r="H390" s="57">
        <v>73.745999999999995</v>
      </c>
      <c r="I390" s="57">
        <v>75.768000000000001</v>
      </c>
      <c r="J390" s="57">
        <v>79.897999999999996</v>
      </c>
      <c r="K390" s="57">
        <v>83.795000000000002</v>
      </c>
      <c r="L390" s="57">
        <v>85.75</v>
      </c>
      <c r="M390" s="57">
        <v>87.512</v>
      </c>
      <c r="N390" s="57"/>
      <c r="O390" s="57"/>
      <c r="P390" s="57"/>
      <c r="Q390" s="57"/>
      <c r="R390" s="57"/>
      <c r="S390" s="57"/>
      <c r="T390" s="57"/>
      <c r="U390" s="57"/>
    </row>
    <row r="391" spans="1:21">
      <c r="A391" s="55" t="s">
        <v>420</v>
      </c>
      <c r="B391" s="55" t="s">
        <v>340</v>
      </c>
      <c r="C391" s="57">
        <v>68.688000000000002</v>
      </c>
      <c r="D391" s="57">
        <v>81.628</v>
      </c>
      <c r="E391" s="57">
        <v>85.665999999999997</v>
      </c>
      <c r="F391" s="57">
        <v>81.048000000000002</v>
      </c>
      <c r="G391" s="57">
        <v>74.097999999999999</v>
      </c>
      <c r="H391" s="57">
        <v>71.536000000000001</v>
      </c>
      <c r="I391" s="57">
        <v>70.423000000000002</v>
      </c>
      <c r="J391" s="57">
        <v>76.700999999999993</v>
      </c>
      <c r="K391" s="57">
        <v>89.778999999999996</v>
      </c>
      <c r="L391" s="57">
        <v>83.123000000000005</v>
      </c>
      <c r="M391" s="57">
        <v>84.025000000000006</v>
      </c>
      <c r="N391" s="57"/>
      <c r="O391" s="57"/>
      <c r="P391" s="57"/>
      <c r="Q391" s="57"/>
      <c r="R391" s="57"/>
      <c r="S391" s="57"/>
      <c r="T391" s="57"/>
      <c r="U391" s="57"/>
    </row>
    <row r="392" spans="1:21">
      <c r="A392" s="55" t="s">
        <v>420</v>
      </c>
      <c r="B392" s="55" t="s">
        <v>341</v>
      </c>
      <c r="C392" s="57">
        <v>67.994</v>
      </c>
      <c r="D392" s="57">
        <v>68.921000000000006</v>
      </c>
      <c r="E392" s="57">
        <v>73.477999999999994</v>
      </c>
      <c r="F392" s="57">
        <v>77.266999999999996</v>
      </c>
      <c r="G392" s="57">
        <v>80.632000000000005</v>
      </c>
      <c r="H392" s="57">
        <v>81.525999999999996</v>
      </c>
      <c r="I392" s="57">
        <v>82.221999999999994</v>
      </c>
      <c r="J392" s="57">
        <v>81.93</v>
      </c>
      <c r="K392" s="57">
        <v>83.372</v>
      </c>
      <c r="L392" s="57">
        <v>87.025999999999996</v>
      </c>
      <c r="M392" s="57">
        <v>88.819000000000003</v>
      </c>
      <c r="N392" s="57"/>
      <c r="O392" s="57"/>
      <c r="P392" s="57"/>
      <c r="Q392" s="57"/>
      <c r="R392" s="57"/>
      <c r="S392" s="57"/>
      <c r="T392" s="57"/>
      <c r="U392" s="57"/>
    </row>
    <row r="393" spans="1:21">
      <c r="A393" s="55" t="s">
        <v>420</v>
      </c>
      <c r="B393" s="55" t="s">
        <v>342</v>
      </c>
      <c r="C393" s="57">
        <v>68.509</v>
      </c>
      <c r="D393" s="57">
        <v>68.649000000000001</v>
      </c>
      <c r="E393" s="57">
        <v>72.106999999999999</v>
      </c>
      <c r="F393" s="57">
        <v>75.876000000000005</v>
      </c>
      <c r="G393" s="57">
        <v>79.820999999999998</v>
      </c>
      <c r="H393" s="57">
        <v>82.653999999999996</v>
      </c>
      <c r="I393" s="57">
        <v>84.715999999999994</v>
      </c>
      <c r="J393" s="57">
        <v>85.38</v>
      </c>
      <c r="K393" s="57">
        <v>85.596999999999994</v>
      </c>
      <c r="L393" s="57">
        <v>90.938999999999993</v>
      </c>
      <c r="M393" s="57">
        <v>94.436999999999998</v>
      </c>
      <c r="N393" s="57"/>
      <c r="O393" s="57"/>
      <c r="P393" s="57"/>
      <c r="Q393" s="57"/>
      <c r="R393" s="57"/>
      <c r="S393" s="57"/>
      <c r="T393" s="57"/>
      <c r="U393" s="57"/>
    </row>
    <row r="394" spans="1:21">
      <c r="A394" s="55" t="s">
        <v>420</v>
      </c>
      <c r="B394" s="55" t="s">
        <v>343</v>
      </c>
      <c r="C394" s="57">
        <v>1701.8889999999999</v>
      </c>
      <c r="D394" s="57">
        <v>1590.836</v>
      </c>
      <c r="E394" s="57">
        <v>1532.7909999999999</v>
      </c>
      <c r="F394" s="57">
        <v>1453.433</v>
      </c>
      <c r="G394" s="57">
        <v>1408.98</v>
      </c>
      <c r="H394" s="57">
        <v>1314.5050000000001</v>
      </c>
      <c r="I394" s="57">
        <v>1191.2819999999999</v>
      </c>
      <c r="J394" s="57">
        <v>1078.9960000000001</v>
      </c>
      <c r="K394" s="57">
        <v>853.84</v>
      </c>
      <c r="L394" s="57">
        <v>687.47799999999995</v>
      </c>
      <c r="M394" s="57">
        <v>576.65800000000002</v>
      </c>
      <c r="N394" s="57"/>
      <c r="O394" s="57"/>
      <c r="P394" s="57"/>
      <c r="Q394" s="57"/>
      <c r="R394" s="57"/>
      <c r="S394" s="57"/>
      <c r="T394" s="57"/>
      <c r="U394" s="57"/>
    </row>
    <row r="395" spans="1:21">
      <c r="A395" s="55" t="s">
        <v>420</v>
      </c>
      <c r="B395" s="55" t="s">
        <v>344</v>
      </c>
      <c r="C395" s="57">
        <v>81.691000000000003</v>
      </c>
      <c r="D395" s="57">
        <v>84.025000000000006</v>
      </c>
      <c r="E395" s="57">
        <v>89.942999999999998</v>
      </c>
      <c r="F395" s="57">
        <v>92.417000000000002</v>
      </c>
      <c r="G395" s="57">
        <v>93.881</v>
      </c>
      <c r="H395" s="57">
        <v>94.572999999999993</v>
      </c>
      <c r="I395" s="57">
        <v>95.236000000000004</v>
      </c>
      <c r="J395" s="57">
        <v>95.423000000000002</v>
      </c>
      <c r="K395" s="57">
        <v>95.525000000000006</v>
      </c>
      <c r="L395" s="57">
        <v>100.173</v>
      </c>
      <c r="M395" s="57">
        <v>101.735</v>
      </c>
      <c r="N395" s="57"/>
      <c r="O395" s="57"/>
      <c r="P395" s="57"/>
      <c r="Q395" s="57"/>
      <c r="R395" s="57"/>
      <c r="S395" s="57"/>
      <c r="T395" s="57"/>
      <c r="U395" s="57"/>
    </row>
    <row r="396" spans="1:21">
      <c r="A396" s="55" t="s">
        <v>420</v>
      </c>
      <c r="B396" s="55" t="s">
        <v>345</v>
      </c>
      <c r="C396" s="57">
        <v>96.581999999999994</v>
      </c>
      <c r="D396" s="57">
        <v>91.584999999999994</v>
      </c>
      <c r="E396" s="57">
        <v>93.340999999999994</v>
      </c>
      <c r="F396" s="57">
        <v>93.947999999999993</v>
      </c>
      <c r="G396" s="57">
        <v>101.93600000000001</v>
      </c>
      <c r="H396" s="57">
        <v>110.152</v>
      </c>
      <c r="I396" s="57">
        <v>116.1</v>
      </c>
      <c r="J396" s="57">
        <v>119.967</v>
      </c>
      <c r="K396" s="57">
        <v>116.191</v>
      </c>
      <c r="L396" s="57">
        <v>122.045</v>
      </c>
      <c r="M396" s="57">
        <v>121.36499999999999</v>
      </c>
      <c r="N396" s="57"/>
      <c r="O396" s="57"/>
      <c r="P396" s="57"/>
      <c r="Q396" s="57"/>
      <c r="R396" s="57"/>
      <c r="S396" s="57"/>
      <c r="T396" s="57"/>
      <c r="U396" s="57"/>
    </row>
    <row r="397" spans="1:21">
      <c r="A397" s="55" t="s">
        <v>420</v>
      </c>
      <c r="B397" s="55" t="s">
        <v>346</v>
      </c>
      <c r="C397" s="57">
        <v>53.771000000000001</v>
      </c>
      <c r="D397" s="57">
        <v>52.125</v>
      </c>
      <c r="E397" s="57">
        <v>54.005000000000003</v>
      </c>
      <c r="F397" s="57">
        <v>57.183</v>
      </c>
      <c r="G397" s="57">
        <v>60.530999999999999</v>
      </c>
      <c r="H397" s="57">
        <v>64.185000000000002</v>
      </c>
      <c r="I397" s="57">
        <v>66.001999999999995</v>
      </c>
      <c r="J397" s="57">
        <v>67.459000000000003</v>
      </c>
      <c r="K397" s="57">
        <v>69.27</v>
      </c>
      <c r="L397" s="57">
        <v>72.682000000000002</v>
      </c>
      <c r="M397" s="57">
        <v>74.837000000000003</v>
      </c>
      <c r="N397" s="57"/>
      <c r="O397" s="57"/>
      <c r="P397" s="57"/>
      <c r="Q397" s="57"/>
      <c r="R397" s="57"/>
      <c r="S397" s="57"/>
      <c r="T397" s="57"/>
      <c r="U397" s="57"/>
    </row>
    <row r="398" spans="1:21">
      <c r="A398" s="55" t="s">
        <v>420</v>
      </c>
      <c r="B398" s="55" t="s">
        <v>347</v>
      </c>
      <c r="C398" s="57">
        <v>64.600999999999999</v>
      </c>
      <c r="D398" s="57">
        <v>67.608999999999995</v>
      </c>
      <c r="E398" s="57">
        <v>70.334000000000003</v>
      </c>
      <c r="F398" s="57">
        <v>73.201999999999998</v>
      </c>
      <c r="G398" s="57">
        <v>75.915999999999997</v>
      </c>
      <c r="H398" s="57">
        <v>76.555999999999997</v>
      </c>
      <c r="I398" s="57">
        <v>76.992000000000004</v>
      </c>
      <c r="J398" s="57">
        <v>80.128</v>
      </c>
      <c r="K398" s="57">
        <v>82.378</v>
      </c>
      <c r="L398" s="57">
        <v>86.6</v>
      </c>
      <c r="M398" s="57">
        <v>88.356999999999999</v>
      </c>
      <c r="N398" s="57"/>
      <c r="O398" s="57"/>
      <c r="P398" s="57"/>
      <c r="Q398" s="57"/>
      <c r="R398" s="57"/>
      <c r="S398" s="57"/>
      <c r="T398" s="57"/>
      <c r="U398" s="57"/>
    </row>
    <row r="399" spans="1:21">
      <c r="A399" s="55" t="s">
        <v>420</v>
      </c>
      <c r="B399" s="55" t="s">
        <v>348</v>
      </c>
      <c r="C399" s="57">
        <v>74.007000000000005</v>
      </c>
      <c r="D399" s="57">
        <v>73.010999999999996</v>
      </c>
      <c r="E399" s="57">
        <v>75.775999999999996</v>
      </c>
      <c r="F399" s="57">
        <v>79.363</v>
      </c>
      <c r="G399" s="57">
        <v>83.08</v>
      </c>
      <c r="H399" s="57">
        <v>86.555000000000007</v>
      </c>
      <c r="I399" s="57">
        <v>89.257000000000005</v>
      </c>
      <c r="J399" s="57">
        <v>89.912999999999997</v>
      </c>
      <c r="K399" s="57">
        <v>88.097999999999999</v>
      </c>
      <c r="L399" s="57">
        <v>92.085999999999999</v>
      </c>
      <c r="M399" s="57">
        <v>93.762</v>
      </c>
      <c r="N399" s="57"/>
      <c r="O399" s="57"/>
      <c r="P399" s="57"/>
      <c r="Q399" s="57"/>
      <c r="R399" s="57"/>
      <c r="S399" s="57"/>
      <c r="T399" s="57"/>
      <c r="U399" s="57"/>
    </row>
    <row r="400" spans="1:21">
      <c r="A400" s="55" t="s">
        <v>420</v>
      </c>
      <c r="B400" s="55" t="s">
        <v>349</v>
      </c>
      <c r="C400" s="57">
        <v>61.381999999999998</v>
      </c>
      <c r="D400" s="57">
        <v>65.429000000000002</v>
      </c>
      <c r="E400" s="57">
        <v>69.662000000000006</v>
      </c>
      <c r="F400" s="57">
        <v>74.09</v>
      </c>
      <c r="G400" s="57">
        <v>75.805000000000007</v>
      </c>
      <c r="H400" s="57">
        <v>75.582999999999998</v>
      </c>
      <c r="I400" s="57">
        <v>75.11</v>
      </c>
      <c r="J400" s="57">
        <v>74.745000000000005</v>
      </c>
      <c r="K400" s="57">
        <v>79.682000000000002</v>
      </c>
      <c r="L400" s="57">
        <v>79.935000000000002</v>
      </c>
      <c r="M400" s="57">
        <v>81.600999999999999</v>
      </c>
      <c r="N400" s="57"/>
      <c r="O400" s="57"/>
      <c r="P400" s="57"/>
      <c r="Q400" s="57"/>
      <c r="R400" s="57"/>
      <c r="S400" s="57"/>
      <c r="T400" s="57"/>
      <c r="U400" s="57"/>
    </row>
    <row r="401" spans="1:21">
      <c r="A401" s="55" t="s">
        <v>420</v>
      </c>
      <c r="B401" s="55" t="s">
        <v>350</v>
      </c>
      <c r="C401" s="57">
        <v>58.98</v>
      </c>
      <c r="D401" s="57">
        <v>60.082999999999998</v>
      </c>
      <c r="E401" s="57">
        <v>64.831999999999994</v>
      </c>
      <c r="F401" s="57">
        <v>71.388000000000005</v>
      </c>
      <c r="G401" s="57">
        <v>75.906000000000006</v>
      </c>
      <c r="H401" s="57">
        <v>76.522999999999996</v>
      </c>
      <c r="I401" s="57">
        <v>76.331999999999994</v>
      </c>
      <c r="J401" s="57">
        <v>72.233999999999995</v>
      </c>
      <c r="K401" s="57">
        <v>70.346999999999994</v>
      </c>
      <c r="L401" s="57">
        <v>73.712000000000003</v>
      </c>
      <c r="M401" s="57">
        <v>79.102000000000004</v>
      </c>
      <c r="N401" s="57"/>
      <c r="O401" s="57"/>
      <c r="P401" s="57"/>
      <c r="Q401" s="57"/>
      <c r="R401" s="57"/>
      <c r="S401" s="57"/>
      <c r="T401" s="57"/>
      <c r="U401" s="57"/>
    </row>
    <row r="402" spans="1:21">
      <c r="A402" s="55" t="s">
        <v>420</v>
      </c>
      <c r="B402" s="55" t="s">
        <v>351</v>
      </c>
      <c r="C402" s="57">
        <v>95.137</v>
      </c>
      <c r="D402" s="57">
        <v>92.495999999999995</v>
      </c>
      <c r="E402" s="57">
        <v>93.06</v>
      </c>
      <c r="F402" s="57">
        <v>97.555000000000007</v>
      </c>
      <c r="G402" s="57">
        <v>99.358000000000004</v>
      </c>
      <c r="H402" s="57">
        <v>100.886</v>
      </c>
      <c r="I402" s="57">
        <v>98.643000000000001</v>
      </c>
      <c r="J402" s="57">
        <v>95.287999999999997</v>
      </c>
      <c r="K402" s="57">
        <v>92.617999999999995</v>
      </c>
      <c r="L402" s="57">
        <v>97.539000000000001</v>
      </c>
      <c r="M402" s="57">
        <v>99.344999999999999</v>
      </c>
      <c r="N402" s="57"/>
      <c r="O402" s="57"/>
      <c r="P402" s="57"/>
      <c r="Q402" s="57"/>
      <c r="R402" s="57"/>
      <c r="S402" s="57"/>
      <c r="T402" s="57"/>
      <c r="U402" s="57"/>
    </row>
    <row r="403" spans="1:21">
      <c r="A403" s="55" t="s">
        <v>420</v>
      </c>
      <c r="B403" s="55" t="s">
        <v>352</v>
      </c>
      <c r="C403" s="57">
        <v>91.213999999999999</v>
      </c>
      <c r="D403" s="57">
        <v>92.662999999999997</v>
      </c>
      <c r="E403" s="57">
        <v>95.043999999999997</v>
      </c>
      <c r="F403" s="57">
        <v>98.058000000000007</v>
      </c>
      <c r="G403" s="57">
        <v>100.751</v>
      </c>
      <c r="H403" s="57">
        <v>103.13200000000001</v>
      </c>
      <c r="I403" s="57">
        <v>104.905</v>
      </c>
      <c r="J403" s="57">
        <v>105.73399999999999</v>
      </c>
      <c r="K403" s="57">
        <v>103.732</v>
      </c>
      <c r="L403" s="57">
        <v>106.066</v>
      </c>
      <c r="M403" s="57">
        <v>108.56</v>
      </c>
      <c r="N403" s="57"/>
      <c r="O403" s="57"/>
      <c r="P403" s="57"/>
      <c r="Q403" s="57"/>
      <c r="R403" s="57"/>
      <c r="S403" s="57"/>
      <c r="T403" s="57"/>
      <c r="U403" s="57"/>
    </row>
    <row r="404" spans="1:21">
      <c r="A404" s="55" t="s">
        <v>420</v>
      </c>
      <c r="B404" s="55" t="s">
        <v>353</v>
      </c>
      <c r="C404" s="57">
        <v>68.141000000000005</v>
      </c>
      <c r="D404" s="57">
        <v>76.622</v>
      </c>
      <c r="E404" s="57">
        <v>82.692999999999998</v>
      </c>
      <c r="F404" s="57">
        <v>81.182000000000002</v>
      </c>
      <c r="G404" s="57">
        <v>77.679000000000002</v>
      </c>
      <c r="H404" s="57">
        <v>74.650999999999996</v>
      </c>
      <c r="I404" s="57">
        <v>70.715000000000003</v>
      </c>
      <c r="J404" s="57">
        <v>72.914000000000001</v>
      </c>
      <c r="K404" s="57">
        <v>105.875</v>
      </c>
      <c r="L404" s="57">
        <v>93.881</v>
      </c>
      <c r="M404" s="57">
        <v>85.754999999999995</v>
      </c>
      <c r="N404" s="57"/>
      <c r="O404" s="57"/>
      <c r="P404" s="57"/>
      <c r="Q404" s="57"/>
      <c r="R404" s="57"/>
      <c r="S404" s="57"/>
      <c r="T404" s="57"/>
      <c r="U404" s="57"/>
    </row>
    <row r="405" spans="1:21">
      <c r="A405" s="55" t="s">
        <v>420</v>
      </c>
      <c r="B405" s="55" t="s">
        <v>354</v>
      </c>
      <c r="C405" s="57">
        <v>70.085999999999999</v>
      </c>
      <c r="D405" s="57">
        <v>69.308000000000007</v>
      </c>
      <c r="E405" s="57">
        <v>72.123000000000005</v>
      </c>
      <c r="F405" s="57">
        <v>74.411000000000001</v>
      </c>
      <c r="G405" s="57">
        <v>77.701999999999998</v>
      </c>
      <c r="H405" s="57">
        <v>79.98</v>
      </c>
      <c r="I405" s="57">
        <v>84.457999999999998</v>
      </c>
      <c r="J405" s="57">
        <v>84.974999999999994</v>
      </c>
      <c r="K405" s="57">
        <v>84.260999999999996</v>
      </c>
      <c r="L405" s="57">
        <v>93.471999999999994</v>
      </c>
      <c r="M405" s="57">
        <v>96.341999999999999</v>
      </c>
      <c r="N405" s="57"/>
      <c r="O405" s="57"/>
      <c r="P405" s="57"/>
      <c r="Q405" s="57"/>
      <c r="R405" s="57"/>
      <c r="S405" s="57"/>
      <c r="T405" s="57"/>
      <c r="U405" s="57"/>
    </row>
    <row r="406" spans="1:21">
      <c r="A406" s="55" t="s">
        <v>420</v>
      </c>
      <c r="B406" s="55" t="s">
        <v>355</v>
      </c>
      <c r="C406" s="57">
        <v>43.749000000000002</v>
      </c>
      <c r="D406" s="57">
        <v>52.121000000000002</v>
      </c>
      <c r="E406" s="57">
        <v>58.936</v>
      </c>
      <c r="F406" s="57">
        <v>91.099000000000004</v>
      </c>
      <c r="G406" s="57">
        <v>79.822000000000003</v>
      </c>
      <c r="H406" s="57">
        <v>70.066000000000003</v>
      </c>
      <c r="I406" s="57">
        <v>61.064999999999998</v>
      </c>
      <c r="J406" s="57">
        <v>59.04</v>
      </c>
      <c r="K406" s="57">
        <v>62.655000000000001</v>
      </c>
      <c r="L406" s="57">
        <v>57.570999999999998</v>
      </c>
      <c r="M406" s="57">
        <v>59.69</v>
      </c>
      <c r="N406" s="57"/>
      <c r="O406" s="57"/>
      <c r="P406" s="57"/>
      <c r="Q406" s="57"/>
      <c r="R406" s="57"/>
      <c r="S406" s="57"/>
      <c r="T406" s="57"/>
      <c r="U406" s="57"/>
    </row>
    <row r="407" spans="1:21">
      <c r="A407" s="55" t="s">
        <v>420</v>
      </c>
      <c r="B407" s="55" t="s">
        <v>356</v>
      </c>
      <c r="C407" s="57">
        <v>56.084000000000003</v>
      </c>
      <c r="D407" s="57">
        <v>64.003</v>
      </c>
      <c r="E407" s="57">
        <v>69.168000000000006</v>
      </c>
      <c r="F407" s="57">
        <v>68.861999999999995</v>
      </c>
      <c r="G407" s="57">
        <v>72.558000000000007</v>
      </c>
      <c r="H407" s="57">
        <v>73.959999999999994</v>
      </c>
      <c r="I407" s="57">
        <v>75.801000000000002</v>
      </c>
      <c r="J407" s="57">
        <v>78.694999999999993</v>
      </c>
      <c r="K407" s="57">
        <v>86.08</v>
      </c>
      <c r="L407" s="57">
        <v>85.281000000000006</v>
      </c>
      <c r="M407" s="57">
        <v>87.259</v>
      </c>
      <c r="N407" s="57"/>
      <c r="O407" s="57"/>
      <c r="P407" s="57"/>
      <c r="Q407" s="57"/>
      <c r="R407" s="57"/>
      <c r="S407" s="57"/>
      <c r="T407" s="57"/>
      <c r="U407" s="57"/>
    </row>
    <row r="408" spans="1:21">
      <c r="A408" s="55" t="s">
        <v>420</v>
      </c>
      <c r="B408" s="55" t="s">
        <v>357</v>
      </c>
      <c r="C408" s="57">
        <v>90.266999999999996</v>
      </c>
      <c r="D408" s="57">
        <v>92.394999999999996</v>
      </c>
      <c r="E408" s="57">
        <v>92.677999999999997</v>
      </c>
      <c r="F408" s="57">
        <v>93.272000000000006</v>
      </c>
      <c r="G408" s="57">
        <v>94.968000000000004</v>
      </c>
      <c r="H408" s="57">
        <v>93.82</v>
      </c>
      <c r="I408" s="57">
        <v>93.671999999999997</v>
      </c>
      <c r="J408" s="57">
        <v>93.602000000000004</v>
      </c>
      <c r="K408" s="57">
        <v>96.954999999999998</v>
      </c>
      <c r="L408" s="57">
        <v>98.194999999999993</v>
      </c>
      <c r="M408" s="57">
        <v>97.117000000000004</v>
      </c>
      <c r="N408" s="57"/>
      <c r="O408" s="57"/>
      <c r="P408" s="57"/>
      <c r="Q408" s="57"/>
      <c r="R408" s="57"/>
      <c r="S408" s="57"/>
      <c r="T408" s="57"/>
      <c r="U408" s="57"/>
    </row>
    <row r="409" spans="1:21">
      <c r="A409" s="55" t="s">
        <v>420</v>
      </c>
      <c r="B409" s="55" t="s">
        <v>358</v>
      </c>
      <c r="C409" s="57">
        <v>100.431</v>
      </c>
      <c r="D409" s="57">
        <v>104.896</v>
      </c>
      <c r="E409" s="57">
        <v>106.849</v>
      </c>
      <c r="F409" s="57">
        <v>112.25</v>
      </c>
      <c r="G409" s="57">
        <v>112.47499999999999</v>
      </c>
      <c r="H409" s="57">
        <v>108.047</v>
      </c>
      <c r="I409" s="57">
        <v>111.06</v>
      </c>
      <c r="J409" s="57">
        <v>115.30200000000001</v>
      </c>
      <c r="K409" s="57">
        <v>119.902</v>
      </c>
      <c r="L409" s="57">
        <v>117.49</v>
      </c>
      <c r="M409" s="57">
        <v>112.917</v>
      </c>
      <c r="N409" s="57"/>
      <c r="O409" s="57"/>
      <c r="P409" s="57"/>
      <c r="Q409" s="57"/>
      <c r="R409" s="57"/>
      <c r="S409" s="57"/>
      <c r="T409" s="57"/>
      <c r="U409" s="57"/>
    </row>
    <row r="410" spans="1:21">
      <c r="A410" s="55" t="s">
        <v>420</v>
      </c>
      <c r="B410" s="55" t="s">
        <v>359</v>
      </c>
      <c r="C410" s="57">
        <v>89.537999999999997</v>
      </c>
      <c r="D410" s="57">
        <v>86.335999999999999</v>
      </c>
      <c r="E410" s="57">
        <v>88.061999999999998</v>
      </c>
      <c r="F410" s="57">
        <v>88.825999999999993</v>
      </c>
      <c r="G410" s="57">
        <v>90.754000000000005</v>
      </c>
      <c r="H410" s="57">
        <v>90.917000000000002</v>
      </c>
      <c r="I410" s="57">
        <v>93.317999999999998</v>
      </c>
      <c r="J410" s="57">
        <v>94.076999999999998</v>
      </c>
      <c r="K410" s="57">
        <v>93.962999999999994</v>
      </c>
      <c r="L410" s="57">
        <v>91.218000000000004</v>
      </c>
      <c r="M410" s="57">
        <v>88.938999999999993</v>
      </c>
      <c r="N410" s="57"/>
      <c r="O410" s="57"/>
      <c r="P410" s="57"/>
      <c r="Q410" s="57"/>
      <c r="R410" s="57"/>
      <c r="S410" s="57"/>
      <c r="T410" s="57"/>
      <c r="U410" s="57"/>
    </row>
    <row r="411" spans="1:21">
      <c r="A411" s="55" t="s">
        <v>420</v>
      </c>
      <c r="B411" s="55" t="s">
        <v>360</v>
      </c>
      <c r="C411" s="57">
        <v>84.278999999999996</v>
      </c>
      <c r="D411" s="57">
        <v>86.614000000000004</v>
      </c>
      <c r="E411" s="57">
        <v>85.891000000000005</v>
      </c>
      <c r="F411" s="57">
        <v>84.78</v>
      </c>
      <c r="G411" s="57">
        <v>85.561999999999998</v>
      </c>
      <c r="H411" s="57">
        <v>84.748999999999995</v>
      </c>
      <c r="I411" s="57">
        <v>87.23</v>
      </c>
      <c r="J411" s="57">
        <v>87.525000000000006</v>
      </c>
      <c r="K411" s="57">
        <v>88.039000000000001</v>
      </c>
      <c r="L411" s="57">
        <v>86.906999999999996</v>
      </c>
      <c r="M411" s="57">
        <v>89.668999999999997</v>
      </c>
      <c r="N411" s="57"/>
      <c r="O411" s="57"/>
      <c r="P411" s="57"/>
      <c r="Q411" s="57"/>
      <c r="R411" s="57"/>
      <c r="S411" s="57"/>
      <c r="T411" s="57"/>
      <c r="U411" s="57"/>
    </row>
    <row r="412" spans="1:21">
      <c r="A412" s="55" t="s">
        <v>420</v>
      </c>
      <c r="B412" s="55" t="s">
        <v>361</v>
      </c>
      <c r="C412" s="57">
        <v>127.764</v>
      </c>
      <c r="D412" s="57">
        <v>143.41900000000001</v>
      </c>
      <c r="E412" s="57">
        <v>134.58199999999999</v>
      </c>
      <c r="F412" s="57">
        <v>120.395</v>
      </c>
      <c r="G412" s="57">
        <v>130.93100000000001</v>
      </c>
      <c r="H412" s="57">
        <v>124.024</v>
      </c>
      <c r="I412" s="57">
        <v>134.82300000000001</v>
      </c>
      <c r="J412" s="57">
        <v>128.87</v>
      </c>
      <c r="K412" s="57">
        <v>128.523</v>
      </c>
      <c r="L412" s="57">
        <v>117.81</v>
      </c>
      <c r="M412" s="57">
        <v>124.718</v>
      </c>
      <c r="N412" s="57"/>
      <c r="O412" s="57"/>
      <c r="P412" s="57"/>
      <c r="Q412" s="57"/>
      <c r="R412" s="57"/>
      <c r="S412" s="57"/>
      <c r="T412" s="57"/>
      <c r="U412" s="57"/>
    </row>
    <row r="413" spans="1:21">
      <c r="A413" s="55" t="s">
        <v>420</v>
      </c>
      <c r="B413" s="55" t="s">
        <v>362</v>
      </c>
      <c r="C413" s="57">
        <v>100.54900000000001</v>
      </c>
      <c r="D413" s="57">
        <v>99.477000000000004</v>
      </c>
      <c r="E413" s="57">
        <v>94.347999999999999</v>
      </c>
      <c r="F413" s="57">
        <v>89.578999999999994</v>
      </c>
      <c r="G413" s="57">
        <v>86.046000000000006</v>
      </c>
      <c r="H413" s="57">
        <v>84.21</v>
      </c>
      <c r="I413" s="57">
        <v>84.813000000000002</v>
      </c>
      <c r="J413" s="57">
        <v>85.293999999999997</v>
      </c>
      <c r="K413" s="57">
        <v>83.212999999999994</v>
      </c>
      <c r="L413" s="57">
        <v>81.472999999999999</v>
      </c>
      <c r="M413" s="57">
        <v>81.844999999999999</v>
      </c>
      <c r="N413" s="57"/>
      <c r="O413" s="57"/>
      <c r="P413" s="57"/>
      <c r="Q413" s="57"/>
      <c r="R413" s="57"/>
      <c r="S413" s="57"/>
      <c r="T413" s="57"/>
      <c r="U413" s="57"/>
    </row>
    <row r="414" spans="1:21">
      <c r="A414" s="55" t="s">
        <v>420</v>
      </c>
      <c r="B414" s="55" t="s">
        <v>363</v>
      </c>
      <c r="C414" s="57">
        <v>95.31</v>
      </c>
      <c r="D414" s="57">
        <v>98.013000000000005</v>
      </c>
      <c r="E414" s="57">
        <v>91.155000000000001</v>
      </c>
      <c r="F414" s="57">
        <v>82.364000000000004</v>
      </c>
      <c r="G414" s="57">
        <v>85.171000000000006</v>
      </c>
      <c r="H414" s="57">
        <v>77.930999999999997</v>
      </c>
      <c r="I414" s="57">
        <v>77.138000000000005</v>
      </c>
      <c r="J414" s="57">
        <v>74.933999999999997</v>
      </c>
      <c r="K414" s="57">
        <v>77.218999999999994</v>
      </c>
      <c r="L414" s="57">
        <v>74.372</v>
      </c>
      <c r="M414" s="57">
        <v>72.584000000000003</v>
      </c>
      <c r="N414" s="57"/>
      <c r="O414" s="57"/>
      <c r="P414" s="57"/>
      <c r="Q414" s="57"/>
      <c r="R414" s="57"/>
      <c r="S414" s="57"/>
      <c r="T414" s="57"/>
      <c r="U414" s="57"/>
    </row>
    <row r="415" spans="1:21">
      <c r="A415" s="55" t="s">
        <v>420</v>
      </c>
      <c r="B415" s="55" t="s">
        <v>364</v>
      </c>
      <c r="C415" s="57">
        <v>78.965000000000003</v>
      </c>
      <c r="D415" s="57">
        <v>78.484999999999999</v>
      </c>
      <c r="E415" s="57">
        <v>80.69</v>
      </c>
      <c r="F415" s="57">
        <v>83.284999999999997</v>
      </c>
      <c r="G415" s="57">
        <v>80.332999999999998</v>
      </c>
      <c r="H415" s="57">
        <v>79.335999999999999</v>
      </c>
      <c r="I415" s="57">
        <v>80.677999999999997</v>
      </c>
      <c r="J415" s="57">
        <v>81.760999999999996</v>
      </c>
      <c r="K415" s="57">
        <v>82.164000000000001</v>
      </c>
      <c r="L415" s="57">
        <v>81.36</v>
      </c>
      <c r="M415" s="57">
        <v>84.528000000000006</v>
      </c>
      <c r="N415" s="57"/>
      <c r="O415" s="57"/>
      <c r="P415" s="57"/>
      <c r="Q415" s="57"/>
      <c r="R415" s="57"/>
      <c r="S415" s="57"/>
      <c r="T415" s="57"/>
      <c r="U415" s="57"/>
    </row>
    <row r="416" spans="1:21">
      <c r="A416" s="55" t="s">
        <v>420</v>
      </c>
      <c r="B416" s="55" t="s">
        <v>365</v>
      </c>
      <c r="C416" s="57">
        <v>57.094000000000001</v>
      </c>
      <c r="D416" s="57">
        <v>63.835000000000001</v>
      </c>
      <c r="E416" s="57">
        <v>60.902999999999999</v>
      </c>
      <c r="F416" s="57">
        <v>61.537999999999997</v>
      </c>
      <c r="G416" s="57">
        <v>69.98</v>
      </c>
      <c r="H416" s="57">
        <v>74.477999999999994</v>
      </c>
      <c r="I416" s="57">
        <v>73.869</v>
      </c>
      <c r="J416" s="57">
        <v>72.881</v>
      </c>
      <c r="K416" s="57">
        <v>75.147000000000006</v>
      </c>
      <c r="L416" s="57">
        <v>80.507999999999996</v>
      </c>
      <c r="M416" s="57">
        <v>80.927000000000007</v>
      </c>
      <c r="N416" s="57"/>
      <c r="O416" s="57"/>
      <c r="P416" s="57"/>
      <c r="Q416" s="57"/>
      <c r="R416" s="57"/>
      <c r="S416" s="57"/>
      <c r="T416" s="57"/>
      <c r="U416" s="57"/>
    </row>
    <row r="417" spans="1:21">
      <c r="A417" s="55" t="s">
        <v>420</v>
      </c>
      <c r="B417" s="55" t="s">
        <v>366</v>
      </c>
      <c r="C417" s="57">
        <v>102.928</v>
      </c>
      <c r="D417" s="57">
        <v>106.426</v>
      </c>
      <c r="E417" s="57">
        <v>95.388999999999996</v>
      </c>
      <c r="F417" s="57">
        <v>82.8</v>
      </c>
      <c r="G417" s="57">
        <v>86.180999999999997</v>
      </c>
      <c r="H417" s="57">
        <v>90.814999999999998</v>
      </c>
      <c r="I417" s="57">
        <v>102.804</v>
      </c>
      <c r="J417" s="57">
        <v>114.224</v>
      </c>
      <c r="K417" s="57">
        <v>97.900999999999996</v>
      </c>
      <c r="L417" s="57">
        <v>101.919</v>
      </c>
      <c r="M417" s="57">
        <v>111.785</v>
      </c>
      <c r="N417" s="57"/>
      <c r="O417" s="57"/>
      <c r="P417" s="57"/>
      <c r="Q417" s="57"/>
      <c r="R417" s="57"/>
      <c r="S417" s="57"/>
      <c r="T417" s="57"/>
      <c r="U417" s="57"/>
    </row>
    <row r="418" spans="1:21">
      <c r="A418" s="55" t="s">
        <v>420</v>
      </c>
      <c r="B418" s="55" t="s">
        <v>367</v>
      </c>
      <c r="C418" s="57">
        <v>66.3</v>
      </c>
      <c r="D418" s="57">
        <v>67.188000000000002</v>
      </c>
      <c r="E418" s="57">
        <v>69.495999999999995</v>
      </c>
      <c r="F418" s="57">
        <v>71.864000000000004</v>
      </c>
      <c r="G418" s="57">
        <v>72.275999999999996</v>
      </c>
      <c r="H418" s="57">
        <v>73.55</v>
      </c>
      <c r="I418" s="57">
        <v>74.590999999999994</v>
      </c>
      <c r="J418" s="57">
        <v>76.412000000000006</v>
      </c>
      <c r="K418" s="57">
        <v>79.281000000000006</v>
      </c>
      <c r="L418" s="57">
        <v>81.125</v>
      </c>
      <c r="M418" s="57">
        <v>82.98</v>
      </c>
      <c r="N418" s="57"/>
      <c r="O418" s="57"/>
      <c r="P418" s="57"/>
      <c r="Q418" s="57"/>
      <c r="R418" s="57"/>
      <c r="S418" s="57"/>
      <c r="T418" s="57"/>
      <c r="U418" s="57"/>
    </row>
    <row r="419" spans="1:21">
      <c r="A419" s="55" t="s">
        <v>420</v>
      </c>
      <c r="B419" s="55" t="s">
        <v>368</v>
      </c>
      <c r="C419" s="57">
        <v>77.727000000000004</v>
      </c>
      <c r="D419" s="57">
        <v>77.808000000000007</v>
      </c>
      <c r="E419" s="57">
        <v>80.585999999999999</v>
      </c>
      <c r="F419" s="57">
        <v>84.149000000000001</v>
      </c>
      <c r="G419" s="57">
        <v>82.307000000000002</v>
      </c>
      <c r="H419" s="57">
        <v>81.944000000000003</v>
      </c>
      <c r="I419" s="57">
        <v>83.167000000000002</v>
      </c>
      <c r="J419" s="57">
        <v>83.533000000000001</v>
      </c>
      <c r="K419" s="57">
        <v>84.736000000000004</v>
      </c>
      <c r="L419" s="57">
        <v>84.891999999999996</v>
      </c>
      <c r="M419" s="57">
        <v>85.561000000000007</v>
      </c>
      <c r="N419" s="57"/>
      <c r="O419" s="57"/>
      <c r="P419" s="57"/>
      <c r="Q419" s="57"/>
      <c r="R419" s="57"/>
      <c r="S419" s="57"/>
      <c r="T419" s="57"/>
      <c r="U419" s="57"/>
    </row>
    <row r="420" spans="1:21">
      <c r="A420" s="55" t="s">
        <v>420</v>
      </c>
      <c r="B420" s="55" t="s">
        <v>369</v>
      </c>
      <c r="C420" s="57">
        <v>90.125</v>
      </c>
      <c r="D420" s="57">
        <v>90.802999999999997</v>
      </c>
      <c r="E420" s="57">
        <v>91.83</v>
      </c>
      <c r="F420" s="57">
        <v>94.192999999999998</v>
      </c>
      <c r="G420" s="57">
        <v>96.763000000000005</v>
      </c>
      <c r="H420" s="57">
        <v>97.787999999999997</v>
      </c>
      <c r="I420" s="57">
        <v>99.679000000000002</v>
      </c>
      <c r="J420" s="57">
        <v>101.541</v>
      </c>
      <c r="K420" s="57">
        <v>102.08799999999999</v>
      </c>
      <c r="L420" s="57">
        <v>104.373</v>
      </c>
      <c r="M420" s="57">
        <v>105.617</v>
      </c>
      <c r="N420" s="57"/>
      <c r="O420" s="57"/>
      <c r="P420" s="57"/>
      <c r="Q420" s="57"/>
      <c r="R420" s="57"/>
      <c r="S420" s="57"/>
      <c r="T420" s="57"/>
      <c r="U420" s="57"/>
    </row>
    <row r="421" spans="1:21">
      <c r="A421" s="55" t="s">
        <v>420</v>
      </c>
      <c r="B421" s="55" t="s">
        <v>370</v>
      </c>
      <c r="C421" s="57">
        <v>79.11</v>
      </c>
      <c r="D421" s="57">
        <v>80.781000000000006</v>
      </c>
      <c r="E421" s="57">
        <v>81.197999999999993</v>
      </c>
      <c r="F421" s="57">
        <v>83.683999999999997</v>
      </c>
      <c r="G421" s="57">
        <v>89.747</v>
      </c>
      <c r="H421" s="57">
        <v>88.522999999999996</v>
      </c>
      <c r="I421" s="57">
        <v>90.450999999999993</v>
      </c>
      <c r="J421" s="57">
        <v>89.756</v>
      </c>
      <c r="K421" s="57">
        <v>88.322000000000003</v>
      </c>
      <c r="L421" s="57">
        <v>91.548000000000002</v>
      </c>
      <c r="M421" s="57">
        <v>90.063999999999993</v>
      </c>
      <c r="N421" s="57"/>
      <c r="O421" s="57"/>
      <c r="P421" s="57"/>
      <c r="Q421" s="57"/>
      <c r="R421" s="57"/>
      <c r="S421" s="57"/>
      <c r="T421" s="57"/>
      <c r="U421" s="57"/>
    </row>
    <row r="422" spans="1:21">
      <c r="A422" s="55" t="s">
        <v>420</v>
      </c>
      <c r="B422" s="55" t="s">
        <v>371</v>
      </c>
      <c r="C422" s="57">
        <v>48.475999999999999</v>
      </c>
      <c r="D422" s="57">
        <v>50.764000000000003</v>
      </c>
      <c r="E422" s="57">
        <v>54.429000000000002</v>
      </c>
      <c r="F422" s="57">
        <v>57.997999999999998</v>
      </c>
      <c r="G422" s="57">
        <v>61.476999999999997</v>
      </c>
      <c r="H422" s="57">
        <v>62.496000000000002</v>
      </c>
      <c r="I422" s="57">
        <v>63.505000000000003</v>
      </c>
      <c r="J422" s="57">
        <v>65.843000000000004</v>
      </c>
      <c r="K422" s="57">
        <v>68.162000000000006</v>
      </c>
      <c r="L422" s="57">
        <v>72.438000000000002</v>
      </c>
      <c r="M422" s="57">
        <v>75.540999999999997</v>
      </c>
      <c r="N422" s="57"/>
      <c r="O422" s="57"/>
      <c r="P422" s="57"/>
      <c r="Q422" s="57"/>
      <c r="R422" s="57"/>
      <c r="S422" s="57"/>
      <c r="T422" s="57"/>
      <c r="U422" s="57"/>
    </row>
    <row r="423" spans="1:21">
      <c r="A423" s="55" t="s">
        <v>420</v>
      </c>
      <c r="B423" s="55" t="s">
        <v>372</v>
      </c>
      <c r="C423" s="57">
        <v>114.758</v>
      </c>
      <c r="D423" s="57">
        <v>114.191</v>
      </c>
      <c r="E423" s="57">
        <v>114.396</v>
      </c>
      <c r="F423" s="57">
        <v>115.97799999999999</v>
      </c>
      <c r="G423" s="57">
        <v>116.70099999999999</v>
      </c>
      <c r="H423" s="57">
        <v>117.268</v>
      </c>
      <c r="I423" s="57">
        <v>118.988</v>
      </c>
      <c r="J423" s="57">
        <v>121.392</v>
      </c>
      <c r="K423" s="57">
        <v>121.066</v>
      </c>
      <c r="L423" s="57">
        <v>120.806</v>
      </c>
      <c r="M423" s="57">
        <v>121.92</v>
      </c>
      <c r="N423" s="57"/>
      <c r="O423" s="57"/>
      <c r="P423" s="57"/>
      <c r="Q423" s="57"/>
      <c r="R423" s="57"/>
      <c r="S423" s="57"/>
      <c r="T423" s="57"/>
      <c r="U423" s="57"/>
    </row>
    <row r="424" spans="1:21">
      <c r="A424" s="55" t="s">
        <v>420</v>
      </c>
      <c r="B424" s="55" t="s">
        <v>373</v>
      </c>
      <c r="C424" s="57">
        <v>41.271999999999998</v>
      </c>
      <c r="D424" s="57">
        <v>42.82</v>
      </c>
      <c r="E424" s="57">
        <v>44.954999999999998</v>
      </c>
      <c r="F424" s="57">
        <v>48.344999999999999</v>
      </c>
      <c r="G424" s="57">
        <v>51.36</v>
      </c>
      <c r="H424" s="57">
        <v>59.500999999999998</v>
      </c>
      <c r="I424" s="57">
        <v>63.527000000000001</v>
      </c>
      <c r="J424" s="57">
        <v>67.385999999999996</v>
      </c>
      <c r="K424" s="57">
        <v>75.242999999999995</v>
      </c>
      <c r="L424" s="57">
        <v>87.972999999999999</v>
      </c>
      <c r="M424" s="57">
        <v>96.09</v>
      </c>
      <c r="N424" s="57"/>
      <c r="O424" s="57"/>
      <c r="P424" s="57"/>
      <c r="Q424" s="57"/>
      <c r="R424" s="57"/>
      <c r="S424" s="57"/>
      <c r="T424" s="57"/>
      <c r="U424" s="57"/>
    </row>
    <row r="425" spans="1:21">
      <c r="A425" s="55" t="s">
        <v>420</v>
      </c>
      <c r="B425" s="55" t="s">
        <v>374</v>
      </c>
      <c r="C425" s="57">
        <v>57.845999999999997</v>
      </c>
      <c r="D425" s="57">
        <v>60.125</v>
      </c>
      <c r="E425" s="57">
        <v>62.819000000000003</v>
      </c>
      <c r="F425" s="57">
        <v>65.647000000000006</v>
      </c>
      <c r="G425" s="57">
        <v>68.397000000000006</v>
      </c>
      <c r="H425" s="57">
        <v>71.239999999999995</v>
      </c>
      <c r="I425" s="57">
        <v>73.123000000000005</v>
      </c>
      <c r="J425" s="57">
        <v>74.951999999999998</v>
      </c>
      <c r="K425" s="57">
        <v>77.701999999999998</v>
      </c>
      <c r="L425" s="57">
        <v>80.484999999999999</v>
      </c>
      <c r="M425" s="57">
        <v>83.278000000000006</v>
      </c>
      <c r="N425" s="57"/>
      <c r="O425" s="57"/>
      <c r="P425" s="57"/>
      <c r="Q425" s="57"/>
      <c r="R425" s="57"/>
      <c r="S425" s="57"/>
      <c r="T425" s="57"/>
      <c r="U425" s="57"/>
    </row>
    <row r="426" spans="1:21">
      <c r="A426" s="55" t="s">
        <v>420</v>
      </c>
      <c r="B426" s="55" t="s">
        <v>375</v>
      </c>
      <c r="C426" s="57">
        <v>54.37</v>
      </c>
      <c r="D426" s="57">
        <v>56.488</v>
      </c>
      <c r="E426" s="57">
        <v>59.420999999999999</v>
      </c>
      <c r="F426" s="57">
        <v>62.03</v>
      </c>
      <c r="G426" s="57">
        <v>66.363</v>
      </c>
      <c r="H426" s="57">
        <v>72.012</v>
      </c>
      <c r="I426" s="57">
        <v>74.049000000000007</v>
      </c>
      <c r="J426" s="57">
        <v>76.084000000000003</v>
      </c>
      <c r="K426" s="57">
        <v>80.346999999999994</v>
      </c>
      <c r="L426" s="57">
        <v>84.605999999999995</v>
      </c>
      <c r="M426" s="57">
        <v>88.754000000000005</v>
      </c>
      <c r="N426" s="57"/>
      <c r="O426" s="57"/>
      <c r="P426" s="57"/>
      <c r="Q426" s="57"/>
      <c r="R426" s="57"/>
      <c r="S426" s="57"/>
      <c r="T426" s="57"/>
      <c r="U426" s="57"/>
    </row>
    <row r="427" spans="1:21">
      <c r="A427" s="55" t="s">
        <v>420</v>
      </c>
      <c r="B427" s="55" t="s">
        <v>376</v>
      </c>
      <c r="C427" s="57">
        <v>46.654000000000003</v>
      </c>
      <c r="D427" s="57">
        <v>48.356999999999999</v>
      </c>
      <c r="E427" s="57">
        <v>48.982999999999997</v>
      </c>
      <c r="F427" s="57">
        <v>50.505000000000003</v>
      </c>
      <c r="G427" s="57">
        <v>55.677</v>
      </c>
      <c r="H427" s="57">
        <v>60.988999999999997</v>
      </c>
      <c r="I427" s="57">
        <v>61.445</v>
      </c>
      <c r="J427" s="57">
        <v>64.087000000000003</v>
      </c>
      <c r="K427" s="57">
        <v>68.221999999999994</v>
      </c>
      <c r="L427" s="57">
        <v>73.102999999999994</v>
      </c>
      <c r="M427" s="57">
        <v>80.057000000000002</v>
      </c>
      <c r="N427" s="57"/>
      <c r="O427" s="57"/>
      <c r="P427" s="57"/>
      <c r="Q427" s="57"/>
      <c r="R427" s="57"/>
      <c r="S427" s="57"/>
      <c r="T427" s="57"/>
      <c r="U427" s="57"/>
    </row>
    <row r="428" spans="1:21">
      <c r="A428" s="55" t="s">
        <v>420</v>
      </c>
      <c r="B428" s="55" t="s">
        <v>377</v>
      </c>
      <c r="C428" s="57">
        <v>182.65199999999999</v>
      </c>
      <c r="D428" s="57">
        <v>178.262</v>
      </c>
      <c r="E428" s="57">
        <v>182.12299999999999</v>
      </c>
      <c r="F428" s="57">
        <v>182.49100000000001</v>
      </c>
      <c r="G428" s="57">
        <v>182.93199999999999</v>
      </c>
      <c r="H428" s="57">
        <v>197.44200000000001</v>
      </c>
      <c r="I428" s="57">
        <v>195.82</v>
      </c>
      <c r="J428" s="57">
        <v>177.50200000000001</v>
      </c>
      <c r="K428" s="57">
        <v>176.59</v>
      </c>
      <c r="L428" s="57">
        <v>173.85900000000001</v>
      </c>
      <c r="M428" s="57">
        <v>163.74</v>
      </c>
      <c r="N428" s="57"/>
      <c r="O428" s="57"/>
      <c r="P428" s="57"/>
      <c r="Q428" s="57"/>
      <c r="R428" s="57"/>
      <c r="S428" s="57"/>
      <c r="T428" s="57"/>
      <c r="U428" s="57"/>
    </row>
    <row r="429" spans="1:21">
      <c r="A429" s="55" t="s">
        <v>420</v>
      </c>
      <c r="B429" s="55" t="s">
        <v>378</v>
      </c>
      <c r="C429" s="57">
        <v>35.880000000000003</v>
      </c>
      <c r="D429" s="57">
        <v>38.649000000000001</v>
      </c>
      <c r="E429" s="57">
        <v>43.613999999999997</v>
      </c>
      <c r="F429" s="57">
        <v>47.121000000000002</v>
      </c>
      <c r="G429" s="57">
        <v>49.597999999999999</v>
      </c>
      <c r="H429" s="57">
        <v>53.302</v>
      </c>
      <c r="I429" s="57">
        <v>57.186999999999998</v>
      </c>
      <c r="J429" s="57">
        <v>60.762999999999998</v>
      </c>
      <c r="K429" s="57">
        <v>65.153999999999996</v>
      </c>
      <c r="L429" s="57">
        <v>69.433000000000007</v>
      </c>
      <c r="M429" s="57">
        <v>73.531999999999996</v>
      </c>
      <c r="N429" s="57"/>
      <c r="O429" s="57"/>
      <c r="P429" s="57"/>
      <c r="Q429" s="57"/>
      <c r="R429" s="57"/>
      <c r="S429" s="57"/>
      <c r="T429" s="57"/>
      <c r="U429" s="57"/>
    </row>
    <row r="430" spans="1:21">
      <c r="A430" s="55" t="s">
        <v>420</v>
      </c>
      <c r="B430" s="55" t="s">
        <v>379</v>
      </c>
      <c r="C430" s="57">
        <v>60.930999999999997</v>
      </c>
      <c r="D430" s="57">
        <v>61.109000000000002</v>
      </c>
      <c r="E430" s="57">
        <v>62.795000000000002</v>
      </c>
      <c r="F430" s="57">
        <v>64.088999999999999</v>
      </c>
      <c r="G430" s="57">
        <v>65.435000000000002</v>
      </c>
      <c r="H430" s="57">
        <v>69.391000000000005</v>
      </c>
      <c r="I430" s="57">
        <v>69.903000000000006</v>
      </c>
      <c r="J430" s="57">
        <v>67.114000000000004</v>
      </c>
      <c r="K430" s="57">
        <v>68.198999999999998</v>
      </c>
      <c r="L430" s="57">
        <v>68.602000000000004</v>
      </c>
      <c r="M430" s="57">
        <v>67.515000000000001</v>
      </c>
      <c r="N430" s="57"/>
      <c r="O430" s="57"/>
      <c r="P430" s="57"/>
      <c r="Q430" s="57"/>
      <c r="R430" s="57"/>
      <c r="S430" s="57"/>
      <c r="T430" s="57"/>
      <c r="U430" s="57"/>
    </row>
    <row r="431" spans="1:21">
      <c r="A431" s="55" t="s">
        <v>420</v>
      </c>
      <c r="B431" s="55" t="s">
        <v>380</v>
      </c>
      <c r="C431" s="57">
        <v>59.448</v>
      </c>
      <c r="D431" s="57">
        <v>61.802999999999997</v>
      </c>
      <c r="E431" s="57">
        <v>64.358999999999995</v>
      </c>
      <c r="F431" s="57">
        <v>67.290999999999997</v>
      </c>
      <c r="G431" s="57">
        <v>69.171999999999997</v>
      </c>
      <c r="H431" s="57">
        <v>70.503</v>
      </c>
      <c r="I431" s="57">
        <v>72.296000000000006</v>
      </c>
      <c r="J431" s="57">
        <v>74.009</v>
      </c>
      <c r="K431" s="57">
        <v>75.974999999999994</v>
      </c>
      <c r="L431" s="57">
        <v>77.998000000000005</v>
      </c>
      <c r="M431" s="57">
        <v>80.088999999999999</v>
      </c>
      <c r="N431" s="57"/>
      <c r="O431" s="57"/>
      <c r="P431" s="57"/>
      <c r="Q431" s="57"/>
      <c r="R431" s="57"/>
      <c r="S431" s="57"/>
      <c r="T431" s="57"/>
      <c r="U431" s="57"/>
    </row>
    <row r="432" spans="1:21">
      <c r="A432" s="55" t="s">
        <v>420</v>
      </c>
      <c r="B432" s="55" t="s">
        <v>381</v>
      </c>
      <c r="C432" s="57">
        <v>58.095999999999997</v>
      </c>
      <c r="D432" s="57">
        <v>60.527999999999999</v>
      </c>
      <c r="E432" s="57">
        <v>63.034999999999997</v>
      </c>
      <c r="F432" s="57">
        <v>66.037999999999997</v>
      </c>
      <c r="G432" s="57">
        <v>67.930000000000007</v>
      </c>
      <c r="H432" s="57">
        <v>69.376999999999995</v>
      </c>
      <c r="I432" s="57">
        <v>71.156000000000006</v>
      </c>
      <c r="J432" s="57">
        <v>72.950999999999993</v>
      </c>
      <c r="K432" s="57">
        <v>74.995999999999995</v>
      </c>
      <c r="L432" s="57">
        <v>77.253</v>
      </c>
      <c r="M432" s="57">
        <v>79.491</v>
      </c>
      <c r="N432" s="57"/>
      <c r="O432" s="57"/>
      <c r="P432" s="57"/>
      <c r="Q432" s="57"/>
      <c r="R432" s="57"/>
      <c r="S432" s="57"/>
      <c r="T432" s="57"/>
      <c r="U432" s="57"/>
    </row>
    <row r="433" spans="1:21">
      <c r="A433" s="55" t="s">
        <v>420</v>
      </c>
      <c r="B433" s="55" t="s">
        <v>382</v>
      </c>
      <c r="C433" s="57">
        <v>72.606999999999999</v>
      </c>
      <c r="D433" s="57">
        <v>73.953000000000003</v>
      </c>
      <c r="E433" s="57">
        <v>76.959999999999994</v>
      </c>
      <c r="F433" s="57">
        <v>79.037999999999997</v>
      </c>
      <c r="G433" s="57">
        <v>80.73</v>
      </c>
      <c r="H433" s="57">
        <v>80.715999999999994</v>
      </c>
      <c r="I433" s="57">
        <v>82.608000000000004</v>
      </c>
      <c r="J433" s="57">
        <v>83.403999999999996</v>
      </c>
      <c r="K433" s="57">
        <v>84.492000000000004</v>
      </c>
      <c r="L433" s="57">
        <v>84.159000000000006</v>
      </c>
      <c r="M433" s="57">
        <v>84.85</v>
      </c>
      <c r="N433" s="57"/>
      <c r="O433" s="57"/>
      <c r="P433" s="57"/>
      <c r="Q433" s="57"/>
      <c r="R433" s="57"/>
      <c r="S433" s="57"/>
      <c r="T433" s="57"/>
      <c r="U433" s="57"/>
    </row>
    <row r="434" spans="1:21">
      <c r="A434" s="55" t="s">
        <v>420</v>
      </c>
      <c r="B434" s="55" t="s">
        <v>383</v>
      </c>
      <c r="C434" s="57">
        <v>51.088000000000001</v>
      </c>
      <c r="D434" s="57">
        <v>53.670999999999999</v>
      </c>
      <c r="E434" s="57">
        <v>55.895000000000003</v>
      </c>
      <c r="F434" s="57">
        <v>58.817</v>
      </c>
      <c r="G434" s="57">
        <v>61.822000000000003</v>
      </c>
      <c r="H434" s="57">
        <v>64.905000000000001</v>
      </c>
      <c r="I434" s="57">
        <v>67.156999999999996</v>
      </c>
      <c r="J434" s="57">
        <v>69.078999999999994</v>
      </c>
      <c r="K434" s="57">
        <v>71.694000000000003</v>
      </c>
      <c r="L434" s="57">
        <v>73.828000000000003</v>
      </c>
      <c r="M434" s="57">
        <v>76.84</v>
      </c>
      <c r="N434" s="57"/>
      <c r="O434" s="57"/>
      <c r="P434" s="57"/>
      <c r="Q434" s="57"/>
      <c r="R434" s="57"/>
      <c r="S434" s="57"/>
      <c r="T434" s="57"/>
      <c r="U434" s="57"/>
    </row>
    <row r="435" spans="1:21">
      <c r="A435" s="55" t="s">
        <v>420</v>
      </c>
      <c r="B435" s="55" t="s">
        <v>384</v>
      </c>
      <c r="C435" s="57">
        <v>51.365000000000002</v>
      </c>
      <c r="D435" s="57">
        <v>54.106000000000002</v>
      </c>
      <c r="E435" s="57">
        <v>56.624000000000002</v>
      </c>
      <c r="F435" s="57">
        <v>59.795000000000002</v>
      </c>
      <c r="G435" s="57">
        <v>62.853999999999999</v>
      </c>
      <c r="H435" s="57">
        <v>65.847999999999999</v>
      </c>
      <c r="I435" s="57">
        <v>68.057000000000002</v>
      </c>
      <c r="J435" s="57">
        <v>70.102999999999994</v>
      </c>
      <c r="K435" s="57">
        <v>73.206000000000003</v>
      </c>
      <c r="L435" s="57">
        <v>75.843999999999994</v>
      </c>
      <c r="M435" s="57">
        <v>79.210999999999999</v>
      </c>
      <c r="N435" s="57"/>
      <c r="O435" s="57"/>
      <c r="P435" s="57"/>
      <c r="Q435" s="57"/>
      <c r="R435" s="57"/>
      <c r="S435" s="57"/>
      <c r="T435" s="57"/>
      <c r="U435" s="57"/>
    </row>
    <row r="436" spans="1:21">
      <c r="A436" s="55" t="s">
        <v>420</v>
      </c>
      <c r="B436" s="55" t="s">
        <v>385</v>
      </c>
      <c r="C436" s="57">
        <v>42.793999999999997</v>
      </c>
      <c r="D436" s="57">
        <v>44.563000000000002</v>
      </c>
      <c r="E436" s="57">
        <v>47.421999999999997</v>
      </c>
      <c r="F436" s="57">
        <v>51.396000000000001</v>
      </c>
      <c r="G436" s="57">
        <v>54.765000000000001</v>
      </c>
      <c r="H436" s="57">
        <v>57.765999999999998</v>
      </c>
      <c r="I436" s="57">
        <v>60.625</v>
      </c>
      <c r="J436" s="57">
        <v>62.883000000000003</v>
      </c>
      <c r="K436" s="57">
        <v>64.811999999999998</v>
      </c>
      <c r="L436" s="57">
        <v>67.385999999999996</v>
      </c>
      <c r="M436" s="57">
        <v>70.468999999999994</v>
      </c>
      <c r="N436" s="57"/>
      <c r="O436" s="57"/>
      <c r="P436" s="57"/>
      <c r="Q436" s="57"/>
      <c r="R436" s="57"/>
      <c r="S436" s="57"/>
      <c r="T436" s="57"/>
      <c r="U436" s="57"/>
    </row>
    <row r="437" spans="1:21">
      <c r="A437" s="55" t="s">
        <v>420</v>
      </c>
      <c r="B437" s="55" t="s">
        <v>386</v>
      </c>
      <c r="C437" s="57">
        <v>77.040999999999997</v>
      </c>
      <c r="D437" s="57">
        <v>80.295000000000002</v>
      </c>
      <c r="E437" s="57">
        <v>81.346999999999994</v>
      </c>
      <c r="F437" s="57">
        <v>84.097999999999999</v>
      </c>
      <c r="G437" s="57">
        <v>87.350999999999999</v>
      </c>
      <c r="H437" s="57">
        <v>88.869</v>
      </c>
      <c r="I437" s="57">
        <v>91.319000000000003</v>
      </c>
      <c r="J437" s="57">
        <v>93.412000000000006</v>
      </c>
      <c r="K437" s="57">
        <v>98.408000000000001</v>
      </c>
      <c r="L437" s="57">
        <v>102.694</v>
      </c>
      <c r="M437" s="57">
        <v>108.471</v>
      </c>
      <c r="N437" s="57"/>
      <c r="O437" s="57"/>
      <c r="P437" s="57"/>
      <c r="Q437" s="57"/>
      <c r="R437" s="57"/>
      <c r="S437" s="57"/>
      <c r="T437" s="57"/>
      <c r="U437" s="57"/>
    </row>
    <row r="438" spans="1:21">
      <c r="A438" s="55" t="s">
        <v>420</v>
      </c>
      <c r="B438" s="55" t="s">
        <v>387</v>
      </c>
      <c r="C438" s="57">
        <v>50.249000000000002</v>
      </c>
      <c r="D438" s="57">
        <v>53.279000000000003</v>
      </c>
      <c r="E438" s="57">
        <v>55.63</v>
      </c>
      <c r="F438" s="57">
        <v>58.293999999999997</v>
      </c>
      <c r="G438" s="57">
        <v>61.04</v>
      </c>
      <c r="H438" s="57">
        <v>64.061999999999998</v>
      </c>
      <c r="I438" s="57">
        <v>65.849999999999994</v>
      </c>
      <c r="J438" s="57">
        <v>67.724000000000004</v>
      </c>
      <c r="K438" s="57">
        <v>70.959000000000003</v>
      </c>
      <c r="L438" s="57">
        <v>73.313999999999993</v>
      </c>
      <c r="M438" s="57">
        <v>76.338999999999999</v>
      </c>
      <c r="N438" s="57"/>
      <c r="O438" s="57"/>
      <c r="P438" s="57"/>
      <c r="Q438" s="57"/>
      <c r="R438" s="57"/>
      <c r="S438" s="57"/>
      <c r="T438" s="57"/>
      <c r="U438" s="57"/>
    </row>
    <row r="439" spans="1:21">
      <c r="A439" s="55" t="s">
        <v>420</v>
      </c>
      <c r="B439" s="55" t="s">
        <v>388</v>
      </c>
      <c r="C439" s="57">
        <v>42.475000000000001</v>
      </c>
      <c r="D439" s="57">
        <v>43.98</v>
      </c>
      <c r="E439" s="57">
        <v>45.301000000000002</v>
      </c>
      <c r="F439" s="57">
        <v>46.655000000000001</v>
      </c>
      <c r="G439" s="57">
        <v>49.531999999999996</v>
      </c>
      <c r="H439" s="57">
        <v>52.526000000000003</v>
      </c>
      <c r="I439" s="57">
        <v>55.429000000000002</v>
      </c>
      <c r="J439" s="57">
        <v>57.515999999999998</v>
      </c>
      <c r="K439" s="57">
        <v>59.942999999999998</v>
      </c>
      <c r="L439" s="57">
        <v>60.661999999999999</v>
      </c>
      <c r="M439" s="57">
        <v>62.14</v>
      </c>
      <c r="N439" s="57"/>
      <c r="O439" s="57"/>
      <c r="P439" s="57"/>
      <c r="Q439" s="57"/>
      <c r="R439" s="57"/>
      <c r="S439" s="57"/>
      <c r="T439" s="57"/>
      <c r="U439" s="57"/>
    </row>
    <row r="440" spans="1:21">
      <c r="A440" s="55" t="s">
        <v>420</v>
      </c>
      <c r="B440" s="55" t="s">
        <v>389</v>
      </c>
      <c r="C440" s="57">
        <v>56.173000000000002</v>
      </c>
      <c r="D440" s="57">
        <v>59.308</v>
      </c>
      <c r="E440" s="57">
        <v>61.470999999999997</v>
      </c>
      <c r="F440" s="57">
        <v>65.048000000000002</v>
      </c>
      <c r="G440" s="57">
        <v>67.906000000000006</v>
      </c>
      <c r="H440" s="57">
        <v>71.225999999999999</v>
      </c>
      <c r="I440" s="57">
        <v>72.988</v>
      </c>
      <c r="J440" s="57">
        <v>74.403000000000006</v>
      </c>
      <c r="K440" s="57">
        <v>75.882000000000005</v>
      </c>
      <c r="L440" s="57">
        <v>77.816999999999993</v>
      </c>
      <c r="M440" s="57">
        <v>81.076999999999998</v>
      </c>
      <c r="N440" s="57"/>
      <c r="O440" s="57"/>
      <c r="P440" s="57"/>
      <c r="Q440" s="57"/>
      <c r="R440" s="57"/>
      <c r="S440" s="57"/>
      <c r="T440" s="57"/>
      <c r="U440" s="57"/>
    </row>
    <row r="441" spans="1:21">
      <c r="A441" s="55" t="s">
        <v>420</v>
      </c>
      <c r="B441" s="55" t="s">
        <v>390</v>
      </c>
      <c r="C441" s="57">
        <v>56.930999999999997</v>
      </c>
      <c r="D441" s="57">
        <v>59.973999999999997</v>
      </c>
      <c r="E441" s="57">
        <v>62.081000000000003</v>
      </c>
      <c r="F441" s="57">
        <v>65.721999999999994</v>
      </c>
      <c r="G441" s="57">
        <v>68.656000000000006</v>
      </c>
      <c r="H441" s="57">
        <v>72.049000000000007</v>
      </c>
      <c r="I441" s="57">
        <v>73.593999999999994</v>
      </c>
      <c r="J441" s="57">
        <v>74.78</v>
      </c>
      <c r="K441" s="57">
        <v>76.233000000000004</v>
      </c>
      <c r="L441" s="57">
        <v>78.296000000000006</v>
      </c>
      <c r="M441" s="57">
        <v>81.656999999999996</v>
      </c>
      <c r="N441" s="57"/>
      <c r="O441" s="57"/>
      <c r="P441" s="57"/>
      <c r="Q441" s="57"/>
      <c r="R441" s="57"/>
      <c r="S441" s="57"/>
      <c r="T441" s="57"/>
      <c r="U441" s="57"/>
    </row>
    <row r="442" spans="1:21">
      <c r="A442" s="55" t="s">
        <v>420</v>
      </c>
      <c r="B442" s="55" t="s">
        <v>391</v>
      </c>
      <c r="C442" s="57">
        <v>50.643000000000001</v>
      </c>
      <c r="D442" s="57">
        <v>54.284999999999997</v>
      </c>
      <c r="E442" s="57">
        <v>56.771000000000001</v>
      </c>
      <c r="F442" s="57">
        <v>59.883000000000003</v>
      </c>
      <c r="G442" s="57">
        <v>62.216000000000001</v>
      </c>
      <c r="H442" s="57">
        <v>65.021000000000001</v>
      </c>
      <c r="I442" s="57">
        <v>68.174999999999997</v>
      </c>
      <c r="J442" s="57">
        <v>71.084000000000003</v>
      </c>
      <c r="K442" s="57">
        <v>72.722999999999999</v>
      </c>
      <c r="L442" s="57">
        <v>73.701999999999998</v>
      </c>
      <c r="M442" s="57">
        <v>76.150000000000006</v>
      </c>
      <c r="N442" s="57"/>
      <c r="O442" s="57"/>
      <c r="P442" s="57"/>
      <c r="Q442" s="57"/>
      <c r="R442" s="57"/>
      <c r="S442" s="57"/>
      <c r="T442" s="57"/>
      <c r="U442" s="57"/>
    </row>
    <row r="443" spans="1:21">
      <c r="A443" s="55" t="s">
        <v>420</v>
      </c>
      <c r="B443" s="55" t="s">
        <v>392</v>
      </c>
      <c r="C443" s="57">
        <v>43.061999999999998</v>
      </c>
      <c r="D443" s="57">
        <v>46.335999999999999</v>
      </c>
      <c r="E443" s="57">
        <v>49.936999999999998</v>
      </c>
      <c r="F443" s="57">
        <v>53.77</v>
      </c>
      <c r="G443" s="57">
        <v>57.674999999999997</v>
      </c>
      <c r="H443" s="57">
        <v>61.322000000000003</v>
      </c>
      <c r="I443" s="57">
        <v>64.281000000000006</v>
      </c>
      <c r="J443" s="57">
        <v>67.203999999999994</v>
      </c>
      <c r="K443" s="57">
        <v>69.298000000000002</v>
      </c>
      <c r="L443" s="57">
        <v>71.320999999999998</v>
      </c>
      <c r="M443" s="57">
        <v>73.472999999999999</v>
      </c>
      <c r="N443" s="57"/>
      <c r="O443" s="57"/>
      <c r="P443" s="57"/>
      <c r="Q443" s="57"/>
      <c r="R443" s="57"/>
      <c r="S443" s="57"/>
      <c r="T443" s="57"/>
      <c r="U443" s="57"/>
    </row>
    <row r="444" spans="1:21">
      <c r="A444" s="55" t="s">
        <v>420</v>
      </c>
      <c r="B444" s="55" t="s">
        <v>393</v>
      </c>
      <c r="C444" s="57">
        <v>39.57</v>
      </c>
      <c r="D444" s="57">
        <v>42.030999999999999</v>
      </c>
      <c r="E444" s="57">
        <v>44.485999999999997</v>
      </c>
      <c r="F444" s="57">
        <v>47.140999999999998</v>
      </c>
      <c r="G444" s="57">
        <v>49.837000000000003</v>
      </c>
      <c r="H444" s="57">
        <v>51.893999999999998</v>
      </c>
      <c r="I444" s="57">
        <v>53.390999999999998</v>
      </c>
      <c r="J444" s="57">
        <v>55.420999999999999</v>
      </c>
      <c r="K444" s="57">
        <v>56.807000000000002</v>
      </c>
      <c r="L444" s="57">
        <v>59.317999999999998</v>
      </c>
      <c r="M444" s="57">
        <v>61.545000000000002</v>
      </c>
      <c r="N444" s="57"/>
      <c r="O444" s="57"/>
      <c r="P444" s="57"/>
      <c r="Q444" s="57"/>
      <c r="R444" s="57"/>
      <c r="S444" s="57"/>
      <c r="T444" s="57"/>
      <c r="U444" s="57"/>
    </row>
    <row r="445" spans="1:21">
      <c r="A445" s="55" t="s">
        <v>420</v>
      </c>
      <c r="B445" s="55" t="s">
        <v>394</v>
      </c>
      <c r="C445" s="57">
        <v>43.648000000000003</v>
      </c>
      <c r="D445" s="57">
        <v>47.048999999999999</v>
      </c>
      <c r="E445" s="57">
        <v>50.826999999999998</v>
      </c>
      <c r="F445" s="57">
        <v>54.838000000000001</v>
      </c>
      <c r="G445" s="57">
        <v>58.927</v>
      </c>
      <c r="H445" s="57">
        <v>62.813000000000002</v>
      </c>
      <c r="I445" s="57">
        <v>65.992999999999995</v>
      </c>
      <c r="J445" s="57">
        <v>69.055000000000007</v>
      </c>
      <c r="K445" s="57">
        <v>71.259</v>
      </c>
      <c r="L445" s="57">
        <v>73.203999999999994</v>
      </c>
      <c r="M445" s="57">
        <v>75.343000000000004</v>
      </c>
      <c r="N445" s="57"/>
      <c r="O445" s="57"/>
      <c r="P445" s="57"/>
      <c r="Q445" s="57"/>
      <c r="R445" s="57"/>
      <c r="S445" s="57"/>
      <c r="T445" s="57"/>
      <c r="U445" s="57"/>
    </row>
    <row r="446" spans="1:21">
      <c r="A446" s="55" t="s">
        <v>420</v>
      </c>
      <c r="B446" s="55" t="s">
        <v>395</v>
      </c>
      <c r="C446" s="57">
        <v>47.564</v>
      </c>
      <c r="D446" s="57">
        <v>51.173999999999999</v>
      </c>
      <c r="E446" s="57">
        <v>54.968000000000004</v>
      </c>
      <c r="F446" s="57">
        <v>59.173000000000002</v>
      </c>
      <c r="G446" s="57">
        <v>63.256</v>
      </c>
      <c r="H446" s="57">
        <v>67.584000000000003</v>
      </c>
      <c r="I446" s="57">
        <v>71.430000000000007</v>
      </c>
      <c r="J446" s="57">
        <v>75.495000000000005</v>
      </c>
      <c r="K446" s="57">
        <v>78.119</v>
      </c>
      <c r="L446" s="57">
        <v>79.356999999999999</v>
      </c>
      <c r="M446" s="57">
        <v>81.566999999999993</v>
      </c>
      <c r="N446" s="57"/>
      <c r="O446" s="57"/>
      <c r="P446" s="57"/>
      <c r="Q446" s="57"/>
      <c r="R446" s="57"/>
      <c r="S446" s="57"/>
      <c r="T446" s="57"/>
      <c r="U446" s="57"/>
    </row>
    <row r="447" spans="1:21">
      <c r="A447" s="55" t="s">
        <v>420</v>
      </c>
      <c r="B447" s="55" t="s">
        <v>396</v>
      </c>
      <c r="C447" s="57">
        <v>39.156999999999996</v>
      </c>
      <c r="D447" s="57">
        <v>42.442999999999998</v>
      </c>
      <c r="E447" s="57">
        <v>46.290999999999997</v>
      </c>
      <c r="F447" s="57">
        <v>50.173000000000002</v>
      </c>
      <c r="G447" s="57">
        <v>54.316000000000003</v>
      </c>
      <c r="H447" s="57">
        <v>57.817</v>
      </c>
      <c r="I447" s="57">
        <v>60.625</v>
      </c>
      <c r="J447" s="57">
        <v>62.944000000000003</v>
      </c>
      <c r="K447" s="57">
        <v>64.793000000000006</v>
      </c>
      <c r="L447" s="57">
        <v>67.385999999999996</v>
      </c>
      <c r="M447" s="57">
        <v>69.373000000000005</v>
      </c>
      <c r="N447" s="57"/>
      <c r="O447" s="57"/>
      <c r="P447" s="57"/>
      <c r="Q447" s="57"/>
      <c r="R447" s="57"/>
      <c r="S447" s="57"/>
      <c r="T447" s="57"/>
      <c r="U447" s="57"/>
    </row>
    <row r="448" spans="1:21">
      <c r="A448" s="55" t="s">
        <v>420</v>
      </c>
      <c r="B448" s="55" t="s">
        <v>397</v>
      </c>
      <c r="C448" s="57">
        <v>47.433999999999997</v>
      </c>
      <c r="D448" s="57">
        <v>49.945</v>
      </c>
      <c r="E448" s="57">
        <v>52.854999999999997</v>
      </c>
      <c r="F448" s="57">
        <v>56.268999999999998</v>
      </c>
      <c r="G448" s="57">
        <v>59.834000000000003</v>
      </c>
      <c r="H448" s="57">
        <v>63.265999999999998</v>
      </c>
      <c r="I448" s="57">
        <v>64.441999999999993</v>
      </c>
      <c r="J448" s="57">
        <v>65.903999999999996</v>
      </c>
      <c r="K448" s="57">
        <v>67.704999999999998</v>
      </c>
      <c r="L448" s="57">
        <v>69.858999999999995</v>
      </c>
      <c r="M448" s="57">
        <v>72.423000000000002</v>
      </c>
      <c r="N448" s="57"/>
      <c r="O448" s="57"/>
      <c r="P448" s="57"/>
      <c r="Q448" s="57"/>
      <c r="R448" s="57"/>
      <c r="S448" s="57"/>
      <c r="T448" s="57"/>
      <c r="U448" s="57"/>
    </row>
    <row r="449" spans="1:21">
      <c r="A449" s="55" t="s">
        <v>420</v>
      </c>
      <c r="B449" s="55" t="s">
        <v>398</v>
      </c>
      <c r="C449" s="57">
        <v>53.119</v>
      </c>
      <c r="D449" s="57">
        <v>55.697000000000003</v>
      </c>
      <c r="E449" s="57">
        <v>58.575000000000003</v>
      </c>
      <c r="F449" s="57">
        <v>61.673000000000002</v>
      </c>
      <c r="G449" s="57">
        <v>65.457999999999998</v>
      </c>
      <c r="H449" s="57">
        <v>67.247</v>
      </c>
      <c r="I449" s="57">
        <v>68.781999999999996</v>
      </c>
      <c r="J449" s="57">
        <v>70.072999999999993</v>
      </c>
      <c r="K449" s="57">
        <v>71.447999999999993</v>
      </c>
      <c r="L449" s="57">
        <v>73.236999999999995</v>
      </c>
      <c r="M449" s="57">
        <v>77.105000000000004</v>
      </c>
      <c r="N449" s="57"/>
      <c r="O449" s="57"/>
      <c r="P449" s="57"/>
      <c r="Q449" s="57"/>
      <c r="R449" s="57"/>
      <c r="S449" s="57"/>
      <c r="T449" s="57"/>
      <c r="U449" s="57"/>
    </row>
    <row r="450" spans="1:21">
      <c r="A450" s="55" t="s">
        <v>420</v>
      </c>
      <c r="B450" s="55" t="s">
        <v>399</v>
      </c>
      <c r="C450" s="57">
        <v>52.530999999999999</v>
      </c>
      <c r="D450" s="57">
        <v>54.414999999999999</v>
      </c>
      <c r="E450" s="57">
        <v>57.121000000000002</v>
      </c>
      <c r="F450" s="57">
        <v>60.177999999999997</v>
      </c>
      <c r="G450" s="57">
        <v>63.222000000000001</v>
      </c>
      <c r="H450" s="57">
        <v>64.816000000000003</v>
      </c>
      <c r="I450" s="57">
        <v>66.418000000000006</v>
      </c>
      <c r="J450" s="57">
        <v>68.343000000000004</v>
      </c>
      <c r="K450" s="57">
        <v>70.361999999999995</v>
      </c>
      <c r="L450" s="57">
        <v>73.129000000000005</v>
      </c>
      <c r="M450" s="57">
        <v>75.495999999999995</v>
      </c>
      <c r="N450" s="57"/>
      <c r="O450" s="57"/>
      <c r="P450" s="57"/>
      <c r="Q450" s="57"/>
      <c r="R450" s="57"/>
      <c r="S450" s="57"/>
      <c r="T450" s="57"/>
      <c r="U450" s="57"/>
    </row>
    <row r="451" spans="1:21">
      <c r="A451" s="55" t="s">
        <v>420</v>
      </c>
      <c r="B451" s="55" t="s">
        <v>400</v>
      </c>
      <c r="C451" s="57">
        <v>46.774999999999999</v>
      </c>
      <c r="D451" s="57">
        <v>49.619</v>
      </c>
      <c r="E451" s="57">
        <v>52.491999999999997</v>
      </c>
      <c r="F451" s="57">
        <v>55.695</v>
      </c>
      <c r="G451" s="57">
        <v>58.695999999999998</v>
      </c>
      <c r="H451" s="57">
        <v>59.670999999999999</v>
      </c>
      <c r="I451" s="57">
        <v>60.646999999999998</v>
      </c>
      <c r="J451" s="57">
        <v>62.646000000000001</v>
      </c>
      <c r="K451" s="57">
        <v>64.706999999999994</v>
      </c>
      <c r="L451" s="57">
        <v>67.974999999999994</v>
      </c>
      <c r="M451" s="57">
        <v>70.176000000000002</v>
      </c>
      <c r="N451" s="57"/>
      <c r="O451" s="57"/>
      <c r="P451" s="57"/>
      <c r="Q451" s="57"/>
      <c r="R451" s="57"/>
      <c r="S451" s="57"/>
      <c r="T451" s="57"/>
      <c r="U451" s="57"/>
    </row>
    <row r="452" spans="1:21">
      <c r="A452" s="55" t="s">
        <v>420</v>
      </c>
      <c r="B452" s="55" t="s">
        <v>401</v>
      </c>
      <c r="C452" s="57">
        <v>59.067</v>
      </c>
      <c r="D452" s="57">
        <v>59.945999999999998</v>
      </c>
      <c r="E452" s="57">
        <v>62.526000000000003</v>
      </c>
      <c r="F452" s="57">
        <v>65.484999999999999</v>
      </c>
      <c r="G452" s="57">
        <v>68.611999999999995</v>
      </c>
      <c r="H452" s="57">
        <v>70.843999999999994</v>
      </c>
      <c r="I452" s="57">
        <v>73.111000000000004</v>
      </c>
      <c r="J452" s="57">
        <v>74.968000000000004</v>
      </c>
      <c r="K452" s="57">
        <v>76.959000000000003</v>
      </c>
      <c r="L452" s="57">
        <v>79.218000000000004</v>
      </c>
      <c r="M452" s="57">
        <v>81.781999999999996</v>
      </c>
      <c r="N452" s="57"/>
      <c r="O452" s="57"/>
      <c r="P452" s="57"/>
      <c r="Q452" s="57"/>
      <c r="R452" s="57"/>
      <c r="S452" s="57"/>
      <c r="T452" s="57"/>
      <c r="U452" s="57"/>
    </row>
    <row r="453" spans="1:21">
      <c r="A453" s="55" t="s">
        <v>420</v>
      </c>
      <c r="B453" s="55" t="s">
        <v>402</v>
      </c>
      <c r="C453" s="57">
        <v>53.37</v>
      </c>
      <c r="D453" s="57">
        <v>56.143000000000001</v>
      </c>
      <c r="E453" s="57">
        <v>59.075000000000003</v>
      </c>
      <c r="F453" s="57">
        <v>62.188000000000002</v>
      </c>
      <c r="G453" s="57">
        <v>66.216999999999999</v>
      </c>
      <c r="H453" s="57">
        <v>68.072999999999993</v>
      </c>
      <c r="I453" s="57">
        <v>69.584000000000003</v>
      </c>
      <c r="J453" s="57">
        <v>70.653999999999996</v>
      </c>
      <c r="K453" s="57">
        <v>71.802000000000007</v>
      </c>
      <c r="L453" s="57">
        <v>73.245999999999995</v>
      </c>
      <c r="M453" s="57">
        <v>77.653999999999996</v>
      </c>
      <c r="N453" s="57"/>
      <c r="O453" s="57"/>
      <c r="P453" s="57"/>
      <c r="Q453" s="57"/>
      <c r="R453" s="57"/>
      <c r="S453" s="57"/>
      <c r="T453" s="57"/>
      <c r="U453" s="57"/>
    </row>
    <row r="454" spans="1:21">
      <c r="A454" s="55" t="s">
        <v>420</v>
      </c>
      <c r="B454" s="55" t="s">
        <v>403</v>
      </c>
      <c r="C454" s="57">
        <v>52.597000000000001</v>
      </c>
      <c r="D454" s="57">
        <v>56.381</v>
      </c>
      <c r="E454" s="57">
        <v>59.402999999999999</v>
      </c>
      <c r="F454" s="57">
        <v>61.597999999999999</v>
      </c>
      <c r="G454" s="57">
        <v>65.319999999999993</v>
      </c>
      <c r="H454" s="57">
        <v>66.522000000000006</v>
      </c>
      <c r="I454" s="57">
        <v>68.656000000000006</v>
      </c>
      <c r="J454" s="57">
        <v>70.537000000000006</v>
      </c>
      <c r="K454" s="57">
        <v>71.480999999999995</v>
      </c>
      <c r="L454" s="57">
        <v>72.739000000000004</v>
      </c>
      <c r="M454" s="57">
        <v>79.504000000000005</v>
      </c>
      <c r="N454" s="57"/>
      <c r="O454" s="57"/>
      <c r="P454" s="57"/>
      <c r="Q454" s="57"/>
      <c r="R454" s="57"/>
      <c r="S454" s="57"/>
      <c r="T454" s="57"/>
      <c r="U454" s="57"/>
    </row>
    <row r="455" spans="1:21">
      <c r="A455" s="55" t="s">
        <v>420</v>
      </c>
      <c r="B455" s="55" t="s">
        <v>404</v>
      </c>
      <c r="C455" s="57">
        <v>53.771999999999998</v>
      </c>
      <c r="D455" s="57">
        <v>56.122</v>
      </c>
      <c r="E455" s="57">
        <v>59.021000000000001</v>
      </c>
      <c r="F455" s="57">
        <v>62.518000000000001</v>
      </c>
      <c r="G455" s="57">
        <v>66.682000000000002</v>
      </c>
      <c r="H455" s="57">
        <v>68.825000000000003</v>
      </c>
      <c r="I455" s="57">
        <v>70.061999999999998</v>
      </c>
      <c r="J455" s="57">
        <v>70.778000000000006</v>
      </c>
      <c r="K455" s="57">
        <v>72.02</v>
      </c>
      <c r="L455" s="57">
        <v>73.551000000000002</v>
      </c>
      <c r="M455" s="57">
        <v>76.875</v>
      </c>
      <c r="N455" s="57"/>
      <c r="O455" s="57"/>
      <c r="P455" s="57"/>
      <c r="Q455" s="57"/>
      <c r="R455" s="57"/>
      <c r="S455" s="57"/>
      <c r="T455" s="57"/>
      <c r="U455" s="57"/>
    </row>
    <row r="456" spans="1:21">
      <c r="A456" s="55" t="s">
        <v>420</v>
      </c>
      <c r="B456" s="55" t="s">
        <v>405</v>
      </c>
      <c r="C456" s="57">
        <v>48.447000000000003</v>
      </c>
      <c r="D456" s="57">
        <v>50.762999999999998</v>
      </c>
      <c r="E456" s="57">
        <v>52.853000000000002</v>
      </c>
      <c r="F456" s="57">
        <v>54.962000000000003</v>
      </c>
      <c r="G456" s="57">
        <v>57.341000000000001</v>
      </c>
      <c r="H456" s="57">
        <v>59.793999999999997</v>
      </c>
      <c r="I456" s="57">
        <v>61.966999999999999</v>
      </c>
      <c r="J456" s="57">
        <v>63.289000000000001</v>
      </c>
      <c r="K456" s="57">
        <v>65.399000000000001</v>
      </c>
      <c r="L456" s="57">
        <v>68.186999999999998</v>
      </c>
      <c r="M456" s="57">
        <v>69.614999999999995</v>
      </c>
      <c r="N456" s="57"/>
      <c r="O456" s="57"/>
      <c r="P456" s="57"/>
      <c r="Q456" s="57"/>
      <c r="R456" s="57"/>
      <c r="S456" s="57"/>
      <c r="T456" s="57"/>
      <c r="U456" s="57"/>
    </row>
    <row r="457" spans="1:21">
      <c r="A457" s="55" t="s">
        <v>420</v>
      </c>
      <c r="B457" s="55" t="s">
        <v>174</v>
      </c>
      <c r="C457" s="57">
        <v>50.499000000000002</v>
      </c>
      <c r="D457" s="57">
        <v>52.719000000000001</v>
      </c>
      <c r="E457" s="57">
        <v>54.914999999999999</v>
      </c>
      <c r="F457" s="57">
        <v>57.436999999999998</v>
      </c>
      <c r="G457" s="57">
        <v>60.856000000000002</v>
      </c>
      <c r="H457" s="57">
        <v>63.423000000000002</v>
      </c>
      <c r="I457" s="57">
        <v>65.611999999999995</v>
      </c>
      <c r="J457" s="57">
        <v>67.793999999999997</v>
      </c>
      <c r="K457" s="57">
        <v>69.905000000000001</v>
      </c>
      <c r="L457" s="57">
        <v>71.781000000000006</v>
      </c>
      <c r="M457" s="57">
        <v>73.460999999999999</v>
      </c>
      <c r="N457" s="57"/>
      <c r="O457" s="57"/>
      <c r="P457" s="57"/>
      <c r="Q457" s="57"/>
      <c r="R457" s="57"/>
      <c r="S457" s="57"/>
      <c r="T457" s="57"/>
      <c r="U457" s="57"/>
    </row>
    <row r="458" spans="1:21">
      <c r="A458" s="55" t="s">
        <v>420</v>
      </c>
      <c r="B458" s="55" t="s">
        <v>219</v>
      </c>
      <c r="C458" s="57">
        <v>49.728000000000002</v>
      </c>
      <c r="D458" s="57">
        <v>52.073</v>
      </c>
      <c r="E458" s="57">
        <v>53.98</v>
      </c>
      <c r="F458" s="57">
        <v>55.406999999999996</v>
      </c>
      <c r="G458" s="57">
        <v>59.412999999999997</v>
      </c>
      <c r="H458" s="57">
        <v>62.000999999999998</v>
      </c>
      <c r="I458" s="57">
        <v>63.67</v>
      </c>
      <c r="J458" s="57">
        <v>65.48</v>
      </c>
      <c r="K458" s="57">
        <v>68.328000000000003</v>
      </c>
      <c r="L458" s="57">
        <v>70.728999999999999</v>
      </c>
      <c r="M458" s="57">
        <v>72.33</v>
      </c>
      <c r="N458" s="57"/>
      <c r="O458" s="57"/>
      <c r="P458" s="57"/>
      <c r="Q458" s="57"/>
      <c r="R458" s="57"/>
      <c r="S458" s="57"/>
      <c r="T458" s="57"/>
      <c r="U458" s="57"/>
    </row>
    <row r="459" spans="1:21">
      <c r="A459" s="55" t="s">
        <v>420</v>
      </c>
      <c r="B459" s="55" t="s">
        <v>406</v>
      </c>
      <c r="C459" s="57">
        <v>48.167000000000002</v>
      </c>
      <c r="D459" s="57">
        <v>50.015999999999998</v>
      </c>
      <c r="E459" s="57">
        <v>51.868000000000002</v>
      </c>
      <c r="F459" s="57">
        <v>53.491</v>
      </c>
      <c r="G459" s="57">
        <v>56.465000000000003</v>
      </c>
      <c r="H459" s="57">
        <v>59.176000000000002</v>
      </c>
      <c r="I459" s="57">
        <v>61.015000000000001</v>
      </c>
      <c r="J459" s="57">
        <v>63.061999999999998</v>
      </c>
      <c r="K459" s="57">
        <v>65.177000000000007</v>
      </c>
      <c r="L459" s="57">
        <v>67.956999999999994</v>
      </c>
      <c r="M459" s="57">
        <v>69.855999999999995</v>
      </c>
      <c r="N459" s="57"/>
      <c r="O459" s="57"/>
      <c r="P459" s="57"/>
      <c r="Q459" s="57"/>
      <c r="R459" s="57"/>
      <c r="S459" s="57"/>
      <c r="T459" s="57"/>
      <c r="U459" s="57"/>
    </row>
    <row r="460" spans="1:21">
      <c r="A460" s="55" t="s">
        <v>420</v>
      </c>
      <c r="B460" s="55" t="s">
        <v>407</v>
      </c>
      <c r="C460" s="57">
        <v>59.064</v>
      </c>
      <c r="D460" s="57">
        <v>65.322000000000003</v>
      </c>
      <c r="E460" s="57">
        <v>67.552000000000007</v>
      </c>
      <c r="F460" s="57">
        <v>67.290000000000006</v>
      </c>
      <c r="G460" s="57">
        <v>79.524000000000001</v>
      </c>
      <c r="H460" s="57">
        <v>80.981999999999999</v>
      </c>
      <c r="I460" s="57">
        <v>81.290000000000006</v>
      </c>
      <c r="J460" s="57">
        <v>81.296999999999997</v>
      </c>
      <c r="K460" s="57">
        <v>89.337999999999994</v>
      </c>
      <c r="L460" s="57">
        <v>88.991</v>
      </c>
      <c r="M460" s="57">
        <v>88.591999999999999</v>
      </c>
      <c r="N460" s="57"/>
      <c r="O460" s="57"/>
      <c r="P460" s="57"/>
      <c r="Q460" s="57"/>
      <c r="R460" s="57"/>
      <c r="S460" s="57"/>
      <c r="T460" s="57"/>
      <c r="U460" s="57"/>
    </row>
    <row r="461" spans="1:21">
      <c r="A461" s="55" t="s">
        <v>420</v>
      </c>
      <c r="B461" s="55" t="s">
        <v>221</v>
      </c>
      <c r="C461" s="57">
        <v>50.773000000000003</v>
      </c>
      <c r="D461" s="57">
        <v>52.902999999999999</v>
      </c>
      <c r="E461" s="57">
        <v>55.271999999999998</v>
      </c>
      <c r="F461" s="57">
        <v>58.466999999999999</v>
      </c>
      <c r="G461" s="57">
        <v>61.509</v>
      </c>
      <c r="H461" s="57">
        <v>64.052999999999997</v>
      </c>
      <c r="I461" s="57">
        <v>66.545000000000002</v>
      </c>
      <c r="J461" s="57">
        <v>68.935000000000002</v>
      </c>
      <c r="K461" s="57">
        <v>70.638000000000005</v>
      </c>
      <c r="L461" s="57">
        <v>72.239000000000004</v>
      </c>
      <c r="M461" s="57">
        <v>73.956000000000003</v>
      </c>
      <c r="N461" s="57"/>
      <c r="O461" s="57"/>
      <c r="P461" s="57"/>
      <c r="Q461" s="57"/>
      <c r="R461" s="57"/>
      <c r="S461" s="57"/>
      <c r="T461" s="57"/>
      <c r="U461" s="57"/>
    </row>
    <row r="462" spans="1:21">
      <c r="A462" s="55" t="s">
        <v>420</v>
      </c>
      <c r="B462" s="55" t="s">
        <v>406</v>
      </c>
      <c r="C462" s="57">
        <v>51.213999999999999</v>
      </c>
      <c r="D462" s="57">
        <v>53.232999999999997</v>
      </c>
      <c r="E462" s="57">
        <v>55.554000000000002</v>
      </c>
      <c r="F462" s="57">
        <v>58.771999999999998</v>
      </c>
      <c r="G462" s="57">
        <v>61.643000000000001</v>
      </c>
      <c r="H462" s="57">
        <v>63.954000000000001</v>
      </c>
      <c r="I462" s="57">
        <v>66.245999999999995</v>
      </c>
      <c r="J462" s="57">
        <v>68.546999999999997</v>
      </c>
      <c r="K462" s="57">
        <v>70.301000000000002</v>
      </c>
      <c r="L462" s="57">
        <v>71.826999999999998</v>
      </c>
      <c r="M462" s="57">
        <v>73.430999999999997</v>
      </c>
      <c r="N462" s="57"/>
      <c r="O462" s="57"/>
      <c r="P462" s="57"/>
      <c r="Q462" s="57"/>
      <c r="R462" s="57"/>
      <c r="S462" s="57"/>
      <c r="T462" s="57"/>
      <c r="U462" s="57"/>
    </row>
    <row r="463" spans="1:21">
      <c r="A463" s="55" t="s">
        <v>420</v>
      </c>
      <c r="B463" s="55" t="s">
        <v>407</v>
      </c>
      <c r="C463" s="57">
        <v>46.247</v>
      </c>
      <c r="D463" s="57">
        <v>49.466999999999999</v>
      </c>
      <c r="E463" s="57">
        <v>52.295999999999999</v>
      </c>
      <c r="F463" s="57">
        <v>55.256</v>
      </c>
      <c r="G463" s="57">
        <v>60.067999999999998</v>
      </c>
      <c r="H463" s="57">
        <v>65.158000000000001</v>
      </c>
      <c r="I463" s="57">
        <v>69.894999999999996</v>
      </c>
      <c r="J463" s="57">
        <v>73.308999999999997</v>
      </c>
      <c r="K463" s="57">
        <v>74.430000000000007</v>
      </c>
      <c r="L463" s="57">
        <v>76.864000000000004</v>
      </c>
      <c r="M463" s="57">
        <v>79.834000000000003</v>
      </c>
      <c r="N463" s="57"/>
      <c r="O463" s="57"/>
      <c r="P463" s="57"/>
      <c r="Q463" s="57"/>
      <c r="R463" s="57"/>
      <c r="S463" s="57"/>
      <c r="T463" s="57"/>
      <c r="U463" s="57"/>
    </row>
    <row r="464" spans="1:21">
      <c r="A464" s="55" t="s">
        <v>420</v>
      </c>
      <c r="B464" s="55" t="s">
        <v>408</v>
      </c>
      <c r="C464" s="57">
        <v>76.19</v>
      </c>
      <c r="D464" s="57">
        <v>77.816000000000003</v>
      </c>
      <c r="E464" s="57">
        <v>81.197000000000003</v>
      </c>
      <c r="F464" s="57">
        <v>84.049000000000007</v>
      </c>
      <c r="G464" s="57">
        <v>84.477000000000004</v>
      </c>
      <c r="H464" s="57">
        <v>84.694000000000003</v>
      </c>
      <c r="I464" s="57">
        <v>85.653999999999996</v>
      </c>
      <c r="J464" s="57">
        <v>85.876000000000005</v>
      </c>
      <c r="K464" s="57">
        <v>87.126000000000005</v>
      </c>
      <c r="L464" s="57">
        <v>88.771000000000001</v>
      </c>
      <c r="M464" s="57">
        <v>88.863</v>
      </c>
      <c r="N464" s="57"/>
      <c r="O464" s="57"/>
      <c r="P464" s="57"/>
      <c r="Q464" s="57"/>
      <c r="R464" s="57"/>
      <c r="S464" s="57"/>
      <c r="T464" s="57"/>
      <c r="U464" s="57"/>
    </row>
    <row r="465" spans="1:14">
      <c r="A465" s="55" t="s">
        <v>420</v>
      </c>
      <c r="B465" s="55" t="s">
        <v>409</v>
      </c>
      <c r="C465" s="57">
        <v>63.651000000000003</v>
      </c>
      <c r="D465" s="57">
        <v>65.697999999999993</v>
      </c>
      <c r="E465" s="57">
        <v>68.028000000000006</v>
      </c>
      <c r="F465" s="57">
        <v>70.722999999999999</v>
      </c>
      <c r="G465" s="57">
        <v>73.475999999999999</v>
      </c>
      <c r="H465" s="57">
        <v>75.459999999999994</v>
      </c>
      <c r="I465" s="57">
        <v>77.775000000000006</v>
      </c>
      <c r="J465" s="57">
        <v>79.692999999999998</v>
      </c>
      <c r="K465" s="57">
        <v>81.766000000000005</v>
      </c>
      <c r="L465" s="57">
        <v>83.117000000000004</v>
      </c>
      <c r="M465" s="57">
        <v>84.715999999999994</v>
      </c>
      <c r="N465" s="57"/>
    </row>
    <row r="466" spans="1:14">
      <c r="A466" s="55" t="s">
        <v>420</v>
      </c>
      <c r="B466" s="55" t="s">
        <v>410</v>
      </c>
      <c r="C466" s="57">
        <v>284.322</v>
      </c>
      <c r="D466" s="57">
        <v>277.65300000000002</v>
      </c>
      <c r="E466" s="57">
        <v>273.91300000000001</v>
      </c>
      <c r="F466" s="57">
        <v>271.17399999999998</v>
      </c>
      <c r="G466" s="57">
        <v>274.26799999999997</v>
      </c>
      <c r="H466" s="57">
        <v>267.43400000000003</v>
      </c>
      <c r="I466" s="57">
        <v>258.52800000000002</v>
      </c>
      <c r="J466" s="57">
        <v>247.83500000000001</v>
      </c>
      <c r="K466" s="57">
        <v>223.10400000000001</v>
      </c>
      <c r="L466" s="57">
        <v>206.095</v>
      </c>
      <c r="M466" s="57">
        <v>191.95500000000001</v>
      </c>
    </row>
    <row r="468" spans="1:14">
      <c r="A468" s="17" t="s">
        <v>421</v>
      </c>
    </row>
    <row r="469" spans="1:14">
      <c r="A469" s="55" t="s">
        <v>422</v>
      </c>
      <c r="B469" s="55" t="s">
        <v>423</v>
      </c>
      <c r="C469" s="55">
        <v>8639922</v>
      </c>
      <c r="D469" s="55">
        <v>9359516</v>
      </c>
      <c r="E469" s="55">
        <v>9969567</v>
      </c>
      <c r="F469" s="55">
        <v>10511114</v>
      </c>
      <c r="G469" s="55">
        <v>10676472</v>
      </c>
      <c r="H469" s="55">
        <v>11242426</v>
      </c>
      <c r="I469" s="55">
        <v>11857619</v>
      </c>
      <c r="J469" s="55">
        <v>12647199</v>
      </c>
      <c r="K469" s="55">
        <v>13451594</v>
      </c>
      <c r="L469" s="55">
        <v>14259899</v>
      </c>
      <c r="M469" s="55">
        <v>15160533</v>
      </c>
    </row>
    <row r="470" spans="1:14">
      <c r="A470" s="55" t="s">
        <v>422</v>
      </c>
      <c r="B470" s="55" t="s">
        <v>326</v>
      </c>
      <c r="C470" s="55">
        <v>7619691</v>
      </c>
      <c r="D470" s="55">
        <v>8284345</v>
      </c>
      <c r="E470" s="55">
        <v>8824228</v>
      </c>
      <c r="F470" s="55">
        <v>9283486</v>
      </c>
      <c r="G470" s="55">
        <v>9376858</v>
      </c>
      <c r="H470" s="55">
        <v>9887935</v>
      </c>
      <c r="I470" s="55">
        <v>10455606</v>
      </c>
      <c r="J470" s="55">
        <v>11188045</v>
      </c>
      <c r="K470" s="55">
        <v>11939490</v>
      </c>
      <c r="L470" s="55">
        <v>12694707</v>
      </c>
      <c r="M470" s="55">
        <v>13533131</v>
      </c>
    </row>
    <row r="471" spans="1:14">
      <c r="A471" s="55" t="s">
        <v>422</v>
      </c>
      <c r="B471" s="55" t="s">
        <v>327</v>
      </c>
      <c r="C471" s="55">
        <v>173507</v>
      </c>
      <c r="D471" s="55">
        <v>183129</v>
      </c>
      <c r="E471" s="55">
        <v>201850</v>
      </c>
      <c r="F471" s="55">
        <v>211052</v>
      </c>
      <c r="G471" s="55">
        <v>205260</v>
      </c>
      <c r="H471" s="55">
        <v>216833</v>
      </c>
      <c r="I471" s="55">
        <v>218394</v>
      </c>
      <c r="J471" s="55">
        <v>237493</v>
      </c>
      <c r="K471" s="55">
        <v>232412</v>
      </c>
      <c r="L471" s="55">
        <v>255331</v>
      </c>
      <c r="M471" s="55">
        <v>257506</v>
      </c>
    </row>
    <row r="472" spans="1:14">
      <c r="A472" s="55" t="s">
        <v>422</v>
      </c>
      <c r="B472" s="55" t="s">
        <v>328</v>
      </c>
      <c r="C472" s="55">
        <v>147055</v>
      </c>
      <c r="D472" s="55">
        <v>153681</v>
      </c>
      <c r="E472" s="55">
        <v>171924</v>
      </c>
      <c r="F472" s="55">
        <v>179887</v>
      </c>
      <c r="G472" s="55">
        <v>175266</v>
      </c>
      <c r="H472" s="55">
        <v>182577</v>
      </c>
      <c r="I472" s="55">
        <v>182156</v>
      </c>
      <c r="J472" s="55">
        <v>197496</v>
      </c>
      <c r="K472" s="55">
        <v>191897</v>
      </c>
      <c r="L472" s="55">
        <v>215813</v>
      </c>
      <c r="M472" s="55">
        <v>219380</v>
      </c>
    </row>
    <row r="473" spans="1:14">
      <c r="A473" s="55" t="s">
        <v>422</v>
      </c>
      <c r="B473" s="55" t="s">
        <v>329</v>
      </c>
      <c r="C473" s="55">
        <v>26452</v>
      </c>
      <c r="D473" s="55">
        <v>29448</v>
      </c>
      <c r="E473" s="55">
        <v>29926</v>
      </c>
      <c r="F473" s="55">
        <v>31165</v>
      </c>
      <c r="G473" s="55">
        <v>29995</v>
      </c>
      <c r="H473" s="55">
        <v>34256</v>
      </c>
      <c r="I473" s="55">
        <v>36238</v>
      </c>
      <c r="J473" s="55">
        <v>39997</v>
      </c>
      <c r="K473" s="55">
        <v>40515</v>
      </c>
      <c r="L473" s="55">
        <v>39518</v>
      </c>
      <c r="M473" s="55">
        <v>38126</v>
      </c>
    </row>
    <row r="474" spans="1:14">
      <c r="A474" s="55" t="s">
        <v>422</v>
      </c>
      <c r="B474" s="55" t="s">
        <v>330</v>
      </c>
      <c r="C474" s="55">
        <v>130374</v>
      </c>
      <c r="D474" s="55">
        <v>131062</v>
      </c>
      <c r="E474" s="55">
        <v>137158</v>
      </c>
      <c r="F474" s="55">
        <v>154464</v>
      </c>
      <c r="G474" s="55">
        <v>146156</v>
      </c>
      <c r="H474" s="55">
        <v>139208</v>
      </c>
      <c r="I474" s="55">
        <v>138813</v>
      </c>
      <c r="J474" s="55">
        <v>136606</v>
      </c>
      <c r="K474" s="55">
        <v>135898</v>
      </c>
      <c r="L474" s="55">
        <v>161210</v>
      </c>
      <c r="M474" s="55">
        <v>170593</v>
      </c>
    </row>
    <row r="475" spans="1:14">
      <c r="A475" s="55" t="s">
        <v>422</v>
      </c>
      <c r="B475" s="55" t="s">
        <v>331</v>
      </c>
      <c r="C475" s="55">
        <v>75608</v>
      </c>
      <c r="D475" s="55">
        <v>68744</v>
      </c>
      <c r="E475" s="55">
        <v>74564</v>
      </c>
      <c r="F475" s="55">
        <v>87294</v>
      </c>
      <c r="G475" s="55">
        <v>78530</v>
      </c>
      <c r="H475" s="55">
        <v>76772</v>
      </c>
      <c r="I475" s="55">
        <v>77164</v>
      </c>
      <c r="J475" s="55">
        <v>71235</v>
      </c>
      <c r="K475" s="55">
        <v>69788</v>
      </c>
      <c r="L475" s="55">
        <v>91928</v>
      </c>
      <c r="M475" s="55">
        <v>93076</v>
      </c>
    </row>
    <row r="476" spans="1:14">
      <c r="A476" s="55" t="s">
        <v>422</v>
      </c>
      <c r="B476" s="55" t="s">
        <v>332</v>
      </c>
      <c r="C476" s="55">
        <v>43523</v>
      </c>
      <c r="D476" s="55">
        <v>48529</v>
      </c>
      <c r="E476" s="55">
        <v>49472</v>
      </c>
      <c r="F476" s="55">
        <v>51535</v>
      </c>
      <c r="G476" s="55">
        <v>51373</v>
      </c>
      <c r="H476" s="55">
        <v>49567</v>
      </c>
      <c r="I476" s="55">
        <v>46200</v>
      </c>
      <c r="J476" s="55">
        <v>50558</v>
      </c>
      <c r="K476" s="55">
        <v>51293</v>
      </c>
      <c r="L476" s="55">
        <v>51614</v>
      </c>
      <c r="M476" s="55">
        <v>52590</v>
      </c>
    </row>
    <row r="477" spans="1:14">
      <c r="A477" s="55" t="s">
        <v>422</v>
      </c>
      <c r="B477" s="55" t="s">
        <v>333</v>
      </c>
      <c r="C477" s="55">
        <v>11242</v>
      </c>
      <c r="D477" s="55">
        <v>13788</v>
      </c>
      <c r="E477" s="55">
        <v>13122</v>
      </c>
      <c r="F477" s="55">
        <v>15635</v>
      </c>
      <c r="G477" s="55">
        <v>16253</v>
      </c>
      <c r="H477" s="55">
        <v>12869</v>
      </c>
      <c r="I477" s="55">
        <v>15449</v>
      </c>
      <c r="J477" s="55">
        <v>14812</v>
      </c>
      <c r="K477" s="55">
        <v>14818</v>
      </c>
      <c r="L477" s="55">
        <v>17668</v>
      </c>
      <c r="M477" s="55">
        <v>24927</v>
      </c>
    </row>
    <row r="478" spans="1:14">
      <c r="A478" s="55" t="s">
        <v>422</v>
      </c>
      <c r="B478" s="55" t="s">
        <v>334</v>
      </c>
      <c r="C478" s="55">
        <v>188098</v>
      </c>
      <c r="D478" s="55">
        <v>197481</v>
      </c>
      <c r="E478" s="55">
        <v>210850</v>
      </c>
      <c r="F478" s="55">
        <v>216093</v>
      </c>
      <c r="G478" s="55">
        <v>228276</v>
      </c>
      <c r="H478" s="55">
        <v>237237</v>
      </c>
      <c r="I478" s="55">
        <v>248938</v>
      </c>
      <c r="J478" s="55">
        <v>251534</v>
      </c>
      <c r="K478" s="55">
        <v>252560</v>
      </c>
      <c r="L478" s="55">
        <v>263740</v>
      </c>
      <c r="M478" s="55">
        <v>269431</v>
      </c>
    </row>
    <row r="479" spans="1:14">
      <c r="A479" s="55" t="s">
        <v>422</v>
      </c>
      <c r="B479" s="55" t="s">
        <v>335</v>
      </c>
      <c r="C479" s="55">
        <v>493814</v>
      </c>
      <c r="D479" s="55">
        <v>509046</v>
      </c>
      <c r="E479" s="55">
        <v>523819</v>
      </c>
      <c r="F479" s="55">
        <v>530121</v>
      </c>
      <c r="G479" s="55">
        <v>490716</v>
      </c>
      <c r="H479" s="55">
        <v>514816</v>
      </c>
      <c r="I479" s="55">
        <v>549616</v>
      </c>
      <c r="J479" s="55">
        <v>597507</v>
      </c>
      <c r="K479" s="55">
        <v>629372</v>
      </c>
      <c r="L479" s="55">
        <v>689619</v>
      </c>
      <c r="M479" s="55">
        <v>739768</v>
      </c>
    </row>
    <row r="480" spans="1:14">
      <c r="A480" s="55" t="s">
        <v>422</v>
      </c>
      <c r="B480" s="55" t="s">
        <v>336</v>
      </c>
      <c r="C480" s="55">
        <v>2376412</v>
      </c>
      <c r="D480" s="55">
        <v>2588841</v>
      </c>
      <c r="E480" s="55">
        <v>2730291</v>
      </c>
      <c r="F480" s="55">
        <v>2788825</v>
      </c>
      <c r="G480" s="55">
        <v>2744547</v>
      </c>
      <c r="H480" s="55">
        <v>2866977</v>
      </c>
      <c r="I480" s="55">
        <v>2988379</v>
      </c>
      <c r="J480" s="55">
        <v>3205899</v>
      </c>
      <c r="K480" s="55">
        <v>3447542</v>
      </c>
      <c r="L480" s="55">
        <v>3558303</v>
      </c>
      <c r="M480" s="55">
        <v>3772115</v>
      </c>
    </row>
    <row r="481" spans="1:13">
      <c r="A481" s="55" t="s">
        <v>422</v>
      </c>
      <c r="B481" s="55" t="s">
        <v>337</v>
      </c>
      <c r="C481" s="55">
        <v>1271760</v>
      </c>
      <c r="D481" s="55">
        <v>1393359</v>
      </c>
      <c r="E481" s="55">
        <v>1448954</v>
      </c>
      <c r="F481" s="55">
        <v>1451021</v>
      </c>
      <c r="G481" s="55">
        <v>1405760</v>
      </c>
      <c r="H481" s="55">
        <v>1491295</v>
      </c>
      <c r="I481" s="55">
        <v>1585746</v>
      </c>
      <c r="J481" s="55">
        <v>1744129</v>
      </c>
      <c r="K481" s="55">
        <v>1883595</v>
      </c>
      <c r="L481" s="55">
        <v>1959836</v>
      </c>
      <c r="M481" s="55">
        <v>2108244</v>
      </c>
    </row>
    <row r="482" spans="1:13">
      <c r="A482" s="55" t="s">
        <v>422</v>
      </c>
      <c r="B482" s="55" t="s">
        <v>338</v>
      </c>
      <c r="C482" s="55">
        <v>54377</v>
      </c>
      <c r="D482" s="55">
        <v>55888</v>
      </c>
      <c r="E482" s="55">
        <v>57339</v>
      </c>
      <c r="F482" s="55">
        <v>56810</v>
      </c>
      <c r="G482" s="55">
        <v>53651</v>
      </c>
      <c r="H482" s="55">
        <v>61718</v>
      </c>
      <c r="I482" s="55">
        <v>71756</v>
      </c>
      <c r="J482" s="55">
        <v>79430</v>
      </c>
      <c r="K482" s="55">
        <v>80638</v>
      </c>
      <c r="L482" s="55">
        <v>82658</v>
      </c>
      <c r="M482" s="55">
        <v>88086</v>
      </c>
    </row>
    <row r="483" spans="1:13">
      <c r="A483" s="55" t="s">
        <v>422</v>
      </c>
      <c r="B483" s="55" t="s">
        <v>339</v>
      </c>
      <c r="C483" s="55">
        <v>60263</v>
      </c>
      <c r="D483" s="55">
        <v>61707</v>
      </c>
      <c r="E483" s="55">
        <v>62274</v>
      </c>
      <c r="F483" s="55">
        <v>62338</v>
      </c>
      <c r="G483" s="55">
        <v>58295</v>
      </c>
      <c r="H483" s="55">
        <v>60587</v>
      </c>
      <c r="I483" s="55">
        <v>63487</v>
      </c>
      <c r="J483" s="55">
        <v>68947</v>
      </c>
      <c r="K483" s="55">
        <v>73965</v>
      </c>
      <c r="L483" s="55">
        <v>80102</v>
      </c>
      <c r="M483" s="55">
        <v>84176</v>
      </c>
    </row>
    <row r="484" spans="1:13">
      <c r="A484" s="55" t="s">
        <v>422</v>
      </c>
      <c r="B484" s="55" t="s">
        <v>340</v>
      </c>
      <c r="C484" s="55">
        <v>109577</v>
      </c>
      <c r="D484" s="55">
        <v>136792</v>
      </c>
      <c r="E484" s="55">
        <v>141687</v>
      </c>
      <c r="F484" s="55">
        <v>135456</v>
      </c>
      <c r="G484" s="55">
        <v>123555</v>
      </c>
      <c r="H484" s="55">
        <v>124775</v>
      </c>
      <c r="I484" s="55">
        <v>129183</v>
      </c>
      <c r="J484" s="55">
        <v>144566</v>
      </c>
      <c r="K484" s="55">
        <v>162202</v>
      </c>
      <c r="L484" s="55">
        <v>160091</v>
      </c>
      <c r="M484" s="55">
        <v>166528</v>
      </c>
    </row>
    <row r="485" spans="1:13">
      <c r="A485" s="55" t="s">
        <v>422</v>
      </c>
      <c r="B485" s="55" t="s">
        <v>341</v>
      </c>
      <c r="C485" s="55">
        <v>146774</v>
      </c>
      <c r="D485" s="55">
        <v>160757</v>
      </c>
      <c r="E485" s="55">
        <v>166892</v>
      </c>
      <c r="F485" s="55">
        <v>169875</v>
      </c>
      <c r="G485" s="55">
        <v>165110</v>
      </c>
      <c r="H485" s="55">
        <v>170707</v>
      </c>
      <c r="I485" s="55">
        <v>177704</v>
      </c>
      <c r="J485" s="55">
        <v>195612</v>
      </c>
      <c r="K485" s="55">
        <v>214115</v>
      </c>
      <c r="L485" s="55">
        <v>224753</v>
      </c>
      <c r="M485" s="55">
        <v>238104</v>
      </c>
    </row>
    <row r="486" spans="1:13">
      <c r="A486" s="55" t="s">
        <v>422</v>
      </c>
      <c r="B486" s="55" t="s">
        <v>342</v>
      </c>
      <c r="C486" s="55">
        <v>148019</v>
      </c>
      <c r="D486" s="55">
        <v>165244</v>
      </c>
      <c r="E486" s="55">
        <v>179773</v>
      </c>
      <c r="F486" s="55">
        <v>179976</v>
      </c>
      <c r="G486" s="55">
        <v>173119</v>
      </c>
      <c r="H486" s="55">
        <v>175747</v>
      </c>
      <c r="I486" s="55">
        <v>191633</v>
      </c>
      <c r="J486" s="55">
        <v>213463</v>
      </c>
      <c r="K486" s="55">
        <v>236286</v>
      </c>
      <c r="L486" s="55">
        <v>246791</v>
      </c>
      <c r="M486" s="55">
        <v>261592</v>
      </c>
    </row>
    <row r="487" spans="1:13">
      <c r="A487" s="55" t="s">
        <v>422</v>
      </c>
      <c r="B487" s="55" t="s">
        <v>343</v>
      </c>
      <c r="C487" s="55">
        <v>216424</v>
      </c>
      <c r="D487" s="55">
        <v>237145</v>
      </c>
      <c r="E487" s="55">
        <v>241451</v>
      </c>
      <c r="F487" s="55">
        <v>250464</v>
      </c>
      <c r="G487" s="55">
        <v>252548</v>
      </c>
      <c r="H487" s="55">
        <v>268828</v>
      </c>
      <c r="I487" s="55">
        <v>281528</v>
      </c>
      <c r="J487" s="55">
        <v>316066</v>
      </c>
      <c r="K487" s="55">
        <v>367266</v>
      </c>
      <c r="L487" s="55">
        <v>392624</v>
      </c>
      <c r="M487" s="55">
        <v>430257</v>
      </c>
    </row>
    <row r="488" spans="1:13">
      <c r="A488" s="55" t="s">
        <v>422</v>
      </c>
      <c r="B488" s="55" t="s">
        <v>344</v>
      </c>
      <c r="C488" s="55">
        <v>71461</v>
      </c>
      <c r="D488" s="55">
        <v>76958</v>
      </c>
      <c r="E488" s="55">
        <v>80983</v>
      </c>
      <c r="F488" s="55">
        <v>79631</v>
      </c>
      <c r="G488" s="55">
        <v>75667</v>
      </c>
      <c r="H488" s="55">
        <v>81307</v>
      </c>
      <c r="I488" s="55">
        <v>87814</v>
      </c>
      <c r="J488" s="55">
        <v>95762</v>
      </c>
      <c r="K488" s="55">
        <v>101172</v>
      </c>
      <c r="L488" s="55">
        <v>104858</v>
      </c>
      <c r="M488" s="55">
        <v>109195</v>
      </c>
    </row>
    <row r="489" spans="1:13">
      <c r="A489" s="55" t="s">
        <v>422</v>
      </c>
      <c r="B489" s="55" t="s">
        <v>345</v>
      </c>
      <c r="C489" s="55">
        <v>240617</v>
      </c>
      <c r="D489" s="55">
        <v>259634</v>
      </c>
      <c r="E489" s="55">
        <v>269769</v>
      </c>
      <c r="F489" s="55">
        <v>249481</v>
      </c>
      <c r="G489" s="55">
        <v>239465</v>
      </c>
      <c r="H489" s="55">
        <v>275865</v>
      </c>
      <c r="I489" s="55">
        <v>310611</v>
      </c>
      <c r="J489" s="55">
        <v>363580</v>
      </c>
      <c r="K489" s="55">
        <v>378593</v>
      </c>
      <c r="L489" s="55">
        <v>383174</v>
      </c>
      <c r="M489" s="55">
        <v>416162</v>
      </c>
    </row>
    <row r="490" spans="1:13">
      <c r="A490" s="55" t="s">
        <v>422</v>
      </c>
      <c r="B490" s="55" t="s">
        <v>346</v>
      </c>
      <c r="C490" s="55">
        <v>125973</v>
      </c>
      <c r="D490" s="55">
        <v>133293</v>
      </c>
      <c r="E490" s="55">
        <v>138190</v>
      </c>
      <c r="F490" s="55">
        <v>151354</v>
      </c>
      <c r="G490" s="55">
        <v>149152</v>
      </c>
      <c r="H490" s="55">
        <v>148688</v>
      </c>
      <c r="I490" s="55">
        <v>140086</v>
      </c>
      <c r="J490" s="55">
        <v>128650</v>
      </c>
      <c r="K490" s="55">
        <v>123617</v>
      </c>
      <c r="L490" s="55">
        <v>131875</v>
      </c>
      <c r="M490" s="55">
        <v>150627</v>
      </c>
    </row>
    <row r="491" spans="1:13">
      <c r="A491" s="55" t="s">
        <v>422</v>
      </c>
      <c r="B491" s="55" t="s">
        <v>347</v>
      </c>
      <c r="C491" s="55">
        <v>41303</v>
      </c>
      <c r="D491" s="55">
        <v>42585</v>
      </c>
      <c r="E491" s="55">
        <v>44319</v>
      </c>
      <c r="F491" s="55">
        <v>44457</v>
      </c>
      <c r="G491" s="55">
        <v>41925</v>
      </c>
      <c r="H491" s="55">
        <v>45716</v>
      </c>
      <c r="I491" s="55">
        <v>48513</v>
      </c>
      <c r="J491" s="55">
        <v>52132</v>
      </c>
      <c r="K491" s="55">
        <v>54665</v>
      </c>
      <c r="L491" s="55">
        <v>56422</v>
      </c>
      <c r="M491" s="55">
        <v>63311</v>
      </c>
    </row>
    <row r="492" spans="1:13">
      <c r="A492" s="55" t="s">
        <v>422</v>
      </c>
      <c r="B492" s="55" t="s">
        <v>348</v>
      </c>
      <c r="C492" s="55">
        <v>56973</v>
      </c>
      <c r="D492" s="55">
        <v>63355</v>
      </c>
      <c r="E492" s="55">
        <v>66277</v>
      </c>
      <c r="F492" s="55">
        <v>71180</v>
      </c>
      <c r="G492" s="55">
        <v>73271</v>
      </c>
      <c r="H492" s="55">
        <v>77358</v>
      </c>
      <c r="I492" s="55">
        <v>83430</v>
      </c>
      <c r="J492" s="55">
        <v>85921</v>
      </c>
      <c r="K492" s="55">
        <v>91075</v>
      </c>
      <c r="L492" s="55">
        <v>96488</v>
      </c>
      <c r="M492" s="55">
        <v>100205</v>
      </c>
    </row>
    <row r="493" spans="1:13">
      <c r="A493" s="55" t="s">
        <v>422</v>
      </c>
      <c r="B493" s="55" t="s">
        <v>349</v>
      </c>
      <c r="C493" s="55">
        <v>1104652</v>
      </c>
      <c r="D493" s="55">
        <v>1195482</v>
      </c>
      <c r="E493" s="55">
        <v>1281337</v>
      </c>
      <c r="F493" s="55">
        <v>1337803</v>
      </c>
      <c r="G493" s="55">
        <v>1338787</v>
      </c>
      <c r="H493" s="55">
        <v>1375682</v>
      </c>
      <c r="I493" s="55">
        <v>1402633</v>
      </c>
      <c r="J493" s="55">
        <v>1461770</v>
      </c>
      <c r="K493" s="55">
        <v>1563946</v>
      </c>
      <c r="L493" s="55">
        <v>1598467</v>
      </c>
      <c r="M493" s="55">
        <v>1663871</v>
      </c>
    </row>
    <row r="494" spans="1:13">
      <c r="A494" s="55" t="s">
        <v>422</v>
      </c>
      <c r="B494" s="55" t="s">
        <v>350</v>
      </c>
      <c r="C494" s="55">
        <v>347137</v>
      </c>
      <c r="D494" s="55">
        <v>374233</v>
      </c>
      <c r="E494" s="55">
        <v>403745</v>
      </c>
      <c r="F494" s="55">
        <v>419100</v>
      </c>
      <c r="G494" s="55">
        <v>430289</v>
      </c>
      <c r="H494" s="55">
        <v>443895</v>
      </c>
      <c r="I494" s="55">
        <v>451774</v>
      </c>
      <c r="J494" s="55">
        <v>462023</v>
      </c>
      <c r="K494" s="55">
        <v>481821</v>
      </c>
      <c r="L494" s="55">
        <v>496689</v>
      </c>
      <c r="M494" s="55">
        <v>516385</v>
      </c>
    </row>
    <row r="495" spans="1:13">
      <c r="A495" s="55" t="s">
        <v>422</v>
      </c>
      <c r="B495" s="55" t="s">
        <v>351</v>
      </c>
      <c r="C495" s="55">
        <v>67551</v>
      </c>
      <c r="D495" s="55">
        <v>70652</v>
      </c>
      <c r="E495" s="55">
        <v>73311</v>
      </c>
      <c r="F495" s="55">
        <v>71520</v>
      </c>
      <c r="G495" s="55">
        <v>71627</v>
      </c>
      <c r="H495" s="55">
        <v>76536</v>
      </c>
      <c r="I495" s="55">
        <v>80189</v>
      </c>
      <c r="J495" s="55">
        <v>84973</v>
      </c>
      <c r="K495" s="55">
        <v>86418</v>
      </c>
      <c r="L495" s="55">
        <v>86232</v>
      </c>
      <c r="M495" s="55">
        <v>89616</v>
      </c>
    </row>
    <row r="496" spans="1:13">
      <c r="A496" s="55" t="s">
        <v>422</v>
      </c>
      <c r="B496" s="55" t="s">
        <v>352</v>
      </c>
      <c r="C496" s="55">
        <v>66453</v>
      </c>
      <c r="D496" s="55">
        <v>68674</v>
      </c>
      <c r="E496" s="55">
        <v>67381</v>
      </c>
      <c r="F496" s="55">
        <v>68184</v>
      </c>
      <c r="G496" s="55">
        <v>69442</v>
      </c>
      <c r="H496" s="55">
        <v>74055</v>
      </c>
      <c r="I496" s="55">
        <v>75687</v>
      </c>
      <c r="J496" s="55">
        <v>77582</v>
      </c>
      <c r="K496" s="55">
        <v>77357</v>
      </c>
      <c r="L496" s="55">
        <v>76521</v>
      </c>
      <c r="M496" s="55">
        <v>78335</v>
      </c>
    </row>
    <row r="497" spans="1:13">
      <c r="A497" s="55" t="s">
        <v>422</v>
      </c>
      <c r="B497" s="55" t="s">
        <v>353</v>
      </c>
      <c r="C497" s="55">
        <v>103767</v>
      </c>
      <c r="D497" s="55">
        <v>117209</v>
      </c>
      <c r="E497" s="55">
        <v>125825</v>
      </c>
      <c r="F497" s="55">
        <v>126122</v>
      </c>
      <c r="G497" s="55">
        <v>124095</v>
      </c>
      <c r="H497" s="55">
        <v>126020</v>
      </c>
      <c r="I497" s="55">
        <v>125968</v>
      </c>
      <c r="J497" s="55">
        <v>135572</v>
      </c>
      <c r="K497" s="55">
        <v>165479</v>
      </c>
      <c r="L497" s="55">
        <v>151770</v>
      </c>
      <c r="M497" s="55">
        <v>148313</v>
      </c>
    </row>
    <row r="498" spans="1:13">
      <c r="A498" s="55" t="s">
        <v>422</v>
      </c>
      <c r="B498" s="55" t="s">
        <v>354</v>
      </c>
      <c r="C498" s="55">
        <v>66272</v>
      </c>
      <c r="D498" s="55">
        <v>70636</v>
      </c>
      <c r="E498" s="55">
        <v>74243</v>
      </c>
      <c r="F498" s="55">
        <v>78170</v>
      </c>
      <c r="G498" s="55">
        <v>76513</v>
      </c>
      <c r="H498" s="55">
        <v>81115</v>
      </c>
      <c r="I498" s="55">
        <v>82905</v>
      </c>
      <c r="J498" s="55">
        <v>85140</v>
      </c>
      <c r="K498" s="55">
        <v>91962</v>
      </c>
      <c r="L498" s="55">
        <v>94896</v>
      </c>
      <c r="M498" s="55">
        <v>97222</v>
      </c>
    </row>
    <row r="499" spans="1:13">
      <c r="A499" s="55" t="s">
        <v>422</v>
      </c>
      <c r="B499" s="55" t="s">
        <v>355</v>
      </c>
      <c r="C499" s="55">
        <v>128789</v>
      </c>
      <c r="D499" s="55">
        <v>128615</v>
      </c>
      <c r="E499" s="55">
        <v>142635</v>
      </c>
      <c r="F499" s="55">
        <v>168946</v>
      </c>
      <c r="G499" s="55">
        <v>155835</v>
      </c>
      <c r="H499" s="55">
        <v>146802</v>
      </c>
      <c r="I499" s="55">
        <v>142056</v>
      </c>
      <c r="J499" s="55">
        <v>140859</v>
      </c>
      <c r="K499" s="55">
        <v>148590</v>
      </c>
      <c r="L499" s="55">
        <v>170243</v>
      </c>
      <c r="M499" s="55">
        <v>174578</v>
      </c>
    </row>
    <row r="500" spans="1:13">
      <c r="A500" s="55" t="s">
        <v>422</v>
      </c>
      <c r="B500" s="55" t="s">
        <v>356</v>
      </c>
      <c r="C500" s="55">
        <v>236496</v>
      </c>
      <c r="D500" s="55">
        <v>268352</v>
      </c>
      <c r="E500" s="55">
        <v>291094</v>
      </c>
      <c r="F500" s="55">
        <v>298866</v>
      </c>
      <c r="G500" s="55">
        <v>304314</v>
      </c>
      <c r="H500" s="55">
        <v>313776</v>
      </c>
      <c r="I500" s="55">
        <v>321937</v>
      </c>
      <c r="J500" s="55">
        <v>341850</v>
      </c>
      <c r="K500" s="55">
        <v>368021</v>
      </c>
      <c r="L500" s="55">
        <v>373654</v>
      </c>
      <c r="M500" s="55">
        <v>402529</v>
      </c>
    </row>
    <row r="501" spans="1:13">
      <c r="A501" s="55" t="s">
        <v>422</v>
      </c>
      <c r="B501" s="55" t="s">
        <v>357</v>
      </c>
      <c r="C501" s="55">
        <v>88188</v>
      </c>
      <c r="D501" s="55">
        <v>97111</v>
      </c>
      <c r="E501" s="55">
        <v>103103</v>
      </c>
      <c r="F501" s="55">
        <v>106895</v>
      </c>
      <c r="G501" s="55">
        <v>106673</v>
      </c>
      <c r="H501" s="55">
        <v>113482</v>
      </c>
      <c r="I501" s="55">
        <v>122116</v>
      </c>
      <c r="J501" s="55">
        <v>133771</v>
      </c>
      <c r="K501" s="55">
        <v>144298</v>
      </c>
      <c r="L501" s="55">
        <v>148461</v>
      </c>
      <c r="M501" s="55">
        <v>156893</v>
      </c>
    </row>
    <row r="502" spans="1:13">
      <c r="A502" s="55" t="s">
        <v>422</v>
      </c>
      <c r="B502" s="55" t="s">
        <v>358</v>
      </c>
      <c r="C502" s="55">
        <v>410558</v>
      </c>
      <c r="D502" s="55">
        <v>453139</v>
      </c>
      <c r="E502" s="55">
        <v>476796</v>
      </c>
      <c r="F502" s="55">
        <v>507042</v>
      </c>
      <c r="G502" s="55">
        <v>512649</v>
      </c>
      <c r="H502" s="55">
        <v>533921</v>
      </c>
      <c r="I502" s="55">
        <v>576086</v>
      </c>
      <c r="J502" s="55">
        <v>632125</v>
      </c>
      <c r="K502" s="55">
        <v>688662</v>
      </c>
      <c r="L502" s="55">
        <v>711656</v>
      </c>
      <c r="M502" s="55">
        <v>746668</v>
      </c>
    </row>
    <row r="503" spans="1:13">
      <c r="A503" s="55" t="s">
        <v>422</v>
      </c>
      <c r="B503" s="55" t="s">
        <v>359</v>
      </c>
      <c r="C503" s="55">
        <v>514127</v>
      </c>
      <c r="D503" s="55">
        <v>535913</v>
      </c>
      <c r="E503" s="55">
        <v>566272</v>
      </c>
      <c r="F503" s="55">
        <v>588701</v>
      </c>
      <c r="G503" s="55">
        <v>596279</v>
      </c>
      <c r="H503" s="55">
        <v>629448</v>
      </c>
      <c r="I503" s="55">
        <v>676432</v>
      </c>
      <c r="J503" s="55">
        <v>735856</v>
      </c>
      <c r="K503" s="55">
        <v>778295</v>
      </c>
      <c r="L503" s="55">
        <v>813772</v>
      </c>
      <c r="M503" s="55">
        <v>843567</v>
      </c>
    </row>
    <row r="504" spans="1:13">
      <c r="A504" s="55" t="s">
        <v>422</v>
      </c>
      <c r="B504" s="55" t="s">
        <v>360</v>
      </c>
      <c r="C504" s="55">
        <v>286282</v>
      </c>
      <c r="D504" s="55">
        <v>315942</v>
      </c>
      <c r="E504" s="55">
        <v>332645</v>
      </c>
      <c r="F504" s="55">
        <v>354225</v>
      </c>
      <c r="G504" s="55">
        <v>359022</v>
      </c>
      <c r="H504" s="55">
        <v>377499</v>
      </c>
      <c r="I504" s="55">
        <v>397419</v>
      </c>
      <c r="J504" s="55">
        <v>424693</v>
      </c>
      <c r="K504" s="55">
        <v>447117</v>
      </c>
      <c r="L504" s="55">
        <v>471758</v>
      </c>
      <c r="M504" s="55">
        <v>501994</v>
      </c>
    </row>
    <row r="505" spans="1:13">
      <c r="A505" s="55" t="s">
        <v>422</v>
      </c>
      <c r="B505" s="55" t="s">
        <v>361</v>
      </c>
      <c r="C505" s="55">
        <v>67434</v>
      </c>
      <c r="D505" s="55">
        <v>75390</v>
      </c>
      <c r="E505" s="55">
        <v>77765</v>
      </c>
      <c r="F505" s="55">
        <v>80579</v>
      </c>
      <c r="G505" s="55">
        <v>81158</v>
      </c>
      <c r="H505" s="55">
        <v>82909</v>
      </c>
      <c r="I505" s="55">
        <v>88683</v>
      </c>
      <c r="J505" s="55">
        <v>92775</v>
      </c>
      <c r="K505" s="55">
        <v>98888</v>
      </c>
      <c r="L505" s="55">
        <v>103910</v>
      </c>
      <c r="M505" s="55">
        <v>113176</v>
      </c>
    </row>
    <row r="506" spans="1:13">
      <c r="A506" s="55" t="s">
        <v>422</v>
      </c>
      <c r="B506" s="55" t="s">
        <v>362</v>
      </c>
      <c r="C506" s="55">
        <v>32501</v>
      </c>
      <c r="D506" s="55">
        <v>34426</v>
      </c>
      <c r="E506" s="55">
        <v>35070</v>
      </c>
      <c r="F506" s="55">
        <v>35820</v>
      </c>
      <c r="G506" s="55">
        <v>35446</v>
      </c>
      <c r="H506" s="55">
        <v>36508</v>
      </c>
      <c r="I506" s="55">
        <v>37119</v>
      </c>
      <c r="J506" s="55">
        <v>39467</v>
      </c>
      <c r="K506" s="55">
        <v>41329</v>
      </c>
      <c r="L506" s="55">
        <v>41914</v>
      </c>
      <c r="M506" s="55">
        <v>42492</v>
      </c>
    </row>
    <row r="507" spans="1:13">
      <c r="A507" s="55" t="s">
        <v>422</v>
      </c>
      <c r="B507" s="55" t="s">
        <v>363</v>
      </c>
      <c r="C507" s="55">
        <v>15719</v>
      </c>
      <c r="D507" s="55">
        <v>17356</v>
      </c>
      <c r="E507" s="55">
        <v>17542</v>
      </c>
      <c r="F507" s="55">
        <v>18485</v>
      </c>
      <c r="G507" s="55">
        <v>19028</v>
      </c>
      <c r="H507" s="55">
        <v>19087</v>
      </c>
      <c r="I507" s="55">
        <v>19947</v>
      </c>
      <c r="J507" s="55">
        <v>20389</v>
      </c>
      <c r="K507" s="55">
        <v>22082</v>
      </c>
      <c r="L507" s="55">
        <v>23837</v>
      </c>
      <c r="M507" s="55">
        <v>24540</v>
      </c>
    </row>
    <row r="508" spans="1:13">
      <c r="A508" s="55" t="s">
        <v>422</v>
      </c>
      <c r="B508" s="55" t="s">
        <v>364</v>
      </c>
      <c r="C508" s="55">
        <v>80440</v>
      </c>
      <c r="D508" s="55">
        <v>90659</v>
      </c>
      <c r="E508" s="55">
        <v>98514</v>
      </c>
      <c r="F508" s="55">
        <v>108862</v>
      </c>
      <c r="G508" s="55">
        <v>109183</v>
      </c>
      <c r="H508" s="55">
        <v>118109</v>
      </c>
      <c r="I508" s="55">
        <v>124802</v>
      </c>
      <c r="J508" s="55">
        <v>138348</v>
      </c>
      <c r="K508" s="55">
        <v>144495</v>
      </c>
      <c r="L508" s="55">
        <v>153225</v>
      </c>
      <c r="M508" s="55">
        <v>164211</v>
      </c>
    </row>
    <row r="509" spans="1:13">
      <c r="A509" s="55" t="s">
        <v>422</v>
      </c>
      <c r="B509" s="55" t="s">
        <v>365</v>
      </c>
      <c r="C509" s="55">
        <v>15532</v>
      </c>
      <c r="D509" s="55">
        <v>16384</v>
      </c>
      <c r="E509" s="55">
        <v>17262</v>
      </c>
      <c r="F509" s="55">
        <v>18554</v>
      </c>
      <c r="G509" s="55">
        <v>19385</v>
      </c>
      <c r="H509" s="55">
        <v>19812</v>
      </c>
      <c r="I509" s="55">
        <v>20258</v>
      </c>
      <c r="J509" s="55">
        <v>20724</v>
      </c>
      <c r="K509" s="55">
        <v>21855</v>
      </c>
      <c r="L509" s="55">
        <v>22973</v>
      </c>
      <c r="M509" s="55">
        <v>24176</v>
      </c>
    </row>
    <row r="510" spans="1:13">
      <c r="A510" s="55" t="s">
        <v>422</v>
      </c>
      <c r="B510" s="55" t="s">
        <v>366</v>
      </c>
      <c r="C510" s="55">
        <v>18867</v>
      </c>
      <c r="D510" s="55">
        <v>19031</v>
      </c>
      <c r="E510" s="55">
        <v>19367</v>
      </c>
      <c r="F510" s="55">
        <v>19429</v>
      </c>
      <c r="G510" s="55">
        <v>19196</v>
      </c>
      <c r="H510" s="55">
        <v>20319</v>
      </c>
      <c r="I510" s="55">
        <v>21585</v>
      </c>
      <c r="J510" s="55">
        <v>22207</v>
      </c>
      <c r="K510" s="55">
        <v>21700</v>
      </c>
      <c r="L510" s="55">
        <v>23872</v>
      </c>
      <c r="M510" s="55">
        <v>24690</v>
      </c>
    </row>
    <row r="511" spans="1:13">
      <c r="A511" s="55" t="s">
        <v>422</v>
      </c>
      <c r="B511" s="55" t="s">
        <v>367</v>
      </c>
      <c r="C511" s="55">
        <v>43679</v>
      </c>
      <c r="D511" s="55">
        <v>49161</v>
      </c>
      <c r="E511" s="55">
        <v>52765</v>
      </c>
      <c r="F511" s="55">
        <v>57084</v>
      </c>
      <c r="G511" s="55">
        <v>59984</v>
      </c>
      <c r="H511" s="55">
        <v>63621</v>
      </c>
      <c r="I511" s="55">
        <v>66543</v>
      </c>
      <c r="J511" s="55">
        <v>70513</v>
      </c>
      <c r="K511" s="55">
        <v>74334</v>
      </c>
      <c r="L511" s="55">
        <v>78401</v>
      </c>
      <c r="M511" s="55">
        <v>82376</v>
      </c>
    </row>
    <row r="512" spans="1:13">
      <c r="A512" s="55" t="s">
        <v>422</v>
      </c>
      <c r="B512" s="55" t="s">
        <v>368</v>
      </c>
      <c r="C512" s="55">
        <v>12110</v>
      </c>
      <c r="D512" s="55">
        <v>13535</v>
      </c>
      <c r="E512" s="55">
        <v>14361</v>
      </c>
      <c r="F512" s="55">
        <v>15412</v>
      </c>
      <c r="G512" s="55">
        <v>15642</v>
      </c>
      <c r="H512" s="55">
        <v>17136</v>
      </c>
      <c r="I512" s="55">
        <v>18482</v>
      </c>
      <c r="J512" s="55">
        <v>20270</v>
      </c>
      <c r="K512" s="55">
        <v>22434</v>
      </c>
      <c r="L512" s="55">
        <v>23628</v>
      </c>
      <c r="M512" s="55">
        <v>26333</v>
      </c>
    </row>
    <row r="513" spans="1:13">
      <c r="A513" s="55" t="s">
        <v>422</v>
      </c>
      <c r="B513" s="55" t="s">
        <v>369</v>
      </c>
      <c r="C513" s="55">
        <v>328346</v>
      </c>
      <c r="D513" s="55">
        <v>351920</v>
      </c>
      <c r="E513" s="55">
        <v>371319</v>
      </c>
      <c r="F513" s="55">
        <v>393605</v>
      </c>
      <c r="G513" s="55">
        <v>408933</v>
      </c>
      <c r="H513" s="55">
        <v>431145</v>
      </c>
      <c r="I513" s="55">
        <v>464773</v>
      </c>
      <c r="J513" s="55">
        <v>501558</v>
      </c>
      <c r="K513" s="55">
        <v>549060</v>
      </c>
      <c r="L513" s="55">
        <v>606730</v>
      </c>
      <c r="M513" s="55">
        <v>671569</v>
      </c>
    </row>
    <row r="514" spans="1:13">
      <c r="A514" s="55" t="s">
        <v>422</v>
      </c>
      <c r="B514" s="55" t="s">
        <v>370</v>
      </c>
      <c r="C514" s="55">
        <v>84954</v>
      </c>
      <c r="D514" s="55">
        <v>92804</v>
      </c>
      <c r="E514" s="55">
        <v>98565</v>
      </c>
      <c r="F514" s="55">
        <v>104215</v>
      </c>
      <c r="G514" s="55">
        <v>108046</v>
      </c>
      <c r="H514" s="55">
        <v>112618</v>
      </c>
      <c r="I514" s="55">
        <v>123353</v>
      </c>
      <c r="J514" s="55">
        <v>133268</v>
      </c>
      <c r="K514" s="55">
        <v>146968</v>
      </c>
      <c r="L514" s="55">
        <v>164475</v>
      </c>
      <c r="M514" s="55">
        <v>185508</v>
      </c>
    </row>
    <row r="515" spans="1:13">
      <c r="A515" s="55" t="s">
        <v>422</v>
      </c>
      <c r="B515" s="55" t="s">
        <v>371</v>
      </c>
      <c r="C515" s="55">
        <v>27517</v>
      </c>
      <c r="D515" s="55">
        <v>30364</v>
      </c>
      <c r="E515" s="55">
        <v>33722</v>
      </c>
      <c r="F515" s="55">
        <v>36293</v>
      </c>
      <c r="G515" s="55">
        <v>38382</v>
      </c>
      <c r="H515" s="55">
        <v>40123</v>
      </c>
      <c r="I515" s="55">
        <v>44410</v>
      </c>
      <c r="J515" s="55">
        <v>48307</v>
      </c>
      <c r="K515" s="55">
        <v>52834</v>
      </c>
      <c r="L515" s="55">
        <v>58410</v>
      </c>
      <c r="M515" s="55">
        <v>60585</v>
      </c>
    </row>
    <row r="516" spans="1:13">
      <c r="A516" s="55" t="s">
        <v>422</v>
      </c>
      <c r="B516" s="55" t="s">
        <v>372</v>
      </c>
      <c r="C516" s="55">
        <v>197219</v>
      </c>
      <c r="D516" s="55">
        <v>206890</v>
      </c>
      <c r="E516" s="55">
        <v>214462</v>
      </c>
      <c r="F516" s="55">
        <v>225922</v>
      </c>
      <c r="G516" s="55">
        <v>233940</v>
      </c>
      <c r="H516" s="55">
        <v>247644</v>
      </c>
      <c r="I516" s="55">
        <v>263277</v>
      </c>
      <c r="J516" s="55">
        <v>281149</v>
      </c>
      <c r="K516" s="55">
        <v>305011</v>
      </c>
      <c r="L516" s="55">
        <v>335557</v>
      </c>
      <c r="M516" s="55">
        <v>376174</v>
      </c>
    </row>
    <row r="517" spans="1:13">
      <c r="A517" s="55" t="s">
        <v>422</v>
      </c>
      <c r="B517" s="55" t="s">
        <v>373</v>
      </c>
      <c r="C517" s="55">
        <v>18656</v>
      </c>
      <c r="D517" s="55">
        <v>21862</v>
      </c>
      <c r="E517" s="55">
        <v>24569</v>
      </c>
      <c r="F517" s="55">
        <v>27175</v>
      </c>
      <c r="G517" s="55">
        <v>28565</v>
      </c>
      <c r="H517" s="55">
        <v>30761</v>
      </c>
      <c r="I517" s="55">
        <v>33733</v>
      </c>
      <c r="J517" s="55">
        <v>38834</v>
      </c>
      <c r="K517" s="55">
        <v>44248</v>
      </c>
      <c r="L517" s="55">
        <v>48288</v>
      </c>
      <c r="M517" s="55">
        <v>49302</v>
      </c>
    </row>
    <row r="518" spans="1:13">
      <c r="A518" s="55" t="s">
        <v>422</v>
      </c>
      <c r="B518" s="55" t="s">
        <v>374</v>
      </c>
      <c r="C518" s="55">
        <v>1257647</v>
      </c>
      <c r="D518" s="55">
        <v>1373183</v>
      </c>
      <c r="E518" s="55">
        <v>1469346</v>
      </c>
      <c r="F518" s="55">
        <v>1567677</v>
      </c>
      <c r="G518" s="55">
        <v>1633789</v>
      </c>
      <c r="H518" s="55">
        <v>1726941</v>
      </c>
      <c r="I518" s="55">
        <v>1853155</v>
      </c>
      <c r="J518" s="55">
        <v>1969005</v>
      </c>
      <c r="K518" s="55">
        <v>2095225</v>
      </c>
      <c r="L518" s="55">
        <v>2272081</v>
      </c>
      <c r="M518" s="55">
        <v>2440169</v>
      </c>
    </row>
    <row r="519" spans="1:13">
      <c r="A519" s="55" t="s">
        <v>422</v>
      </c>
      <c r="B519" s="55" t="s">
        <v>375</v>
      </c>
      <c r="C519" s="55">
        <v>526922</v>
      </c>
      <c r="D519" s="55">
        <v>556407</v>
      </c>
      <c r="E519" s="55">
        <v>591514</v>
      </c>
      <c r="F519" s="55">
        <v>612693</v>
      </c>
      <c r="G519" s="55">
        <v>648256</v>
      </c>
      <c r="H519" s="55">
        <v>683887</v>
      </c>
      <c r="I519" s="55">
        <v>752932</v>
      </c>
      <c r="J519" s="55">
        <v>790868</v>
      </c>
      <c r="K519" s="55">
        <v>860224</v>
      </c>
      <c r="L519" s="55">
        <v>947706</v>
      </c>
      <c r="M519" s="55">
        <v>1043290</v>
      </c>
    </row>
    <row r="520" spans="1:13">
      <c r="A520" s="55" t="s">
        <v>422</v>
      </c>
      <c r="B520" s="55" t="s">
        <v>376</v>
      </c>
      <c r="C520" s="55">
        <v>231513</v>
      </c>
      <c r="D520" s="55">
        <v>242932</v>
      </c>
      <c r="E520" s="55">
        <v>245501</v>
      </c>
      <c r="F520" s="55">
        <v>253702</v>
      </c>
      <c r="G520" s="55">
        <v>266762</v>
      </c>
      <c r="H520" s="55">
        <v>281814</v>
      </c>
      <c r="I520" s="55">
        <v>303020</v>
      </c>
      <c r="J520" s="55">
        <v>321460</v>
      </c>
      <c r="K520" s="55">
        <v>347258</v>
      </c>
      <c r="L520" s="55">
        <v>385815</v>
      </c>
      <c r="M520" s="55">
        <v>428667</v>
      </c>
    </row>
    <row r="521" spans="1:13">
      <c r="A521" s="55" t="s">
        <v>422</v>
      </c>
      <c r="B521" s="55" t="s">
        <v>377</v>
      </c>
      <c r="C521" s="55">
        <v>64337</v>
      </c>
      <c r="D521" s="55">
        <v>62240</v>
      </c>
      <c r="E521" s="55">
        <v>72029</v>
      </c>
      <c r="F521" s="55">
        <v>67721</v>
      </c>
      <c r="G521" s="55">
        <v>81096</v>
      </c>
      <c r="H521" s="55">
        <v>89094</v>
      </c>
      <c r="I521" s="55">
        <v>109169</v>
      </c>
      <c r="J521" s="55">
        <v>106030</v>
      </c>
      <c r="K521" s="55">
        <v>133583</v>
      </c>
      <c r="L521" s="55">
        <v>168915</v>
      </c>
      <c r="M521" s="55">
        <v>199421</v>
      </c>
    </row>
    <row r="522" spans="1:13">
      <c r="A522" s="55" t="s">
        <v>422</v>
      </c>
      <c r="B522" s="55" t="s">
        <v>378</v>
      </c>
      <c r="C522" s="55">
        <v>195662</v>
      </c>
      <c r="D522" s="55">
        <v>219141</v>
      </c>
      <c r="E522" s="55">
        <v>239418</v>
      </c>
      <c r="F522" s="55">
        <v>257240</v>
      </c>
      <c r="G522" s="55">
        <v>268412</v>
      </c>
      <c r="H522" s="55">
        <v>280216</v>
      </c>
      <c r="I522" s="55">
        <v>301603</v>
      </c>
      <c r="J522" s="55">
        <v>323638</v>
      </c>
      <c r="K522" s="55">
        <v>333040</v>
      </c>
      <c r="L522" s="55">
        <v>339469</v>
      </c>
      <c r="M522" s="55">
        <v>353279</v>
      </c>
    </row>
    <row r="523" spans="1:13">
      <c r="A523" s="55" t="s">
        <v>422</v>
      </c>
      <c r="B523" s="55" t="s">
        <v>379</v>
      </c>
      <c r="C523" s="55">
        <v>35410</v>
      </c>
      <c r="D523" s="55">
        <v>32094</v>
      </c>
      <c r="E523" s="55">
        <v>34565</v>
      </c>
      <c r="F523" s="55">
        <v>34030</v>
      </c>
      <c r="G523" s="55">
        <v>31987</v>
      </c>
      <c r="H523" s="55">
        <v>32763</v>
      </c>
      <c r="I523" s="55">
        <v>39140</v>
      </c>
      <c r="J523" s="55">
        <v>39742</v>
      </c>
      <c r="K523" s="55">
        <v>46343</v>
      </c>
      <c r="L523" s="55">
        <v>53507</v>
      </c>
      <c r="M523" s="55">
        <v>61923</v>
      </c>
    </row>
    <row r="524" spans="1:13">
      <c r="A524" s="55" t="s">
        <v>422</v>
      </c>
      <c r="B524" s="55" t="s">
        <v>380</v>
      </c>
      <c r="C524" s="55">
        <v>730725</v>
      </c>
      <c r="D524" s="55">
        <v>816776</v>
      </c>
      <c r="E524" s="55">
        <v>877833</v>
      </c>
      <c r="F524" s="55">
        <v>954984</v>
      </c>
      <c r="G524" s="55">
        <v>985532</v>
      </c>
      <c r="H524" s="55">
        <v>1043053</v>
      </c>
      <c r="I524" s="55">
        <v>1100223</v>
      </c>
      <c r="J524" s="55">
        <v>1178136</v>
      </c>
      <c r="K524" s="55">
        <v>1235001</v>
      </c>
      <c r="L524" s="55">
        <v>1324375</v>
      </c>
      <c r="M524" s="55">
        <v>1396879</v>
      </c>
    </row>
    <row r="525" spans="1:13">
      <c r="A525" s="55" t="s">
        <v>422</v>
      </c>
      <c r="B525" s="55" t="s">
        <v>381</v>
      </c>
      <c r="C525" s="55">
        <v>664210</v>
      </c>
      <c r="D525" s="55">
        <v>737266</v>
      </c>
      <c r="E525" s="55">
        <v>791427</v>
      </c>
      <c r="F525" s="55">
        <v>860512</v>
      </c>
      <c r="G525" s="55">
        <v>893081</v>
      </c>
      <c r="H525" s="55">
        <v>945590</v>
      </c>
      <c r="I525" s="55">
        <v>994516</v>
      </c>
      <c r="J525" s="55">
        <v>1062661</v>
      </c>
      <c r="K525" s="55">
        <v>1111329</v>
      </c>
      <c r="L525" s="55">
        <v>1186713</v>
      </c>
      <c r="M525" s="55">
        <v>1249693</v>
      </c>
    </row>
    <row r="526" spans="1:13">
      <c r="A526" s="55" t="s">
        <v>422</v>
      </c>
      <c r="B526" s="55" t="s">
        <v>382</v>
      </c>
      <c r="C526" s="55">
        <v>66515</v>
      </c>
      <c r="D526" s="55">
        <v>79511</v>
      </c>
      <c r="E526" s="55">
        <v>86406</v>
      </c>
      <c r="F526" s="55">
        <v>94472</v>
      </c>
      <c r="G526" s="55">
        <v>92451</v>
      </c>
      <c r="H526" s="55">
        <v>97463</v>
      </c>
      <c r="I526" s="55">
        <v>105707</v>
      </c>
      <c r="J526" s="55">
        <v>115476</v>
      </c>
      <c r="K526" s="55">
        <v>123672</v>
      </c>
      <c r="L526" s="55">
        <v>137662</v>
      </c>
      <c r="M526" s="55">
        <v>147186</v>
      </c>
    </row>
    <row r="527" spans="1:13">
      <c r="A527" s="55" t="s">
        <v>422</v>
      </c>
      <c r="B527" s="55" t="s">
        <v>383</v>
      </c>
      <c r="C527" s="55">
        <v>549223</v>
      </c>
      <c r="D527" s="55">
        <v>624551</v>
      </c>
      <c r="E527" s="55">
        <v>695591</v>
      </c>
      <c r="F527" s="55">
        <v>760470</v>
      </c>
      <c r="G527" s="55">
        <v>779116</v>
      </c>
      <c r="H527" s="55">
        <v>835376</v>
      </c>
      <c r="I527" s="55">
        <v>884707</v>
      </c>
      <c r="J527" s="55">
        <v>952683</v>
      </c>
      <c r="K527" s="55">
        <v>1041405</v>
      </c>
      <c r="L527" s="55">
        <v>1154496</v>
      </c>
      <c r="M527" s="55">
        <v>1288442</v>
      </c>
    </row>
    <row r="528" spans="1:13">
      <c r="A528" s="55" t="s">
        <v>422</v>
      </c>
      <c r="B528" s="55" t="s">
        <v>384</v>
      </c>
      <c r="C528" s="55">
        <v>315585</v>
      </c>
      <c r="D528" s="55">
        <v>361289</v>
      </c>
      <c r="E528" s="55">
        <v>405480</v>
      </c>
      <c r="F528" s="55">
        <v>442997</v>
      </c>
      <c r="G528" s="55">
        <v>453757</v>
      </c>
      <c r="H528" s="55">
        <v>486852</v>
      </c>
      <c r="I528" s="55">
        <v>512980</v>
      </c>
      <c r="J528" s="55">
        <v>545138</v>
      </c>
      <c r="K528" s="55">
        <v>593727</v>
      </c>
      <c r="L528" s="55">
        <v>663370</v>
      </c>
      <c r="M528" s="55">
        <v>745218</v>
      </c>
    </row>
    <row r="529" spans="1:13">
      <c r="A529" s="55" t="s">
        <v>422</v>
      </c>
      <c r="B529" s="55" t="s">
        <v>385</v>
      </c>
      <c r="C529" s="55">
        <v>81367</v>
      </c>
      <c r="D529" s="55">
        <v>92667</v>
      </c>
      <c r="E529" s="55">
        <v>101485</v>
      </c>
      <c r="F529" s="55">
        <v>111510</v>
      </c>
      <c r="G529" s="55">
        <v>114514</v>
      </c>
      <c r="H529" s="55">
        <v>124493</v>
      </c>
      <c r="I529" s="55">
        <v>128640</v>
      </c>
      <c r="J529" s="55">
        <v>131595</v>
      </c>
      <c r="K529" s="55">
        <v>133086</v>
      </c>
      <c r="L529" s="55">
        <v>143135</v>
      </c>
      <c r="M529" s="55">
        <v>152772</v>
      </c>
    </row>
    <row r="530" spans="1:13">
      <c r="A530" s="55" t="s">
        <v>422</v>
      </c>
      <c r="B530" s="55" t="s">
        <v>386</v>
      </c>
      <c r="C530" s="55">
        <v>24897</v>
      </c>
      <c r="D530" s="55">
        <v>29025</v>
      </c>
      <c r="E530" s="55">
        <v>33319</v>
      </c>
      <c r="F530" s="55">
        <v>37289</v>
      </c>
      <c r="G530" s="55">
        <v>40452</v>
      </c>
      <c r="H530" s="55">
        <v>44233</v>
      </c>
      <c r="I530" s="55">
        <v>50476</v>
      </c>
      <c r="J530" s="55">
        <v>58555</v>
      </c>
      <c r="K530" s="55">
        <v>66831</v>
      </c>
      <c r="L530" s="55">
        <v>80564</v>
      </c>
      <c r="M530" s="55">
        <v>103322</v>
      </c>
    </row>
    <row r="531" spans="1:13">
      <c r="A531" s="55" t="s">
        <v>422</v>
      </c>
      <c r="B531" s="55" t="s">
        <v>387</v>
      </c>
      <c r="C531" s="55">
        <v>209321</v>
      </c>
      <c r="D531" s="55">
        <v>239597</v>
      </c>
      <c r="E531" s="55">
        <v>270676</v>
      </c>
      <c r="F531" s="55">
        <v>294198</v>
      </c>
      <c r="G531" s="55">
        <v>298791</v>
      </c>
      <c r="H531" s="55">
        <v>318125</v>
      </c>
      <c r="I531" s="55">
        <v>333864</v>
      </c>
      <c r="J531" s="55">
        <v>354988</v>
      </c>
      <c r="K531" s="55">
        <v>393809</v>
      </c>
      <c r="L531" s="55">
        <v>439671</v>
      </c>
      <c r="M531" s="55">
        <v>489124</v>
      </c>
    </row>
    <row r="532" spans="1:13">
      <c r="A532" s="55" t="s">
        <v>422</v>
      </c>
      <c r="B532" s="55" t="s">
        <v>388</v>
      </c>
      <c r="C532" s="55">
        <v>104712</v>
      </c>
      <c r="D532" s="55">
        <v>110948</v>
      </c>
      <c r="E532" s="55">
        <v>118151</v>
      </c>
      <c r="F532" s="55">
        <v>125343</v>
      </c>
      <c r="G532" s="55">
        <v>130140</v>
      </c>
      <c r="H532" s="55">
        <v>137412</v>
      </c>
      <c r="I532" s="55">
        <v>147259</v>
      </c>
      <c r="J532" s="55">
        <v>158408</v>
      </c>
      <c r="K532" s="55">
        <v>168740</v>
      </c>
      <c r="L532" s="55">
        <v>180305</v>
      </c>
      <c r="M532" s="55">
        <v>195719</v>
      </c>
    </row>
    <row r="533" spans="1:13">
      <c r="A533" s="55" t="s">
        <v>422</v>
      </c>
      <c r="B533" s="55" t="s">
        <v>389</v>
      </c>
      <c r="C533" s="55">
        <v>128927</v>
      </c>
      <c r="D533" s="55">
        <v>152314</v>
      </c>
      <c r="E533" s="55">
        <v>171960</v>
      </c>
      <c r="F533" s="55">
        <v>192130</v>
      </c>
      <c r="G533" s="55">
        <v>195219</v>
      </c>
      <c r="H533" s="55">
        <v>211112</v>
      </c>
      <c r="I533" s="55">
        <v>224468</v>
      </c>
      <c r="J533" s="55">
        <v>249137</v>
      </c>
      <c r="K533" s="55">
        <v>278938</v>
      </c>
      <c r="L533" s="55">
        <v>310822</v>
      </c>
      <c r="M533" s="55">
        <v>347505</v>
      </c>
    </row>
    <row r="534" spans="1:13">
      <c r="A534" s="55" t="s">
        <v>422</v>
      </c>
      <c r="B534" s="55" t="s">
        <v>390</v>
      </c>
      <c r="C534" s="55">
        <v>108900</v>
      </c>
      <c r="D534" s="55">
        <v>128805</v>
      </c>
      <c r="E534" s="55">
        <v>146075</v>
      </c>
      <c r="F534" s="55">
        <v>163698</v>
      </c>
      <c r="G534" s="55">
        <v>166873</v>
      </c>
      <c r="H534" s="55">
        <v>180117</v>
      </c>
      <c r="I534" s="55">
        <v>191136</v>
      </c>
      <c r="J534" s="55">
        <v>212902</v>
      </c>
      <c r="K534" s="55">
        <v>240663</v>
      </c>
      <c r="L534" s="55">
        <v>270505</v>
      </c>
      <c r="M534" s="55">
        <v>305458</v>
      </c>
    </row>
    <row r="535" spans="1:13">
      <c r="A535" s="55" t="s">
        <v>422</v>
      </c>
      <c r="B535" s="55" t="s">
        <v>391</v>
      </c>
      <c r="C535" s="55">
        <v>20027</v>
      </c>
      <c r="D535" s="55">
        <v>23508</v>
      </c>
      <c r="E535" s="55">
        <v>25885</v>
      </c>
      <c r="F535" s="55">
        <v>28432</v>
      </c>
      <c r="G535" s="55">
        <v>28346</v>
      </c>
      <c r="H535" s="55">
        <v>30995</v>
      </c>
      <c r="I535" s="55">
        <v>33331</v>
      </c>
      <c r="J535" s="55">
        <v>36235</v>
      </c>
      <c r="K535" s="55">
        <v>38275</v>
      </c>
      <c r="L535" s="55">
        <v>40317</v>
      </c>
      <c r="M535" s="55">
        <v>42046</v>
      </c>
    </row>
    <row r="536" spans="1:13">
      <c r="A536" s="55" t="s">
        <v>422</v>
      </c>
      <c r="B536" s="55" t="s">
        <v>392</v>
      </c>
      <c r="C536" s="55">
        <v>435621</v>
      </c>
      <c r="D536" s="55">
        <v>491587</v>
      </c>
      <c r="E536" s="55">
        <v>540876</v>
      </c>
      <c r="F536" s="55">
        <v>601918</v>
      </c>
      <c r="G536" s="55">
        <v>653548</v>
      </c>
      <c r="H536" s="55">
        <v>713783</v>
      </c>
      <c r="I536" s="55">
        <v>754562</v>
      </c>
      <c r="J536" s="55">
        <v>791337</v>
      </c>
      <c r="K536" s="55">
        <v>839370</v>
      </c>
      <c r="L536" s="55">
        <v>884431</v>
      </c>
      <c r="M536" s="55">
        <v>931602</v>
      </c>
    </row>
    <row r="537" spans="1:13">
      <c r="A537" s="55" t="s">
        <v>422</v>
      </c>
      <c r="B537" s="55" t="s">
        <v>393</v>
      </c>
      <c r="C537" s="55">
        <v>56827</v>
      </c>
      <c r="D537" s="55">
        <v>63188</v>
      </c>
      <c r="E537" s="55">
        <v>69146</v>
      </c>
      <c r="F537" s="55">
        <v>74819</v>
      </c>
      <c r="G537" s="55">
        <v>79573</v>
      </c>
      <c r="H537" s="55">
        <v>84765</v>
      </c>
      <c r="I537" s="55">
        <v>89334</v>
      </c>
      <c r="J537" s="55">
        <v>94310</v>
      </c>
      <c r="K537" s="55">
        <v>100564</v>
      </c>
      <c r="L537" s="55">
        <v>108192</v>
      </c>
      <c r="M537" s="55">
        <v>112642</v>
      </c>
    </row>
    <row r="538" spans="1:13">
      <c r="A538" s="55" t="s">
        <v>422</v>
      </c>
      <c r="B538" s="55" t="s">
        <v>394</v>
      </c>
      <c r="C538" s="55">
        <v>378794</v>
      </c>
      <c r="D538" s="55">
        <v>428399</v>
      </c>
      <c r="E538" s="55">
        <v>471730</v>
      </c>
      <c r="F538" s="55">
        <v>527100</v>
      </c>
      <c r="G538" s="55">
        <v>573975</v>
      </c>
      <c r="H538" s="55">
        <v>629018</v>
      </c>
      <c r="I538" s="55">
        <v>665228</v>
      </c>
      <c r="J538" s="55">
        <v>697027</v>
      </c>
      <c r="K538" s="55">
        <v>738806</v>
      </c>
      <c r="L538" s="55">
        <v>776239</v>
      </c>
      <c r="M538" s="55">
        <v>818960</v>
      </c>
    </row>
    <row r="539" spans="1:13">
      <c r="A539" s="55" t="s">
        <v>422</v>
      </c>
      <c r="B539" s="55" t="s">
        <v>395</v>
      </c>
      <c r="C539" s="55">
        <v>170224</v>
      </c>
      <c r="D539" s="55">
        <v>194634</v>
      </c>
      <c r="E539" s="55">
        <v>213400</v>
      </c>
      <c r="F539" s="55">
        <v>239600</v>
      </c>
      <c r="G539" s="55">
        <v>261691</v>
      </c>
      <c r="H539" s="55">
        <v>291607</v>
      </c>
      <c r="I539" s="55">
        <v>308202</v>
      </c>
      <c r="J539" s="55">
        <v>326612</v>
      </c>
      <c r="K539" s="55">
        <v>349906</v>
      </c>
      <c r="L539" s="55">
        <v>366017</v>
      </c>
      <c r="M539" s="55">
        <v>384590</v>
      </c>
    </row>
    <row r="540" spans="1:13">
      <c r="A540" s="55" t="s">
        <v>422</v>
      </c>
      <c r="B540" s="55" t="s">
        <v>396</v>
      </c>
      <c r="C540" s="55">
        <v>181985</v>
      </c>
      <c r="D540" s="55">
        <v>201674</v>
      </c>
      <c r="E540" s="55">
        <v>223482</v>
      </c>
      <c r="F540" s="55">
        <v>248925</v>
      </c>
      <c r="G540" s="55">
        <v>272795</v>
      </c>
      <c r="H540" s="55">
        <v>295318</v>
      </c>
      <c r="I540" s="55">
        <v>311382</v>
      </c>
      <c r="J540" s="55">
        <v>321609</v>
      </c>
      <c r="K540" s="55">
        <v>336713</v>
      </c>
      <c r="L540" s="55">
        <v>355349</v>
      </c>
      <c r="M540" s="55">
        <v>371515</v>
      </c>
    </row>
    <row r="541" spans="1:13">
      <c r="A541" s="55" t="s">
        <v>422</v>
      </c>
      <c r="B541" s="55" t="s">
        <v>397</v>
      </c>
      <c r="C541" s="55">
        <v>26586</v>
      </c>
      <c r="D541" s="55">
        <v>32092</v>
      </c>
      <c r="E541" s="55">
        <v>34849</v>
      </c>
      <c r="F541" s="55">
        <v>38574</v>
      </c>
      <c r="G541" s="55">
        <v>39489</v>
      </c>
      <c r="H541" s="55">
        <v>42094</v>
      </c>
      <c r="I541" s="55">
        <v>45643</v>
      </c>
      <c r="J541" s="55">
        <v>48806</v>
      </c>
      <c r="K541" s="55">
        <v>52187</v>
      </c>
      <c r="L541" s="55">
        <v>54873</v>
      </c>
      <c r="M541" s="55">
        <v>62855</v>
      </c>
    </row>
    <row r="542" spans="1:13">
      <c r="A542" s="55" t="s">
        <v>422</v>
      </c>
      <c r="B542" s="55" t="s">
        <v>398</v>
      </c>
      <c r="C542" s="55">
        <v>285599</v>
      </c>
      <c r="D542" s="55">
        <v>317540</v>
      </c>
      <c r="E542" s="55">
        <v>338271</v>
      </c>
      <c r="F542" s="55">
        <v>366568</v>
      </c>
      <c r="G542" s="55">
        <v>376159</v>
      </c>
      <c r="H542" s="55">
        <v>398638</v>
      </c>
      <c r="I542" s="55">
        <v>425183</v>
      </c>
      <c r="J542" s="55">
        <v>450958</v>
      </c>
      <c r="K542" s="55">
        <v>477487</v>
      </c>
      <c r="L542" s="55">
        <v>506643</v>
      </c>
      <c r="M542" s="55">
        <v>540965</v>
      </c>
    </row>
    <row r="543" spans="1:13">
      <c r="A543" s="55" t="s">
        <v>422</v>
      </c>
      <c r="B543" s="55" t="s">
        <v>399</v>
      </c>
      <c r="C543" s="55">
        <v>48202</v>
      </c>
      <c r="D543" s="55">
        <v>54512</v>
      </c>
      <c r="E543" s="55">
        <v>59982</v>
      </c>
      <c r="F543" s="55">
        <v>68019</v>
      </c>
      <c r="G543" s="55">
        <v>71139</v>
      </c>
      <c r="H543" s="55">
        <v>79645</v>
      </c>
      <c r="I543" s="55">
        <v>87771</v>
      </c>
      <c r="J543" s="55">
        <v>94855</v>
      </c>
      <c r="K543" s="55">
        <v>106197</v>
      </c>
      <c r="L543" s="55">
        <v>115794</v>
      </c>
      <c r="M543" s="55">
        <v>124147</v>
      </c>
    </row>
    <row r="544" spans="1:13">
      <c r="A544" s="55" t="s">
        <v>422</v>
      </c>
      <c r="B544" s="55" t="s">
        <v>400</v>
      </c>
      <c r="C544" s="55">
        <v>22076</v>
      </c>
      <c r="D544" s="55">
        <v>24623</v>
      </c>
      <c r="E544" s="55">
        <v>26063</v>
      </c>
      <c r="F544" s="55">
        <v>30780</v>
      </c>
      <c r="G544" s="55">
        <v>32644</v>
      </c>
      <c r="H544" s="55">
        <v>35632</v>
      </c>
      <c r="I544" s="55">
        <v>40371</v>
      </c>
      <c r="J544" s="55">
        <v>43765</v>
      </c>
      <c r="K544" s="55">
        <v>48625</v>
      </c>
      <c r="L544" s="55">
        <v>53630</v>
      </c>
      <c r="M544" s="55">
        <v>56465</v>
      </c>
    </row>
    <row r="545" spans="1:13">
      <c r="A545" s="55" t="s">
        <v>422</v>
      </c>
      <c r="B545" s="55" t="s">
        <v>401</v>
      </c>
      <c r="C545" s="55">
        <v>26126</v>
      </c>
      <c r="D545" s="55">
        <v>29890</v>
      </c>
      <c r="E545" s="55">
        <v>33919</v>
      </c>
      <c r="F545" s="55">
        <v>37240</v>
      </c>
      <c r="G545" s="55">
        <v>38494</v>
      </c>
      <c r="H545" s="55">
        <v>44013</v>
      </c>
      <c r="I545" s="55">
        <v>47400</v>
      </c>
      <c r="J545" s="55">
        <v>51090</v>
      </c>
      <c r="K545" s="55">
        <v>57572</v>
      </c>
      <c r="L545" s="55">
        <v>62164</v>
      </c>
      <c r="M545" s="55">
        <v>67682</v>
      </c>
    </row>
    <row r="546" spans="1:13">
      <c r="A546" s="55" t="s">
        <v>422</v>
      </c>
      <c r="B546" s="55" t="s">
        <v>402</v>
      </c>
      <c r="C546" s="55">
        <v>237397</v>
      </c>
      <c r="D546" s="55">
        <v>263027</v>
      </c>
      <c r="E546" s="55">
        <v>278288</v>
      </c>
      <c r="F546" s="55">
        <v>298549</v>
      </c>
      <c r="G546" s="55">
        <v>305021</v>
      </c>
      <c r="H546" s="55">
        <v>318994</v>
      </c>
      <c r="I546" s="55">
        <v>337412</v>
      </c>
      <c r="J546" s="55">
        <v>356103</v>
      </c>
      <c r="K546" s="55">
        <v>371290</v>
      </c>
      <c r="L546" s="55">
        <v>390848</v>
      </c>
      <c r="M546" s="55">
        <v>416817</v>
      </c>
    </row>
    <row r="547" spans="1:13">
      <c r="A547" s="55" t="s">
        <v>422</v>
      </c>
      <c r="B547" s="55" t="s">
        <v>403</v>
      </c>
      <c r="C547" s="55">
        <v>61162</v>
      </c>
      <c r="D547" s="55">
        <v>67239</v>
      </c>
      <c r="E547" s="55">
        <v>70805</v>
      </c>
      <c r="F547" s="55">
        <v>74569</v>
      </c>
      <c r="G547" s="55">
        <v>75931</v>
      </c>
      <c r="H547" s="55">
        <v>82343</v>
      </c>
      <c r="I547" s="55">
        <v>86346</v>
      </c>
      <c r="J547" s="55">
        <v>92774</v>
      </c>
      <c r="K547" s="55">
        <v>98819</v>
      </c>
      <c r="L547" s="55">
        <v>106071</v>
      </c>
      <c r="M547" s="55">
        <v>113307</v>
      </c>
    </row>
    <row r="548" spans="1:13">
      <c r="A548" s="55" t="s">
        <v>422</v>
      </c>
      <c r="B548" s="55" t="s">
        <v>404</v>
      </c>
      <c r="C548" s="55">
        <v>176236</v>
      </c>
      <c r="D548" s="55">
        <v>195788</v>
      </c>
      <c r="E548" s="55">
        <v>207483</v>
      </c>
      <c r="F548" s="55">
        <v>223979</v>
      </c>
      <c r="G548" s="55">
        <v>229090</v>
      </c>
      <c r="H548" s="55">
        <v>236650</v>
      </c>
      <c r="I548" s="55">
        <v>251067</v>
      </c>
      <c r="J548" s="55">
        <v>263329</v>
      </c>
      <c r="K548" s="55">
        <v>272471</v>
      </c>
      <c r="L548" s="55">
        <v>284777</v>
      </c>
      <c r="M548" s="55">
        <v>303511</v>
      </c>
    </row>
    <row r="549" spans="1:13">
      <c r="A549" s="55" t="s">
        <v>422</v>
      </c>
      <c r="B549" s="55" t="s">
        <v>405</v>
      </c>
      <c r="C549" s="55">
        <v>190082</v>
      </c>
      <c r="D549" s="55">
        <v>211011</v>
      </c>
      <c r="E549" s="55">
        <v>229143</v>
      </c>
      <c r="F549" s="55">
        <v>242725</v>
      </c>
      <c r="G549" s="55">
        <v>242407</v>
      </c>
      <c r="H549" s="55">
        <v>266113</v>
      </c>
      <c r="I549" s="55">
        <v>279149</v>
      </c>
      <c r="J549" s="55">
        <v>300791</v>
      </c>
      <c r="K549" s="55">
        <v>325086</v>
      </c>
      <c r="L549" s="55">
        <v>344936</v>
      </c>
      <c r="M549" s="55">
        <v>358741</v>
      </c>
    </row>
    <row r="550" spans="1:13">
      <c r="A550" s="55" t="s">
        <v>422</v>
      </c>
      <c r="B550" s="55" t="s">
        <v>174</v>
      </c>
      <c r="C550" s="55">
        <v>1020231</v>
      </c>
      <c r="D550" s="55">
        <v>1075171</v>
      </c>
      <c r="E550" s="55">
        <v>1145338</v>
      </c>
      <c r="F550" s="55">
        <v>1227628</v>
      </c>
      <c r="G550" s="55">
        <v>1299614</v>
      </c>
      <c r="H550" s="55">
        <v>1354492</v>
      </c>
      <c r="I550" s="55">
        <v>1402012</v>
      </c>
      <c r="J550" s="55">
        <v>1459154</v>
      </c>
      <c r="K550" s="55">
        <v>1512103</v>
      </c>
      <c r="L550" s="55">
        <v>1565192</v>
      </c>
      <c r="M550" s="55">
        <v>1627402</v>
      </c>
    </row>
    <row r="551" spans="1:13">
      <c r="A551" s="55" t="s">
        <v>422</v>
      </c>
      <c r="B551" s="55" t="s">
        <v>219</v>
      </c>
      <c r="C551" s="55">
        <v>426218</v>
      </c>
      <c r="D551" s="55">
        <v>439047</v>
      </c>
      <c r="E551" s="55">
        <v>459465</v>
      </c>
      <c r="F551" s="55">
        <v>484000</v>
      </c>
      <c r="G551" s="55">
        <v>508449</v>
      </c>
      <c r="H551" s="55">
        <v>516350</v>
      </c>
      <c r="I551" s="55">
        <v>514314</v>
      </c>
      <c r="J551" s="55">
        <v>518253</v>
      </c>
      <c r="K551" s="55">
        <v>519463</v>
      </c>
      <c r="L551" s="55">
        <v>528502</v>
      </c>
      <c r="M551" s="55">
        <v>539493</v>
      </c>
    </row>
    <row r="552" spans="1:13">
      <c r="A552" s="55" t="s">
        <v>422</v>
      </c>
      <c r="B552" s="55" t="s">
        <v>406</v>
      </c>
      <c r="C552" s="55">
        <v>381564</v>
      </c>
      <c r="D552" s="55">
        <v>390521</v>
      </c>
      <c r="E552" s="55">
        <v>407909</v>
      </c>
      <c r="F552" s="55">
        <v>429322</v>
      </c>
      <c r="G552" s="55">
        <v>449645</v>
      </c>
      <c r="H552" s="55">
        <v>455433</v>
      </c>
      <c r="I552" s="55">
        <v>452219</v>
      </c>
      <c r="J552" s="55">
        <v>453728</v>
      </c>
      <c r="K552" s="55">
        <v>450791</v>
      </c>
      <c r="L552" s="55">
        <v>457709</v>
      </c>
      <c r="M552" s="55">
        <v>466626</v>
      </c>
    </row>
    <row r="553" spans="1:13">
      <c r="A553" s="55" t="s">
        <v>422</v>
      </c>
      <c r="B553" s="55" t="s">
        <v>407</v>
      </c>
      <c r="C553" s="55">
        <v>44654</v>
      </c>
      <c r="D553" s="55">
        <v>48526</v>
      </c>
      <c r="E553" s="55">
        <v>51556</v>
      </c>
      <c r="F553" s="55">
        <v>54678</v>
      </c>
      <c r="G553" s="55">
        <v>58804</v>
      </c>
      <c r="H553" s="55">
        <v>60917</v>
      </c>
      <c r="I553" s="55">
        <v>62095</v>
      </c>
      <c r="J553" s="55">
        <v>64525</v>
      </c>
      <c r="K553" s="55">
        <v>68672</v>
      </c>
      <c r="L553" s="55">
        <v>70793</v>
      </c>
      <c r="M553" s="55">
        <v>72867</v>
      </c>
    </row>
    <row r="554" spans="1:13">
      <c r="A554" s="55" t="s">
        <v>422</v>
      </c>
      <c r="B554" s="55" t="s">
        <v>221</v>
      </c>
      <c r="C554" s="55">
        <v>594013</v>
      </c>
      <c r="D554" s="55">
        <v>636124</v>
      </c>
      <c r="E554" s="55">
        <v>685873</v>
      </c>
      <c r="F554" s="55">
        <v>743628</v>
      </c>
      <c r="G554" s="55">
        <v>791165</v>
      </c>
      <c r="H554" s="55">
        <v>838142</v>
      </c>
      <c r="I554" s="55">
        <v>887699</v>
      </c>
      <c r="J554" s="55">
        <v>940901</v>
      </c>
      <c r="K554" s="55">
        <v>992641</v>
      </c>
      <c r="L554" s="55">
        <v>1036691</v>
      </c>
      <c r="M554" s="55">
        <v>1087909</v>
      </c>
    </row>
    <row r="555" spans="1:13">
      <c r="A555" s="55" t="s">
        <v>422</v>
      </c>
      <c r="B555" s="55" t="s">
        <v>406</v>
      </c>
      <c r="C555" s="55">
        <v>524444</v>
      </c>
      <c r="D555" s="55">
        <v>561811</v>
      </c>
      <c r="E555" s="55">
        <v>606014</v>
      </c>
      <c r="F555" s="55">
        <v>659024</v>
      </c>
      <c r="G555" s="55">
        <v>702190</v>
      </c>
      <c r="H555" s="55">
        <v>744847</v>
      </c>
      <c r="I555" s="55">
        <v>786578</v>
      </c>
      <c r="J555" s="55">
        <v>831587</v>
      </c>
      <c r="K555" s="55">
        <v>876943</v>
      </c>
      <c r="L555" s="55">
        <v>914309</v>
      </c>
      <c r="M555" s="55">
        <v>959907</v>
      </c>
    </row>
    <row r="556" spans="1:13">
      <c r="A556" s="55" t="s">
        <v>422</v>
      </c>
      <c r="B556" s="55" t="s">
        <v>407</v>
      </c>
      <c r="C556" s="55">
        <v>69569</v>
      </c>
      <c r="D556" s="55">
        <v>74313</v>
      </c>
      <c r="E556" s="55">
        <v>79859</v>
      </c>
      <c r="F556" s="55">
        <v>84605</v>
      </c>
      <c r="G556" s="55">
        <v>88975</v>
      </c>
      <c r="H556" s="55">
        <v>93295</v>
      </c>
      <c r="I556" s="55">
        <v>101121</v>
      </c>
      <c r="J556" s="55">
        <v>109314</v>
      </c>
      <c r="K556" s="55">
        <v>115698</v>
      </c>
      <c r="L556" s="55">
        <v>122382</v>
      </c>
      <c r="M556" s="55">
        <v>128002</v>
      </c>
    </row>
    <row r="557" spans="1:13">
      <c r="A557" s="55" t="s">
        <v>422</v>
      </c>
      <c r="B557" s="55" t="s">
        <v>408</v>
      </c>
      <c r="C557" s="55">
        <v>3174106</v>
      </c>
      <c r="D557" s="55">
        <v>3412078</v>
      </c>
      <c r="E557" s="55">
        <v>3593118</v>
      </c>
      <c r="F557" s="55">
        <v>3684461</v>
      </c>
      <c r="G557" s="55">
        <v>3586680</v>
      </c>
      <c r="H557" s="55">
        <v>3737834</v>
      </c>
      <c r="I557" s="55">
        <v>3895202</v>
      </c>
      <c r="J557" s="55">
        <v>4177505</v>
      </c>
      <c r="K557" s="55">
        <v>4445223</v>
      </c>
      <c r="L557" s="55">
        <v>4664463</v>
      </c>
      <c r="M557" s="55">
        <v>4939982</v>
      </c>
    </row>
    <row r="558" spans="1:13">
      <c r="A558" s="55" t="s">
        <v>422</v>
      </c>
      <c r="B558" s="55" t="s">
        <v>409</v>
      </c>
      <c r="C558" s="55">
        <v>4445585</v>
      </c>
      <c r="D558" s="55">
        <v>4872267</v>
      </c>
      <c r="E558" s="55">
        <v>5231110</v>
      </c>
      <c r="F558" s="55">
        <v>5599024</v>
      </c>
      <c r="G558" s="55">
        <v>5790178</v>
      </c>
      <c r="H558" s="55">
        <v>6150100</v>
      </c>
      <c r="I558" s="55">
        <v>6560404</v>
      </c>
      <c r="J558" s="55">
        <v>7010540</v>
      </c>
      <c r="K558" s="55">
        <v>7494267</v>
      </c>
      <c r="L558" s="55">
        <v>8030244</v>
      </c>
      <c r="M558" s="55">
        <v>8593149</v>
      </c>
    </row>
    <row r="559" spans="1:13">
      <c r="A559" s="55" t="s">
        <v>422</v>
      </c>
      <c r="B559" s="55" t="s">
        <v>410</v>
      </c>
      <c r="C559" s="55">
        <v>344931</v>
      </c>
      <c r="D559" s="55">
        <v>380836</v>
      </c>
      <c r="E559" s="55">
        <v>397905</v>
      </c>
      <c r="F559" s="55">
        <v>419142</v>
      </c>
      <c r="G559" s="55">
        <v>429611</v>
      </c>
      <c r="H559" s="55">
        <v>456439</v>
      </c>
      <c r="I559" s="55">
        <v>489090</v>
      </c>
      <c r="J559" s="55">
        <v>546723</v>
      </c>
      <c r="K559" s="55">
        <v>625313</v>
      </c>
      <c r="L559" s="55">
        <v>685951</v>
      </c>
      <c r="M559" s="55">
        <v>768390</v>
      </c>
    </row>
    <row r="561" spans="1:20">
      <c r="A561" s="60" t="s">
        <v>424</v>
      </c>
      <c r="O561" s="57"/>
      <c r="P561" s="57"/>
      <c r="Q561" s="57"/>
      <c r="R561" s="57"/>
      <c r="S561" s="57"/>
      <c r="T561" s="57"/>
    </row>
    <row r="562" spans="1:20">
      <c r="A562" s="55" t="s">
        <v>425</v>
      </c>
      <c r="B562" s="55" t="s">
        <v>423</v>
      </c>
      <c r="C562" s="57">
        <v>57.119</v>
      </c>
      <c r="D562" s="57">
        <v>59.813000000000002</v>
      </c>
      <c r="E562" s="57">
        <v>61.328000000000003</v>
      </c>
      <c r="F562" s="57">
        <v>62.408999999999999</v>
      </c>
      <c r="G562" s="57">
        <v>61.953000000000003</v>
      </c>
      <c r="H562" s="57">
        <v>64.007999999999996</v>
      </c>
      <c r="I562" s="57">
        <v>66.022000000000006</v>
      </c>
      <c r="J562" s="57">
        <v>69.076999999999998</v>
      </c>
      <c r="K562" s="57">
        <v>71.484999999999999</v>
      </c>
      <c r="L562" s="57">
        <v>74.522999999999996</v>
      </c>
      <c r="M562" s="57">
        <v>78.34</v>
      </c>
      <c r="N562" s="57"/>
      <c r="O562" s="57"/>
      <c r="P562" s="57"/>
      <c r="Q562" s="57"/>
      <c r="R562" s="57"/>
      <c r="S562" s="57"/>
      <c r="T562" s="57"/>
    </row>
    <row r="563" spans="1:20">
      <c r="A563" s="55" t="s">
        <v>425</v>
      </c>
      <c r="B563" s="55" t="s">
        <v>326</v>
      </c>
      <c r="C563" s="57">
        <v>55.348999999999997</v>
      </c>
      <c r="D563" s="57">
        <v>58.180999999999997</v>
      </c>
      <c r="E563" s="57">
        <v>59.654000000000003</v>
      </c>
      <c r="F563" s="57">
        <v>60.651000000000003</v>
      </c>
      <c r="G563" s="57">
        <v>60.06</v>
      </c>
      <c r="H563" s="57">
        <v>62.268999999999998</v>
      </c>
      <c r="I563" s="57">
        <v>64.45</v>
      </c>
      <c r="J563" s="57">
        <v>67.724000000000004</v>
      </c>
      <c r="K563" s="57">
        <v>70.343000000000004</v>
      </c>
      <c r="L563" s="57">
        <v>73.634</v>
      </c>
      <c r="M563" s="57">
        <v>77.704999999999998</v>
      </c>
      <c r="N563" s="57"/>
      <c r="O563" s="57"/>
      <c r="P563" s="57"/>
      <c r="Q563" s="57"/>
      <c r="R563" s="57"/>
      <c r="S563" s="57"/>
      <c r="T563" s="57"/>
    </row>
    <row r="564" spans="1:20">
      <c r="A564" s="55" t="s">
        <v>425</v>
      </c>
      <c r="B564" s="55" t="s">
        <v>327</v>
      </c>
      <c r="C564" s="57">
        <v>74.328000000000003</v>
      </c>
      <c r="D564" s="57">
        <v>71.900999999999996</v>
      </c>
      <c r="E564" s="57">
        <v>75.445999999999998</v>
      </c>
      <c r="F564" s="57">
        <v>78.349000000000004</v>
      </c>
      <c r="G564" s="57">
        <v>79.004000000000005</v>
      </c>
      <c r="H564" s="57">
        <v>83.043999999999997</v>
      </c>
      <c r="I564" s="57">
        <v>80.241</v>
      </c>
      <c r="J564" s="57">
        <v>87.47</v>
      </c>
      <c r="K564" s="57">
        <v>84.516000000000005</v>
      </c>
      <c r="L564" s="57">
        <v>85.715000000000003</v>
      </c>
      <c r="M564" s="57">
        <v>90.028999999999996</v>
      </c>
      <c r="N564" s="57"/>
      <c r="O564" s="57"/>
      <c r="P564" s="57"/>
      <c r="Q564" s="57"/>
      <c r="R564" s="57"/>
      <c r="S564" s="57"/>
      <c r="T564" s="57"/>
    </row>
    <row r="565" spans="1:20">
      <c r="A565" s="55" t="s">
        <v>425</v>
      </c>
      <c r="B565" s="55" t="s">
        <v>328</v>
      </c>
      <c r="C565" s="57">
        <v>72.647000000000006</v>
      </c>
      <c r="D565" s="57">
        <v>69.680000000000007</v>
      </c>
      <c r="E565" s="57">
        <v>73.906999999999996</v>
      </c>
      <c r="F565" s="57">
        <v>77.126000000000005</v>
      </c>
      <c r="G565" s="57">
        <v>78.194999999999993</v>
      </c>
      <c r="H565" s="57">
        <v>82.272000000000006</v>
      </c>
      <c r="I565" s="57">
        <v>80.352000000000004</v>
      </c>
      <c r="J565" s="57">
        <v>87.781000000000006</v>
      </c>
      <c r="K565" s="57">
        <v>84.146000000000001</v>
      </c>
      <c r="L565" s="57">
        <v>85.844999999999999</v>
      </c>
      <c r="M565" s="57">
        <v>91.837999999999994</v>
      </c>
      <c r="N565" s="57"/>
      <c r="O565" s="57"/>
      <c r="P565" s="57"/>
      <c r="Q565" s="57"/>
      <c r="R565" s="57"/>
      <c r="S565" s="57"/>
      <c r="T565" s="57"/>
    </row>
    <row r="566" spans="1:20">
      <c r="A566" s="55" t="s">
        <v>425</v>
      </c>
      <c r="B566" s="55" t="s">
        <v>329</v>
      </c>
      <c r="C566" s="57">
        <v>83.875</v>
      </c>
      <c r="D566" s="57">
        <v>84.945999999999998</v>
      </c>
      <c r="E566" s="57">
        <v>84.046999999999997</v>
      </c>
      <c r="F566" s="57">
        <v>84.858000000000004</v>
      </c>
      <c r="G566" s="57">
        <v>82.911000000000001</v>
      </c>
      <c r="H566" s="57">
        <v>86.686999999999998</v>
      </c>
      <c r="I566" s="57">
        <v>79.266000000000005</v>
      </c>
      <c r="J566" s="57">
        <v>85.484999999999999</v>
      </c>
      <c r="K566" s="57">
        <v>85.831000000000003</v>
      </c>
      <c r="L566" s="57">
        <v>84.47</v>
      </c>
      <c r="M566" s="57">
        <v>80.052000000000007</v>
      </c>
      <c r="N566" s="57"/>
      <c r="O566" s="57"/>
      <c r="P566" s="57"/>
      <c r="Q566" s="57"/>
      <c r="R566" s="57"/>
      <c r="S566" s="57"/>
      <c r="T566" s="57"/>
    </row>
    <row r="567" spans="1:20">
      <c r="A567" s="55" t="s">
        <v>425</v>
      </c>
      <c r="B567" s="55" t="s">
        <v>330</v>
      </c>
      <c r="C567" s="57">
        <v>88.792000000000002</v>
      </c>
      <c r="D567" s="57">
        <v>93.89</v>
      </c>
      <c r="E567" s="57">
        <v>91.316000000000003</v>
      </c>
      <c r="F567" s="57">
        <v>93.483999999999995</v>
      </c>
      <c r="G567" s="57">
        <v>95.308000000000007</v>
      </c>
      <c r="H567" s="57">
        <v>93.022999999999996</v>
      </c>
      <c r="I567" s="57">
        <v>92.775999999999996</v>
      </c>
      <c r="J567" s="57">
        <v>94.313999999999993</v>
      </c>
      <c r="K567" s="57">
        <v>92.412000000000006</v>
      </c>
      <c r="L567" s="57">
        <v>94.072000000000003</v>
      </c>
      <c r="M567" s="57">
        <v>98.241</v>
      </c>
      <c r="N567" s="57"/>
      <c r="O567" s="57"/>
      <c r="P567" s="57"/>
      <c r="Q567" s="57"/>
      <c r="R567" s="57"/>
      <c r="S567" s="57"/>
      <c r="T567" s="57"/>
    </row>
    <row r="568" spans="1:20">
      <c r="A568" s="55" t="s">
        <v>425</v>
      </c>
      <c r="B568" s="55" t="s">
        <v>331</v>
      </c>
      <c r="C568" s="57">
        <v>132.12299999999999</v>
      </c>
      <c r="D568" s="57">
        <v>134.47399999999999</v>
      </c>
      <c r="E568" s="57">
        <v>129.477</v>
      </c>
      <c r="F568" s="57">
        <v>128.08199999999999</v>
      </c>
      <c r="G568" s="57">
        <v>131.18600000000001</v>
      </c>
      <c r="H568" s="57">
        <v>130.72999999999999</v>
      </c>
      <c r="I568" s="57">
        <v>128.65600000000001</v>
      </c>
      <c r="J568" s="57">
        <v>128.11699999999999</v>
      </c>
      <c r="K568" s="57">
        <v>125.35899999999999</v>
      </c>
      <c r="L568" s="57">
        <v>123.937</v>
      </c>
      <c r="M568" s="57">
        <v>125.679</v>
      </c>
      <c r="N568" s="57"/>
      <c r="O568" s="57"/>
      <c r="P568" s="57"/>
      <c r="Q568" s="57"/>
      <c r="R568" s="57"/>
      <c r="S568" s="57"/>
      <c r="T568" s="57"/>
    </row>
    <row r="569" spans="1:20">
      <c r="A569" s="55" t="s">
        <v>425</v>
      </c>
      <c r="B569" s="55" t="s">
        <v>332</v>
      </c>
      <c r="C569" s="57">
        <v>74.808000000000007</v>
      </c>
      <c r="D569" s="57">
        <v>82.7</v>
      </c>
      <c r="E569" s="57">
        <v>83.179000000000002</v>
      </c>
      <c r="F569" s="57">
        <v>87.168000000000006</v>
      </c>
      <c r="G569" s="57">
        <v>89.210999999999999</v>
      </c>
      <c r="H569" s="57">
        <v>87.573999999999998</v>
      </c>
      <c r="I569" s="57">
        <v>85.506</v>
      </c>
      <c r="J569" s="57">
        <v>91.869</v>
      </c>
      <c r="K569" s="57">
        <v>91.376000000000005</v>
      </c>
      <c r="L569" s="57">
        <v>94.248000000000005</v>
      </c>
      <c r="M569" s="57">
        <v>97.093000000000004</v>
      </c>
      <c r="N569" s="57"/>
      <c r="O569" s="57"/>
      <c r="P569" s="57"/>
      <c r="Q569" s="57"/>
      <c r="R569" s="57"/>
      <c r="S569" s="57"/>
      <c r="T569" s="57"/>
    </row>
    <row r="570" spans="1:20">
      <c r="A570" s="55" t="s">
        <v>425</v>
      </c>
      <c r="B570" s="55" t="s">
        <v>333</v>
      </c>
      <c r="C570" s="57">
        <v>30.824000000000002</v>
      </c>
      <c r="D570" s="57">
        <v>34.500999999999998</v>
      </c>
      <c r="E570" s="57">
        <v>31.317</v>
      </c>
      <c r="F570" s="57">
        <v>35.817999999999998</v>
      </c>
      <c r="G570" s="57">
        <v>35.215000000000003</v>
      </c>
      <c r="H570" s="57">
        <v>30.134</v>
      </c>
      <c r="I570" s="57">
        <v>34.737000000000002</v>
      </c>
      <c r="J570" s="57">
        <v>32.741999999999997</v>
      </c>
      <c r="K570" s="57">
        <v>30.675000000000001</v>
      </c>
      <c r="L570" s="57">
        <v>34.607999999999997</v>
      </c>
      <c r="M570" s="57">
        <v>42.54</v>
      </c>
      <c r="N570" s="57"/>
      <c r="O570" s="57"/>
      <c r="P570" s="57"/>
      <c r="Q570" s="57"/>
      <c r="R570" s="57"/>
      <c r="S570" s="57"/>
      <c r="T570" s="57"/>
    </row>
    <row r="571" spans="1:20">
      <c r="A571" s="55" t="s">
        <v>425</v>
      </c>
      <c r="B571" s="55" t="s">
        <v>334</v>
      </c>
      <c r="C571" s="57">
        <v>78.673000000000002</v>
      </c>
      <c r="D571" s="57">
        <v>82.89</v>
      </c>
      <c r="E571" s="57">
        <v>86.951999999999998</v>
      </c>
      <c r="F571" s="57">
        <v>87.561999999999998</v>
      </c>
      <c r="G571" s="57">
        <v>90.956999999999994</v>
      </c>
      <c r="H571" s="57">
        <v>92.626000000000005</v>
      </c>
      <c r="I571" s="57">
        <v>94.617000000000004</v>
      </c>
      <c r="J571" s="57">
        <v>95.26</v>
      </c>
      <c r="K571" s="57">
        <v>95.802000000000007</v>
      </c>
      <c r="L571" s="57">
        <v>97.052000000000007</v>
      </c>
      <c r="M571" s="57">
        <v>97.777000000000001</v>
      </c>
      <c r="N571" s="57"/>
      <c r="O571" s="57"/>
      <c r="P571" s="57"/>
      <c r="Q571" s="57"/>
      <c r="R571" s="57"/>
      <c r="S571" s="57"/>
      <c r="T571" s="57"/>
    </row>
    <row r="572" spans="1:20">
      <c r="A572" s="55" t="s">
        <v>425</v>
      </c>
      <c r="B572" s="55" t="s">
        <v>335</v>
      </c>
      <c r="C572" s="57">
        <v>75.100999999999999</v>
      </c>
      <c r="D572" s="57">
        <v>74.858999999999995</v>
      </c>
      <c r="E572" s="57">
        <v>74.620999999999995</v>
      </c>
      <c r="F572" s="57">
        <v>73.438999999999993</v>
      </c>
      <c r="G572" s="57">
        <v>67.058000000000007</v>
      </c>
      <c r="H572" s="57">
        <v>69.765000000000001</v>
      </c>
      <c r="I572" s="57">
        <v>71.974999999999994</v>
      </c>
      <c r="J572" s="57">
        <v>75.635000000000005</v>
      </c>
      <c r="K572" s="57">
        <v>76.653000000000006</v>
      </c>
      <c r="L572" s="57">
        <v>82.034000000000006</v>
      </c>
      <c r="M572" s="57">
        <v>85.320999999999998</v>
      </c>
      <c r="N572" s="57"/>
      <c r="O572" s="57"/>
      <c r="P572" s="57"/>
      <c r="Q572" s="57"/>
      <c r="R572" s="57"/>
      <c r="S572" s="57"/>
      <c r="T572" s="57"/>
    </row>
    <row r="573" spans="1:20">
      <c r="A573" s="55" t="s">
        <v>425</v>
      </c>
      <c r="B573" s="55" t="s">
        <v>336</v>
      </c>
      <c r="C573" s="57">
        <v>64.164000000000001</v>
      </c>
      <c r="D573" s="57">
        <v>67.322999999999993</v>
      </c>
      <c r="E573" s="57">
        <v>68.180999999999997</v>
      </c>
      <c r="F573" s="57">
        <v>67.941999999999993</v>
      </c>
      <c r="G573" s="57">
        <v>66.638999999999996</v>
      </c>
      <c r="H573" s="57">
        <v>69.344999999999999</v>
      </c>
      <c r="I573" s="57">
        <v>71.753</v>
      </c>
      <c r="J573" s="57">
        <v>76.161000000000001</v>
      </c>
      <c r="K573" s="57">
        <v>79.855000000000004</v>
      </c>
      <c r="L573" s="57">
        <v>82.585999999999999</v>
      </c>
      <c r="M573" s="57">
        <v>88.37</v>
      </c>
      <c r="N573" s="57"/>
      <c r="O573" s="57"/>
      <c r="P573" s="57"/>
      <c r="Q573" s="57"/>
      <c r="R573" s="57"/>
      <c r="S573" s="57"/>
      <c r="T573" s="57"/>
    </row>
    <row r="574" spans="1:20">
      <c r="A574" s="55" t="s">
        <v>425</v>
      </c>
      <c r="B574" s="55" t="s">
        <v>337</v>
      </c>
      <c r="C574" s="57">
        <v>53.213000000000001</v>
      </c>
      <c r="D574" s="57">
        <v>56.591000000000001</v>
      </c>
      <c r="E574" s="57">
        <v>57.165999999999997</v>
      </c>
      <c r="F574" s="57">
        <v>56.734999999999999</v>
      </c>
      <c r="G574" s="57">
        <v>54.481000000000002</v>
      </c>
      <c r="H574" s="57">
        <v>57.463999999999999</v>
      </c>
      <c r="I574" s="57">
        <v>60.588000000000001</v>
      </c>
      <c r="J574" s="57">
        <v>65.805000000000007</v>
      </c>
      <c r="K574" s="57">
        <v>70.917000000000002</v>
      </c>
      <c r="L574" s="57">
        <v>75.492000000000004</v>
      </c>
      <c r="M574" s="57">
        <v>82.564999999999998</v>
      </c>
      <c r="N574" s="57"/>
      <c r="O574" s="57"/>
      <c r="P574" s="57"/>
      <c r="Q574" s="57"/>
      <c r="R574" s="57"/>
      <c r="S574" s="57"/>
      <c r="T574" s="57"/>
    </row>
    <row r="575" spans="1:20">
      <c r="A575" s="55" t="s">
        <v>425</v>
      </c>
      <c r="B575" s="55" t="s">
        <v>338</v>
      </c>
      <c r="C575" s="57">
        <v>80.665000000000006</v>
      </c>
      <c r="D575" s="57">
        <v>80.438000000000002</v>
      </c>
      <c r="E575" s="57">
        <v>78.478999999999999</v>
      </c>
      <c r="F575" s="57">
        <v>77.578999999999994</v>
      </c>
      <c r="G575" s="57">
        <v>71.924000000000007</v>
      </c>
      <c r="H575" s="57">
        <v>75.394999999999996</v>
      </c>
      <c r="I575" s="57">
        <v>75.695999999999998</v>
      </c>
      <c r="J575" s="57">
        <v>80.459000000000003</v>
      </c>
      <c r="K575" s="57">
        <v>82.722999999999999</v>
      </c>
      <c r="L575" s="57">
        <v>84.956999999999994</v>
      </c>
      <c r="M575" s="57">
        <v>87.334999999999994</v>
      </c>
      <c r="N575" s="57"/>
      <c r="O575" s="57"/>
      <c r="P575" s="57"/>
      <c r="Q575" s="57"/>
      <c r="R575" s="57"/>
      <c r="S575" s="57"/>
      <c r="T575" s="57"/>
    </row>
    <row r="576" spans="1:20">
      <c r="A576" s="55" t="s">
        <v>425</v>
      </c>
      <c r="B576" s="55" t="s">
        <v>339</v>
      </c>
      <c r="C576" s="57">
        <v>77.073999999999998</v>
      </c>
      <c r="D576" s="57">
        <v>78.099000000000004</v>
      </c>
      <c r="E576" s="57">
        <v>77.308999999999997</v>
      </c>
      <c r="F576" s="57">
        <v>76.293000000000006</v>
      </c>
      <c r="G576" s="57">
        <v>70.159000000000006</v>
      </c>
      <c r="H576" s="57">
        <v>72.646000000000001</v>
      </c>
      <c r="I576" s="57">
        <v>74.527000000000001</v>
      </c>
      <c r="J576" s="57">
        <v>78.113</v>
      </c>
      <c r="K576" s="57">
        <v>80.56</v>
      </c>
      <c r="L576" s="57">
        <v>85.992000000000004</v>
      </c>
      <c r="M576" s="57">
        <v>89.106999999999999</v>
      </c>
      <c r="N576" s="57"/>
      <c r="O576" s="57"/>
      <c r="P576" s="57"/>
      <c r="Q576" s="57"/>
      <c r="R576" s="57"/>
      <c r="S576" s="57"/>
      <c r="T576" s="57"/>
    </row>
    <row r="577" spans="1:20">
      <c r="A577" s="55" t="s">
        <v>425</v>
      </c>
      <c r="B577" s="55" t="s">
        <v>340</v>
      </c>
      <c r="C577" s="57">
        <v>81.766000000000005</v>
      </c>
      <c r="D577" s="57">
        <v>89.965000000000003</v>
      </c>
      <c r="E577" s="57">
        <v>89.268000000000001</v>
      </c>
      <c r="F577" s="57">
        <v>87.858000000000004</v>
      </c>
      <c r="G577" s="57">
        <v>84.073999999999998</v>
      </c>
      <c r="H577" s="57">
        <v>86.343999999999994</v>
      </c>
      <c r="I577" s="57">
        <v>90.394000000000005</v>
      </c>
      <c r="J577" s="57">
        <v>95.168000000000006</v>
      </c>
      <c r="K577" s="57">
        <v>96.238</v>
      </c>
      <c r="L577" s="57">
        <v>99.201999999999998</v>
      </c>
      <c r="M577" s="57">
        <v>102.369</v>
      </c>
      <c r="N577" s="57"/>
      <c r="O577" s="57"/>
      <c r="P577" s="57"/>
      <c r="Q577" s="57"/>
      <c r="R577" s="57"/>
      <c r="S577" s="57"/>
      <c r="T577" s="57"/>
    </row>
    <row r="578" spans="1:20">
      <c r="A578" s="55" t="s">
        <v>425</v>
      </c>
      <c r="B578" s="55" t="s">
        <v>341</v>
      </c>
      <c r="C578" s="57">
        <v>75.739000000000004</v>
      </c>
      <c r="D578" s="57">
        <v>79.141000000000005</v>
      </c>
      <c r="E578" s="57">
        <v>78.263999999999996</v>
      </c>
      <c r="F578" s="57">
        <v>77.665000000000006</v>
      </c>
      <c r="G578" s="57">
        <v>74.317999999999998</v>
      </c>
      <c r="H578" s="57">
        <v>76.566000000000003</v>
      </c>
      <c r="I578" s="57">
        <v>79.147999999999996</v>
      </c>
      <c r="J578" s="57">
        <v>85.688999999999993</v>
      </c>
      <c r="K578" s="57">
        <v>90.316000000000003</v>
      </c>
      <c r="L578" s="57">
        <v>93.575999999999993</v>
      </c>
      <c r="M578" s="57">
        <v>97.933000000000007</v>
      </c>
      <c r="N578" s="57"/>
      <c r="O578" s="57"/>
      <c r="P578" s="57"/>
      <c r="Q578" s="57"/>
      <c r="R578" s="57"/>
      <c r="S578" s="57"/>
      <c r="T578" s="57"/>
    </row>
    <row r="579" spans="1:20">
      <c r="A579" s="55" t="s">
        <v>425</v>
      </c>
      <c r="B579" s="55" t="s">
        <v>342</v>
      </c>
      <c r="C579" s="57">
        <v>71.69</v>
      </c>
      <c r="D579" s="57">
        <v>77.760000000000005</v>
      </c>
      <c r="E579" s="57">
        <v>81.19</v>
      </c>
      <c r="F579" s="57">
        <v>78.497</v>
      </c>
      <c r="G579" s="57">
        <v>73.355000000000004</v>
      </c>
      <c r="H579" s="57">
        <v>73.096000000000004</v>
      </c>
      <c r="I579" s="57">
        <v>78.332999999999998</v>
      </c>
      <c r="J579" s="57">
        <v>85.825000000000003</v>
      </c>
      <c r="K579" s="57">
        <v>92.85</v>
      </c>
      <c r="L579" s="57">
        <v>95.07</v>
      </c>
      <c r="M579" s="57">
        <v>99.460999999999999</v>
      </c>
      <c r="N579" s="57"/>
      <c r="O579" s="57"/>
      <c r="P579" s="57"/>
      <c r="Q579" s="57"/>
      <c r="R579" s="57"/>
      <c r="S579" s="57"/>
      <c r="T579" s="57"/>
    </row>
    <row r="580" spans="1:20">
      <c r="A580" s="55" t="s">
        <v>425</v>
      </c>
      <c r="B580" s="55" t="s">
        <v>343</v>
      </c>
      <c r="C580" s="57">
        <v>14.853</v>
      </c>
      <c r="D580" s="57">
        <v>16.425999999999998</v>
      </c>
      <c r="E580" s="57">
        <v>16.963999999999999</v>
      </c>
      <c r="F580" s="57">
        <v>18.283999999999999</v>
      </c>
      <c r="G580" s="57">
        <v>18.925999999999998</v>
      </c>
      <c r="H580" s="57">
        <v>21.161999999999999</v>
      </c>
      <c r="I580" s="57">
        <v>23.297000000000001</v>
      </c>
      <c r="J580" s="57">
        <v>27.425000000000001</v>
      </c>
      <c r="K580" s="57">
        <v>35.734999999999999</v>
      </c>
      <c r="L580" s="57">
        <v>43.966000000000001</v>
      </c>
      <c r="M580" s="57">
        <v>53.853000000000002</v>
      </c>
      <c r="N580" s="57"/>
      <c r="O580" s="57"/>
      <c r="P580" s="57"/>
      <c r="Q580" s="57"/>
      <c r="R580" s="57"/>
      <c r="S580" s="57"/>
      <c r="T580" s="57"/>
    </row>
    <row r="581" spans="1:20">
      <c r="A581" s="55" t="s">
        <v>425</v>
      </c>
      <c r="B581" s="55" t="s">
        <v>344</v>
      </c>
      <c r="C581" s="57">
        <v>85.385000000000005</v>
      </c>
      <c r="D581" s="57">
        <v>87.789000000000001</v>
      </c>
      <c r="E581" s="57">
        <v>87.831999999999994</v>
      </c>
      <c r="F581" s="57">
        <v>84.644999999999996</v>
      </c>
      <c r="G581" s="57">
        <v>79.742999999999995</v>
      </c>
      <c r="H581" s="57">
        <v>85.290999999999997</v>
      </c>
      <c r="I581" s="57">
        <v>91.429000000000002</v>
      </c>
      <c r="J581" s="57">
        <v>98.055000000000007</v>
      </c>
      <c r="K581" s="57">
        <v>100.702</v>
      </c>
      <c r="L581" s="57">
        <v>103.654</v>
      </c>
      <c r="M581" s="57">
        <v>107.68899999999999</v>
      </c>
      <c r="N581" s="57"/>
      <c r="O581" s="57"/>
      <c r="P581" s="57"/>
      <c r="Q581" s="57"/>
      <c r="R581" s="57"/>
      <c r="S581" s="57"/>
      <c r="T581" s="57"/>
    </row>
    <row r="582" spans="1:20">
      <c r="A582" s="55" t="s">
        <v>425</v>
      </c>
      <c r="B582" s="55" t="s">
        <v>345</v>
      </c>
      <c r="C582" s="57">
        <v>57.582000000000001</v>
      </c>
      <c r="D582" s="57">
        <v>61.085999999999999</v>
      </c>
      <c r="E582" s="57">
        <v>61.759</v>
      </c>
      <c r="F582" s="57">
        <v>56.145000000000003</v>
      </c>
      <c r="G582" s="57">
        <v>52.436</v>
      </c>
      <c r="H582" s="57">
        <v>59.024999999999999</v>
      </c>
      <c r="I582" s="57">
        <v>65.043999999999997</v>
      </c>
      <c r="J582" s="57">
        <v>74.427999999999997</v>
      </c>
      <c r="K582" s="57">
        <v>76.593999999999994</v>
      </c>
      <c r="L582" s="57">
        <v>76.843000000000004</v>
      </c>
      <c r="M582" s="57">
        <v>83.921000000000006</v>
      </c>
      <c r="N582" s="57"/>
      <c r="O582" s="57"/>
      <c r="P582" s="57"/>
      <c r="Q582" s="57"/>
      <c r="R582" s="57"/>
      <c r="S582" s="57"/>
      <c r="T582" s="57"/>
    </row>
    <row r="583" spans="1:20">
      <c r="A583" s="55" t="s">
        <v>425</v>
      </c>
      <c r="B583" s="55" t="s">
        <v>346</v>
      </c>
      <c r="C583" s="57">
        <v>99.951999999999998</v>
      </c>
      <c r="D583" s="57">
        <v>105.035</v>
      </c>
      <c r="E583" s="57">
        <v>105.357</v>
      </c>
      <c r="F583" s="57">
        <v>111.068</v>
      </c>
      <c r="G583" s="57">
        <v>105.479</v>
      </c>
      <c r="H583" s="57">
        <v>101.539</v>
      </c>
      <c r="I583" s="57">
        <v>93.694000000000003</v>
      </c>
      <c r="J583" s="57">
        <v>84.238</v>
      </c>
      <c r="K583" s="57">
        <v>78.881</v>
      </c>
      <c r="L583" s="57">
        <v>82.796000000000006</v>
      </c>
      <c r="M583" s="57">
        <v>93.694999999999993</v>
      </c>
      <c r="N583" s="57"/>
      <c r="O583" s="57"/>
      <c r="P583" s="57"/>
      <c r="Q583" s="57"/>
      <c r="R583" s="57"/>
      <c r="S583" s="57"/>
      <c r="T583" s="57"/>
    </row>
    <row r="584" spans="1:20">
      <c r="A584" s="55" t="s">
        <v>425</v>
      </c>
      <c r="B584" s="55" t="s">
        <v>347</v>
      </c>
      <c r="C584" s="57">
        <v>73.754000000000005</v>
      </c>
      <c r="D584" s="57">
        <v>72.665999999999997</v>
      </c>
      <c r="E584" s="57">
        <v>72.843999999999994</v>
      </c>
      <c r="F584" s="57">
        <v>71.061999999999998</v>
      </c>
      <c r="G584" s="57">
        <v>65.545000000000002</v>
      </c>
      <c r="H584" s="57">
        <v>70.474999999999994</v>
      </c>
      <c r="I584" s="57">
        <v>73.188000000000002</v>
      </c>
      <c r="J584" s="57">
        <v>76.298000000000002</v>
      </c>
      <c r="K584" s="57">
        <v>77.748000000000005</v>
      </c>
      <c r="L584" s="57">
        <v>78.506</v>
      </c>
      <c r="M584" s="57">
        <v>86.989000000000004</v>
      </c>
      <c r="N584" s="57"/>
      <c r="O584" s="57"/>
      <c r="P584" s="57"/>
      <c r="Q584" s="57"/>
      <c r="R584" s="57"/>
      <c r="S584" s="57"/>
      <c r="T584" s="57"/>
    </row>
    <row r="585" spans="1:20">
      <c r="A585" s="55" t="s">
        <v>425</v>
      </c>
      <c r="B585" s="55" t="s">
        <v>348</v>
      </c>
      <c r="C585" s="57">
        <v>54.67</v>
      </c>
      <c r="D585" s="57">
        <v>59.076999999999998</v>
      </c>
      <c r="E585" s="57">
        <v>59.695</v>
      </c>
      <c r="F585" s="57">
        <v>62.143000000000001</v>
      </c>
      <c r="G585" s="57">
        <v>62.356000000000002</v>
      </c>
      <c r="H585" s="57">
        <v>64.302999999999997</v>
      </c>
      <c r="I585" s="57">
        <v>67.849999999999994</v>
      </c>
      <c r="J585" s="57">
        <v>68.677999999999997</v>
      </c>
      <c r="K585" s="57">
        <v>71.606999999999999</v>
      </c>
      <c r="L585" s="57">
        <v>74.747</v>
      </c>
      <c r="M585" s="57">
        <v>77.061999999999998</v>
      </c>
      <c r="N585" s="57"/>
      <c r="O585" s="57"/>
      <c r="P585" s="57"/>
      <c r="Q585" s="57"/>
      <c r="R585" s="57"/>
      <c r="S585" s="57"/>
      <c r="T585" s="57"/>
    </row>
    <row r="586" spans="1:20">
      <c r="A586" s="55" t="s">
        <v>425</v>
      </c>
      <c r="B586" s="55" t="s">
        <v>349</v>
      </c>
      <c r="C586" s="57">
        <v>80.825999999999993</v>
      </c>
      <c r="D586" s="57">
        <v>83.489000000000004</v>
      </c>
      <c r="E586" s="57">
        <v>84.802000000000007</v>
      </c>
      <c r="F586" s="57">
        <v>84.885999999999996</v>
      </c>
      <c r="G586" s="57">
        <v>85.16</v>
      </c>
      <c r="H586" s="57">
        <v>87.35</v>
      </c>
      <c r="I586" s="57">
        <v>88.52</v>
      </c>
      <c r="J586" s="57">
        <v>91.483999999999995</v>
      </c>
      <c r="K586" s="57">
        <v>92.799000000000007</v>
      </c>
      <c r="L586" s="57">
        <v>92.65</v>
      </c>
      <c r="M586" s="57">
        <v>96.468000000000004</v>
      </c>
      <c r="N586" s="57"/>
      <c r="O586" s="57"/>
      <c r="P586" s="57"/>
      <c r="Q586" s="57"/>
      <c r="R586" s="57"/>
      <c r="S586" s="57"/>
      <c r="T586" s="57"/>
    </row>
    <row r="587" spans="1:20">
      <c r="A587" s="55" t="s">
        <v>425</v>
      </c>
      <c r="B587" s="55" t="s">
        <v>350</v>
      </c>
      <c r="C587" s="57">
        <v>78.396000000000001</v>
      </c>
      <c r="D587" s="57">
        <v>80.739999999999995</v>
      </c>
      <c r="E587" s="57">
        <v>82.540999999999997</v>
      </c>
      <c r="F587" s="57">
        <v>82.481999999999999</v>
      </c>
      <c r="G587" s="57">
        <v>83.867999999999995</v>
      </c>
      <c r="H587" s="57">
        <v>85.671999999999997</v>
      </c>
      <c r="I587" s="57">
        <v>86.352999999999994</v>
      </c>
      <c r="J587" s="57">
        <v>88.281999999999996</v>
      </c>
      <c r="K587" s="57">
        <v>90.99</v>
      </c>
      <c r="L587" s="57">
        <v>89.56</v>
      </c>
      <c r="M587" s="57">
        <v>92.355000000000004</v>
      </c>
      <c r="N587" s="57"/>
      <c r="O587" s="57"/>
      <c r="P587" s="57"/>
      <c r="Q587" s="57"/>
      <c r="R587" s="57"/>
      <c r="S587" s="57"/>
      <c r="T587" s="57"/>
    </row>
    <row r="588" spans="1:20">
      <c r="A588" s="55" t="s">
        <v>425</v>
      </c>
      <c r="B588" s="55" t="s">
        <v>351</v>
      </c>
      <c r="C588" s="57">
        <v>104.453</v>
      </c>
      <c r="D588" s="57">
        <v>105.069</v>
      </c>
      <c r="E588" s="57">
        <v>106.803</v>
      </c>
      <c r="F588" s="57">
        <v>101.965</v>
      </c>
      <c r="G588" s="57">
        <v>101.23099999999999</v>
      </c>
      <c r="H588" s="57">
        <v>107.361</v>
      </c>
      <c r="I588" s="57">
        <v>112.78100000000001</v>
      </c>
      <c r="J588" s="57">
        <v>119.527</v>
      </c>
      <c r="K588" s="57">
        <v>118.31699999999999</v>
      </c>
      <c r="L588" s="57">
        <v>116.246</v>
      </c>
      <c r="M588" s="57">
        <v>120.187</v>
      </c>
      <c r="N588" s="57"/>
      <c r="O588" s="57"/>
      <c r="P588" s="57"/>
      <c r="Q588" s="57"/>
      <c r="R588" s="57"/>
      <c r="S588" s="57"/>
      <c r="T588" s="57"/>
    </row>
    <row r="589" spans="1:20">
      <c r="A589" s="55" t="s">
        <v>425</v>
      </c>
      <c r="B589" s="55" t="s">
        <v>352</v>
      </c>
      <c r="C589" s="57">
        <v>217.654</v>
      </c>
      <c r="D589" s="57">
        <v>217.209</v>
      </c>
      <c r="E589" s="57">
        <v>207.54400000000001</v>
      </c>
      <c r="F589" s="57">
        <v>203.92400000000001</v>
      </c>
      <c r="G589" s="57">
        <v>203.834</v>
      </c>
      <c r="H589" s="57">
        <v>213.642</v>
      </c>
      <c r="I589" s="57">
        <v>215.905</v>
      </c>
      <c r="J589" s="57">
        <v>219.55600000000001</v>
      </c>
      <c r="K589" s="57">
        <v>216.27500000000001</v>
      </c>
      <c r="L589" s="57">
        <v>211.43</v>
      </c>
      <c r="M589" s="57">
        <v>214.35</v>
      </c>
      <c r="N589" s="57"/>
      <c r="O589" s="57"/>
      <c r="P589" s="57"/>
      <c r="Q589" s="57"/>
      <c r="R589" s="57"/>
      <c r="S589" s="57"/>
      <c r="T589" s="57"/>
    </row>
    <row r="590" spans="1:20">
      <c r="A590" s="55" t="s">
        <v>425</v>
      </c>
      <c r="B590" s="55" t="s">
        <v>353</v>
      </c>
      <c r="C590" s="57">
        <v>95.775000000000006</v>
      </c>
      <c r="D590" s="57">
        <v>99.067999999999998</v>
      </c>
      <c r="E590" s="57">
        <v>100.48399999999999</v>
      </c>
      <c r="F590" s="57">
        <v>100.69199999999999</v>
      </c>
      <c r="G590" s="57">
        <v>101.26600000000001</v>
      </c>
      <c r="H590" s="57">
        <v>104.39400000000001</v>
      </c>
      <c r="I590" s="57">
        <v>105.129</v>
      </c>
      <c r="J590" s="57">
        <v>110.25</v>
      </c>
      <c r="K590" s="57">
        <v>109.961</v>
      </c>
      <c r="L590" s="57">
        <v>107.372</v>
      </c>
      <c r="M590" s="57">
        <v>109.29900000000001</v>
      </c>
      <c r="N590" s="57"/>
      <c r="O590" s="57"/>
      <c r="P590" s="57"/>
      <c r="Q590" s="57"/>
      <c r="R590" s="57"/>
      <c r="S590" s="57"/>
      <c r="T590" s="57"/>
    </row>
    <row r="591" spans="1:20">
      <c r="A591" s="55" t="s">
        <v>425</v>
      </c>
      <c r="B591" s="55" t="s">
        <v>354</v>
      </c>
      <c r="C591" s="57">
        <v>90.477999999999994</v>
      </c>
      <c r="D591" s="57">
        <v>93.028999999999996</v>
      </c>
      <c r="E591" s="57">
        <v>93.709000000000003</v>
      </c>
      <c r="F591" s="57">
        <v>96.561000000000007</v>
      </c>
      <c r="G591" s="57">
        <v>93.17</v>
      </c>
      <c r="H591" s="57">
        <v>97.944999999999993</v>
      </c>
      <c r="I591" s="57">
        <v>97.475999999999999</v>
      </c>
      <c r="J591" s="57">
        <v>98.662000000000006</v>
      </c>
      <c r="K591" s="57">
        <v>99.894999999999996</v>
      </c>
      <c r="L591" s="57">
        <v>100.715</v>
      </c>
      <c r="M591" s="57">
        <v>103.048</v>
      </c>
      <c r="N591" s="57"/>
      <c r="O591" s="57"/>
      <c r="P591" s="57"/>
      <c r="Q591" s="57"/>
      <c r="R591" s="57"/>
      <c r="S591" s="57"/>
      <c r="T591" s="57"/>
    </row>
    <row r="592" spans="1:20">
      <c r="A592" s="55" t="s">
        <v>425</v>
      </c>
      <c r="B592" s="55" t="s">
        <v>355</v>
      </c>
      <c r="C592" s="57">
        <v>78.709999999999994</v>
      </c>
      <c r="D592" s="57">
        <v>81.686999999999998</v>
      </c>
      <c r="E592" s="57">
        <v>81.037999999999997</v>
      </c>
      <c r="F592" s="57">
        <v>79.486999999999995</v>
      </c>
      <c r="G592" s="57">
        <v>81.200999999999993</v>
      </c>
      <c r="H592" s="57">
        <v>79.234999999999999</v>
      </c>
      <c r="I592" s="57">
        <v>79.471999999999994</v>
      </c>
      <c r="J592" s="57">
        <v>81.433999999999997</v>
      </c>
      <c r="K592" s="57">
        <v>82.988</v>
      </c>
      <c r="L592" s="57">
        <v>84.162000000000006</v>
      </c>
      <c r="M592" s="57">
        <v>87.953000000000003</v>
      </c>
      <c r="N592" s="57"/>
      <c r="O592" s="57"/>
      <c r="P592" s="57"/>
      <c r="Q592" s="57"/>
      <c r="R592" s="57"/>
      <c r="S592" s="57"/>
      <c r="T592" s="57"/>
    </row>
    <row r="593" spans="1:20">
      <c r="A593" s="55" t="s">
        <v>425</v>
      </c>
      <c r="B593" s="55" t="s">
        <v>356</v>
      </c>
      <c r="C593" s="57">
        <v>73.114999999999995</v>
      </c>
      <c r="D593" s="57">
        <v>76.662000000000006</v>
      </c>
      <c r="E593" s="57">
        <v>78.760000000000005</v>
      </c>
      <c r="F593" s="57">
        <v>79.683999999999997</v>
      </c>
      <c r="G593" s="57">
        <v>79.013000000000005</v>
      </c>
      <c r="H593" s="57">
        <v>80.561999999999998</v>
      </c>
      <c r="I593" s="57">
        <v>81.015000000000001</v>
      </c>
      <c r="J593" s="57">
        <v>83.599000000000004</v>
      </c>
      <c r="K593" s="57">
        <v>84.31</v>
      </c>
      <c r="L593" s="57">
        <v>85.293000000000006</v>
      </c>
      <c r="M593" s="57">
        <v>90.953000000000003</v>
      </c>
      <c r="N593" s="57"/>
      <c r="O593" s="57"/>
      <c r="P593" s="57"/>
      <c r="Q593" s="57"/>
      <c r="R593" s="57"/>
      <c r="S593" s="57"/>
      <c r="T593" s="57"/>
    </row>
    <row r="594" spans="1:20">
      <c r="A594" s="55" t="s">
        <v>425</v>
      </c>
      <c r="B594" s="55" t="s">
        <v>357</v>
      </c>
      <c r="C594" s="57">
        <v>60.116999999999997</v>
      </c>
      <c r="D594" s="57">
        <v>62.786999999999999</v>
      </c>
      <c r="E594" s="57">
        <v>65.301000000000002</v>
      </c>
      <c r="F594" s="57">
        <v>67.302999999999997</v>
      </c>
      <c r="G594" s="57">
        <v>66.620999999999995</v>
      </c>
      <c r="H594" s="57">
        <v>71.260999999999996</v>
      </c>
      <c r="I594" s="57">
        <v>76.001000000000005</v>
      </c>
      <c r="J594" s="57">
        <v>82.108000000000004</v>
      </c>
      <c r="K594" s="57">
        <v>83.852999999999994</v>
      </c>
      <c r="L594" s="57">
        <v>86.742000000000004</v>
      </c>
      <c r="M594" s="57">
        <v>91.959000000000003</v>
      </c>
      <c r="N594" s="57"/>
      <c r="O594" s="57"/>
      <c r="P594" s="57"/>
      <c r="Q594" s="57"/>
      <c r="R594" s="57"/>
      <c r="S594" s="57"/>
      <c r="T594" s="57"/>
    </row>
    <row r="595" spans="1:20">
      <c r="A595" s="55" t="s">
        <v>425</v>
      </c>
      <c r="B595" s="55" t="s">
        <v>358</v>
      </c>
      <c r="C595" s="57">
        <v>42.826999999999998</v>
      </c>
      <c r="D595" s="57">
        <v>45.377000000000002</v>
      </c>
      <c r="E595" s="57">
        <v>46.639000000000003</v>
      </c>
      <c r="F595" s="57">
        <v>47.408000000000001</v>
      </c>
      <c r="G595" s="57">
        <v>47.527999999999999</v>
      </c>
      <c r="H595" s="57">
        <v>50.652000000000001</v>
      </c>
      <c r="I595" s="57">
        <v>53.289000000000001</v>
      </c>
      <c r="J595" s="57">
        <v>56.609000000000002</v>
      </c>
      <c r="K595" s="57">
        <v>59.472000000000001</v>
      </c>
      <c r="L595" s="57">
        <v>62.155000000000001</v>
      </c>
      <c r="M595" s="57">
        <v>66.894000000000005</v>
      </c>
      <c r="N595" s="57"/>
      <c r="O595" s="57"/>
      <c r="P595" s="57"/>
      <c r="Q595" s="57"/>
      <c r="R595" s="57"/>
      <c r="S595" s="57"/>
      <c r="T595" s="57"/>
    </row>
    <row r="596" spans="1:20">
      <c r="A596" s="55" t="s">
        <v>425</v>
      </c>
      <c r="B596" s="55" t="s">
        <v>359</v>
      </c>
      <c r="C596" s="57">
        <v>52.237000000000002</v>
      </c>
      <c r="D596" s="57">
        <v>55.182000000000002</v>
      </c>
      <c r="E596" s="57">
        <v>56.838000000000001</v>
      </c>
      <c r="F596" s="57">
        <v>58.052</v>
      </c>
      <c r="G596" s="57">
        <v>57.427</v>
      </c>
      <c r="H596" s="57">
        <v>60.091000000000001</v>
      </c>
      <c r="I596" s="57">
        <v>62.978000000000002</v>
      </c>
      <c r="J596" s="57">
        <v>67.623000000000005</v>
      </c>
      <c r="K596" s="57">
        <v>70.766999999999996</v>
      </c>
      <c r="L596" s="57">
        <v>75.09</v>
      </c>
      <c r="M596" s="57">
        <v>78.8</v>
      </c>
      <c r="N596" s="57"/>
      <c r="O596" s="57"/>
      <c r="P596" s="57"/>
      <c r="Q596" s="57"/>
      <c r="R596" s="57"/>
      <c r="S596" s="57"/>
      <c r="T596" s="57"/>
    </row>
    <row r="597" spans="1:20">
      <c r="A597" s="55" t="s">
        <v>425</v>
      </c>
      <c r="B597" s="55" t="s">
        <v>360</v>
      </c>
      <c r="C597" s="57">
        <v>57.820999999999998</v>
      </c>
      <c r="D597" s="57">
        <v>62.523000000000003</v>
      </c>
      <c r="E597" s="57">
        <v>64.685000000000002</v>
      </c>
      <c r="F597" s="57">
        <v>67.182000000000002</v>
      </c>
      <c r="G597" s="57">
        <v>67.673000000000002</v>
      </c>
      <c r="H597" s="57">
        <v>71.08</v>
      </c>
      <c r="I597" s="57">
        <v>73.382999999999996</v>
      </c>
      <c r="J597" s="57">
        <v>77.921999999999997</v>
      </c>
      <c r="K597" s="57">
        <v>80.786000000000001</v>
      </c>
      <c r="L597" s="57">
        <v>84.606999999999999</v>
      </c>
      <c r="M597" s="57">
        <v>88.097999999999999</v>
      </c>
      <c r="N597" s="57"/>
      <c r="O597" s="57"/>
      <c r="P597" s="57"/>
      <c r="Q597" s="57"/>
      <c r="R597" s="57"/>
      <c r="S597" s="57"/>
      <c r="T597" s="57"/>
    </row>
    <row r="598" spans="1:20">
      <c r="A598" s="55" t="s">
        <v>425</v>
      </c>
      <c r="B598" s="55" t="s">
        <v>361</v>
      </c>
      <c r="C598" s="57">
        <v>65.569999999999993</v>
      </c>
      <c r="D598" s="57">
        <v>69.424000000000007</v>
      </c>
      <c r="E598" s="57">
        <v>71.489999999999995</v>
      </c>
      <c r="F598" s="57">
        <v>73.820999999999998</v>
      </c>
      <c r="G598" s="57">
        <v>71.626999999999995</v>
      </c>
      <c r="H598" s="57">
        <v>74.31</v>
      </c>
      <c r="I598" s="57">
        <v>76.596999999999994</v>
      </c>
      <c r="J598" s="57">
        <v>81.600999999999999</v>
      </c>
      <c r="K598" s="57">
        <v>86.188999999999993</v>
      </c>
      <c r="L598" s="57">
        <v>92.53</v>
      </c>
      <c r="M598" s="57">
        <v>97.510999999999996</v>
      </c>
      <c r="N598" s="57"/>
      <c r="O598" s="57"/>
      <c r="P598" s="57"/>
      <c r="Q598" s="57"/>
      <c r="R598" s="57"/>
      <c r="S598" s="57"/>
      <c r="T598" s="57"/>
    </row>
    <row r="599" spans="1:20">
      <c r="A599" s="55" t="s">
        <v>425</v>
      </c>
      <c r="B599" s="55" t="s">
        <v>362</v>
      </c>
      <c r="C599" s="57">
        <v>67.268000000000001</v>
      </c>
      <c r="D599" s="57">
        <v>71.286000000000001</v>
      </c>
      <c r="E599" s="57">
        <v>73.599999999999994</v>
      </c>
      <c r="F599" s="57">
        <v>75.391999999999996</v>
      </c>
      <c r="G599" s="57">
        <v>76.248000000000005</v>
      </c>
      <c r="H599" s="57">
        <v>79.007000000000005</v>
      </c>
      <c r="I599" s="57">
        <v>79.522999999999996</v>
      </c>
      <c r="J599" s="57">
        <v>83.82</v>
      </c>
      <c r="K599" s="57">
        <v>87.83</v>
      </c>
      <c r="L599" s="57">
        <v>89.131</v>
      </c>
      <c r="M599" s="57">
        <v>89.745999999999995</v>
      </c>
      <c r="N599" s="57"/>
      <c r="O599" s="57"/>
      <c r="P599" s="57"/>
      <c r="Q599" s="57"/>
      <c r="R599" s="57"/>
      <c r="S599" s="57"/>
      <c r="T599" s="57"/>
    </row>
    <row r="600" spans="1:20">
      <c r="A600" s="55" t="s">
        <v>425</v>
      </c>
      <c r="B600" s="55" t="s">
        <v>363</v>
      </c>
      <c r="C600" s="57">
        <v>85.49</v>
      </c>
      <c r="D600" s="57">
        <v>91.626999999999995</v>
      </c>
      <c r="E600" s="57">
        <v>92.295000000000002</v>
      </c>
      <c r="F600" s="57">
        <v>96.608999999999995</v>
      </c>
      <c r="G600" s="57">
        <v>96.325999999999993</v>
      </c>
      <c r="H600" s="57">
        <v>97.466999999999999</v>
      </c>
      <c r="I600" s="57">
        <v>101.31</v>
      </c>
      <c r="J600" s="57">
        <v>103.24299999999999</v>
      </c>
      <c r="K600" s="57">
        <v>108.55800000000001</v>
      </c>
      <c r="L600" s="57">
        <v>116.393</v>
      </c>
      <c r="M600" s="57">
        <v>119.254</v>
      </c>
      <c r="N600" s="57"/>
      <c r="O600" s="57"/>
      <c r="P600" s="57"/>
      <c r="Q600" s="57"/>
      <c r="R600" s="57"/>
      <c r="S600" s="57"/>
      <c r="T600" s="57"/>
    </row>
    <row r="601" spans="1:20">
      <c r="A601" s="55" t="s">
        <v>425</v>
      </c>
      <c r="B601" s="55" t="s">
        <v>364</v>
      </c>
      <c r="C601" s="57">
        <v>46.2</v>
      </c>
      <c r="D601" s="57">
        <v>51.930999999999997</v>
      </c>
      <c r="E601" s="57">
        <v>54.439</v>
      </c>
      <c r="F601" s="57">
        <v>57.567999999999998</v>
      </c>
      <c r="G601" s="57">
        <v>58.713000000000001</v>
      </c>
      <c r="H601" s="57">
        <v>63.576999999999998</v>
      </c>
      <c r="I601" s="57">
        <v>66.144999999999996</v>
      </c>
      <c r="J601" s="57">
        <v>72.341999999999999</v>
      </c>
      <c r="K601" s="57">
        <v>74.308999999999997</v>
      </c>
      <c r="L601" s="57">
        <v>78.341999999999999</v>
      </c>
      <c r="M601" s="57">
        <v>81.954999999999998</v>
      </c>
      <c r="N601" s="57"/>
      <c r="O601" s="57"/>
      <c r="P601" s="57"/>
      <c r="Q601" s="57"/>
      <c r="R601" s="57"/>
      <c r="S601" s="57"/>
      <c r="T601" s="57"/>
    </row>
    <row r="602" spans="1:20">
      <c r="A602" s="55" t="s">
        <v>425</v>
      </c>
      <c r="B602" s="55" t="s">
        <v>365</v>
      </c>
      <c r="C602" s="57">
        <v>87.66</v>
      </c>
      <c r="D602" s="57">
        <v>86.364000000000004</v>
      </c>
      <c r="E602" s="57">
        <v>90.835999999999999</v>
      </c>
      <c r="F602" s="57">
        <v>94.093000000000004</v>
      </c>
      <c r="G602" s="57">
        <v>92.149000000000001</v>
      </c>
      <c r="H602" s="57">
        <v>91.058999999999997</v>
      </c>
      <c r="I602" s="57">
        <v>93.084999999999994</v>
      </c>
      <c r="J602" s="57">
        <v>95.403000000000006</v>
      </c>
      <c r="K602" s="57">
        <v>97.534000000000006</v>
      </c>
      <c r="L602" s="57">
        <v>97.531999999999996</v>
      </c>
      <c r="M602" s="57">
        <v>102.014</v>
      </c>
      <c r="N602" s="57"/>
      <c r="O602" s="57"/>
      <c r="P602" s="57"/>
      <c r="Q602" s="57"/>
      <c r="R602" s="57"/>
      <c r="S602" s="57"/>
      <c r="T602" s="57"/>
    </row>
    <row r="603" spans="1:20">
      <c r="A603" s="55" t="s">
        <v>425</v>
      </c>
      <c r="B603" s="55" t="s">
        <v>366</v>
      </c>
      <c r="C603" s="57">
        <v>107.45</v>
      </c>
      <c r="D603" s="57">
        <v>110.31699999999999</v>
      </c>
      <c r="E603" s="57">
        <v>110.851</v>
      </c>
      <c r="F603" s="57">
        <v>109.88800000000001</v>
      </c>
      <c r="G603" s="57">
        <v>110.575</v>
      </c>
      <c r="H603" s="57">
        <v>114.575</v>
      </c>
      <c r="I603" s="57">
        <v>116.57899999999999</v>
      </c>
      <c r="J603" s="57">
        <v>116.738</v>
      </c>
      <c r="K603" s="57">
        <v>117.345</v>
      </c>
      <c r="L603" s="57">
        <v>120.714</v>
      </c>
      <c r="M603" s="57">
        <v>121.19499999999999</v>
      </c>
      <c r="N603" s="57"/>
      <c r="O603" s="57"/>
      <c r="P603" s="57"/>
      <c r="Q603" s="57"/>
      <c r="R603" s="57"/>
      <c r="S603" s="57"/>
      <c r="T603" s="57"/>
    </row>
    <row r="604" spans="1:20">
      <c r="A604" s="55" t="s">
        <v>425</v>
      </c>
      <c r="B604" s="55" t="s">
        <v>367</v>
      </c>
      <c r="C604" s="57">
        <v>53.023000000000003</v>
      </c>
      <c r="D604" s="57">
        <v>58.697000000000003</v>
      </c>
      <c r="E604" s="57">
        <v>60.828000000000003</v>
      </c>
      <c r="F604" s="57">
        <v>63.244</v>
      </c>
      <c r="G604" s="57">
        <v>65.813999999999993</v>
      </c>
      <c r="H604" s="57">
        <v>68.581999999999994</v>
      </c>
      <c r="I604" s="57">
        <v>70.801000000000002</v>
      </c>
      <c r="J604" s="57">
        <v>73.494</v>
      </c>
      <c r="K604" s="57">
        <v>74.881</v>
      </c>
      <c r="L604" s="57">
        <v>77.116</v>
      </c>
      <c r="M604" s="57">
        <v>79.400999999999996</v>
      </c>
      <c r="N604" s="57"/>
      <c r="O604" s="57"/>
      <c r="P604" s="57"/>
      <c r="Q604" s="57"/>
      <c r="R604" s="57"/>
      <c r="S604" s="57"/>
      <c r="T604" s="57"/>
    </row>
    <row r="605" spans="1:20">
      <c r="A605" s="55" t="s">
        <v>425</v>
      </c>
      <c r="B605" s="55" t="s">
        <v>368</v>
      </c>
      <c r="C605" s="57">
        <v>36.064</v>
      </c>
      <c r="D605" s="57">
        <v>40.200000000000003</v>
      </c>
      <c r="E605" s="57">
        <v>41.148000000000003</v>
      </c>
      <c r="F605" s="57">
        <v>42.259</v>
      </c>
      <c r="G605" s="57">
        <v>43.613999999999997</v>
      </c>
      <c r="H605" s="57">
        <v>47.826999999999998</v>
      </c>
      <c r="I605" s="57">
        <v>50.79</v>
      </c>
      <c r="J605" s="57">
        <v>55.343000000000004</v>
      </c>
      <c r="K605" s="57">
        <v>60.24</v>
      </c>
      <c r="L605" s="57">
        <v>63.079000000000001</v>
      </c>
      <c r="M605" s="57">
        <v>69.63</v>
      </c>
      <c r="N605" s="57"/>
      <c r="O605" s="57"/>
      <c r="P605" s="57"/>
      <c r="Q605" s="57"/>
      <c r="R605" s="57"/>
      <c r="S605" s="57"/>
      <c r="T605" s="57"/>
    </row>
    <row r="606" spans="1:20">
      <c r="A606" s="55" t="s">
        <v>425</v>
      </c>
      <c r="B606" s="55" t="s">
        <v>369</v>
      </c>
      <c r="C606" s="57">
        <v>36.707999999999998</v>
      </c>
      <c r="D606" s="57">
        <v>38.622999999999998</v>
      </c>
      <c r="E606" s="57">
        <v>39.96</v>
      </c>
      <c r="F606" s="57">
        <v>41.281999999999996</v>
      </c>
      <c r="G606" s="57">
        <v>41.844999999999999</v>
      </c>
      <c r="H606" s="57">
        <v>43.648000000000003</v>
      </c>
      <c r="I606" s="57">
        <v>46.302</v>
      </c>
      <c r="J606" s="57">
        <v>49.122</v>
      </c>
      <c r="K606" s="57">
        <v>53.006</v>
      </c>
      <c r="L606" s="57">
        <v>57.722999999999999</v>
      </c>
      <c r="M606" s="57">
        <v>63.280999999999999</v>
      </c>
      <c r="N606" s="57"/>
      <c r="O606" s="57"/>
      <c r="P606" s="57"/>
      <c r="Q606" s="57"/>
      <c r="R606" s="57"/>
      <c r="S606" s="57"/>
      <c r="T606" s="57"/>
    </row>
    <row r="607" spans="1:20">
      <c r="A607" s="55" t="s">
        <v>425</v>
      </c>
      <c r="B607" s="55" t="s">
        <v>370</v>
      </c>
      <c r="C607" s="57">
        <v>38.600999999999999</v>
      </c>
      <c r="D607" s="57">
        <v>40.667999999999999</v>
      </c>
      <c r="E607" s="57">
        <v>42.253</v>
      </c>
      <c r="F607" s="57">
        <v>43.529000000000003</v>
      </c>
      <c r="G607" s="57">
        <v>43.395000000000003</v>
      </c>
      <c r="H607" s="57">
        <v>45.408000000000001</v>
      </c>
      <c r="I607" s="57">
        <v>48.942</v>
      </c>
      <c r="J607" s="57">
        <v>52.670999999999999</v>
      </c>
      <c r="K607" s="57">
        <v>57.02</v>
      </c>
      <c r="L607" s="57">
        <v>62.828000000000003</v>
      </c>
      <c r="M607" s="57">
        <v>71.296000000000006</v>
      </c>
      <c r="N607" s="57"/>
      <c r="O607" s="57"/>
      <c r="P607" s="57"/>
      <c r="Q607" s="57"/>
      <c r="R607" s="57"/>
      <c r="S607" s="57"/>
      <c r="T607" s="57"/>
    </row>
    <row r="608" spans="1:20">
      <c r="A608" s="55" t="s">
        <v>425</v>
      </c>
      <c r="B608" s="55" t="s">
        <v>371</v>
      </c>
      <c r="C608" s="57">
        <v>53.938000000000002</v>
      </c>
      <c r="D608" s="57">
        <v>56.984999999999999</v>
      </c>
      <c r="E608" s="57">
        <v>59.53</v>
      </c>
      <c r="F608" s="57">
        <v>60.564</v>
      </c>
      <c r="G608" s="57">
        <v>61.037999999999997</v>
      </c>
      <c r="H608" s="57">
        <v>62.789000000000001</v>
      </c>
      <c r="I608" s="57">
        <v>68.319000000000003</v>
      </c>
      <c r="J608" s="57">
        <v>72.009</v>
      </c>
      <c r="K608" s="57">
        <v>76.096000000000004</v>
      </c>
      <c r="L608" s="57">
        <v>80.477000000000004</v>
      </c>
      <c r="M608" s="57">
        <v>80.866</v>
      </c>
      <c r="N608" s="57"/>
      <c r="O608" s="57"/>
      <c r="P608" s="57"/>
      <c r="Q608" s="57"/>
      <c r="R608" s="57"/>
      <c r="S608" s="57"/>
      <c r="T608" s="57"/>
    </row>
    <row r="609" spans="1:20">
      <c r="A609" s="55" t="s">
        <v>425</v>
      </c>
      <c r="B609" s="55" t="s">
        <v>372</v>
      </c>
      <c r="C609" s="57">
        <v>34.807000000000002</v>
      </c>
      <c r="D609" s="57">
        <v>36.305999999999997</v>
      </c>
      <c r="E609" s="57">
        <v>37.252000000000002</v>
      </c>
      <c r="F609" s="57">
        <v>38.537999999999997</v>
      </c>
      <c r="G609" s="57">
        <v>39.393999999999998</v>
      </c>
      <c r="H609" s="57">
        <v>41.344000000000001</v>
      </c>
      <c r="I609" s="57">
        <v>43.353000000000002</v>
      </c>
      <c r="J609" s="57">
        <v>45.441000000000003</v>
      </c>
      <c r="K609" s="57">
        <v>49.127000000000002</v>
      </c>
      <c r="L609" s="57">
        <v>53.944000000000003</v>
      </c>
      <c r="M609" s="57">
        <v>59.838000000000001</v>
      </c>
      <c r="N609" s="57"/>
      <c r="O609" s="57"/>
      <c r="P609" s="57"/>
      <c r="Q609" s="57"/>
      <c r="R609" s="57"/>
      <c r="S609" s="57"/>
      <c r="T609" s="57"/>
    </row>
    <row r="610" spans="1:20">
      <c r="A610" s="55" t="s">
        <v>425</v>
      </c>
      <c r="B610" s="55" t="s">
        <v>373</v>
      </c>
      <c r="C610" s="57">
        <v>29.146999999999998</v>
      </c>
      <c r="D610" s="57">
        <v>33.322000000000003</v>
      </c>
      <c r="E610" s="57">
        <v>36.179000000000002</v>
      </c>
      <c r="F610" s="57">
        <v>38.113999999999997</v>
      </c>
      <c r="G610" s="57">
        <v>38.619</v>
      </c>
      <c r="H610" s="57">
        <v>38.177</v>
      </c>
      <c r="I610" s="57">
        <v>40.460999999999999</v>
      </c>
      <c r="J610" s="57">
        <v>45.226999999999997</v>
      </c>
      <c r="K610" s="57">
        <v>48.707000000000001</v>
      </c>
      <c r="L610" s="57">
        <v>49.393000000000001</v>
      </c>
      <c r="M610" s="57">
        <v>48.374000000000002</v>
      </c>
      <c r="N610" s="57"/>
      <c r="O610" s="57"/>
      <c r="P610" s="57"/>
      <c r="Q610" s="57"/>
      <c r="R610" s="57"/>
      <c r="S610" s="57"/>
      <c r="T610" s="57"/>
    </row>
    <row r="611" spans="1:20">
      <c r="A611" s="55" t="s">
        <v>425</v>
      </c>
      <c r="B611" s="55" t="s">
        <v>374</v>
      </c>
      <c r="C611" s="57">
        <v>48.406999999999996</v>
      </c>
      <c r="D611" s="57">
        <v>50.889000000000003</v>
      </c>
      <c r="E611" s="57">
        <v>52.146999999999998</v>
      </c>
      <c r="F611" s="57">
        <v>53.28</v>
      </c>
      <c r="G611" s="57">
        <v>53.393000000000001</v>
      </c>
      <c r="H611" s="57">
        <v>54.22</v>
      </c>
      <c r="I611" s="57">
        <v>56.674999999999997</v>
      </c>
      <c r="J611" s="57">
        <v>58.884</v>
      </c>
      <c r="K611" s="57">
        <v>60.448999999999998</v>
      </c>
      <c r="L611" s="57">
        <v>63.45</v>
      </c>
      <c r="M611" s="57">
        <v>66.066000000000003</v>
      </c>
      <c r="N611" s="57"/>
      <c r="O611" s="57"/>
      <c r="P611" s="57"/>
      <c r="Q611" s="57"/>
      <c r="R611" s="57"/>
      <c r="S611" s="57"/>
      <c r="T611" s="57"/>
    </row>
    <row r="612" spans="1:20">
      <c r="A612" s="55" t="s">
        <v>425</v>
      </c>
      <c r="B612" s="55" t="s">
        <v>375</v>
      </c>
      <c r="C612" s="57">
        <v>45.744999999999997</v>
      </c>
      <c r="D612" s="57">
        <v>46.569000000000003</v>
      </c>
      <c r="E612" s="57">
        <v>47.188000000000002</v>
      </c>
      <c r="F612" s="57">
        <v>46.79</v>
      </c>
      <c r="G612" s="57">
        <v>46.881</v>
      </c>
      <c r="H612" s="57">
        <v>46.238</v>
      </c>
      <c r="I612" s="57">
        <v>49.514000000000003</v>
      </c>
      <c r="J612" s="57">
        <v>50.942999999999998</v>
      </c>
      <c r="K612" s="57">
        <v>52.838000000000001</v>
      </c>
      <c r="L612" s="57">
        <v>55.84</v>
      </c>
      <c r="M612" s="57">
        <v>59.238999999999997</v>
      </c>
      <c r="N612" s="57"/>
      <c r="O612" s="57"/>
      <c r="P612" s="57"/>
      <c r="Q612" s="57"/>
      <c r="R612" s="57"/>
      <c r="S612" s="57"/>
      <c r="T612" s="57"/>
    </row>
    <row r="613" spans="1:20">
      <c r="A613" s="55" t="s">
        <v>425</v>
      </c>
      <c r="B613" s="55" t="s">
        <v>376</v>
      </c>
      <c r="C613" s="57">
        <v>52.488</v>
      </c>
      <c r="D613" s="57">
        <v>53.301000000000002</v>
      </c>
      <c r="E613" s="57">
        <v>52.854999999999997</v>
      </c>
      <c r="F613" s="57">
        <v>52.994999999999997</v>
      </c>
      <c r="G613" s="57">
        <v>51.539000000000001</v>
      </c>
      <c r="H613" s="57">
        <v>50.502000000000002</v>
      </c>
      <c r="I613" s="57">
        <v>53.79</v>
      </c>
      <c r="J613" s="57">
        <v>55.366</v>
      </c>
      <c r="K613" s="57">
        <v>56.783999999999999</v>
      </c>
      <c r="L613" s="57">
        <v>60.021999999999998</v>
      </c>
      <c r="M613" s="57">
        <v>62.710999999999999</v>
      </c>
      <c r="N613" s="57"/>
      <c r="O613" s="57"/>
      <c r="P613" s="57"/>
      <c r="Q613" s="57"/>
      <c r="R613" s="57"/>
      <c r="S613" s="57"/>
      <c r="T613" s="57"/>
    </row>
    <row r="614" spans="1:20">
      <c r="A614" s="55" t="s">
        <v>425</v>
      </c>
      <c r="B614" s="55" t="s">
        <v>377</v>
      </c>
      <c r="C614" s="57">
        <v>11.851000000000001</v>
      </c>
      <c r="D614" s="57">
        <v>11.571</v>
      </c>
      <c r="E614" s="57">
        <v>13.087</v>
      </c>
      <c r="F614" s="57">
        <v>12.153</v>
      </c>
      <c r="G614" s="57">
        <v>14.375</v>
      </c>
      <c r="H614" s="57">
        <v>14.827</v>
      </c>
      <c r="I614" s="57">
        <v>18.178999999999998</v>
      </c>
      <c r="J614" s="57">
        <v>18.811</v>
      </c>
      <c r="K614" s="57">
        <v>23.529</v>
      </c>
      <c r="L614" s="57">
        <v>29.821000000000002</v>
      </c>
      <c r="M614" s="57">
        <v>36.35</v>
      </c>
      <c r="N614" s="57"/>
      <c r="O614" s="57"/>
      <c r="P614" s="57"/>
      <c r="Q614" s="57"/>
      <c r="R614" s="57"/>
      <c r="S614" s="57"/>
      <c r="T614" s="57"/>
    </row>
    <row r="615" spans="1:20">
      <c r="A615" s="55" t="s">
        <v>425</v>
      </c>
      <c r="B615" s="55" t="s">
        <v>378</v>
      </c>
      <c r="C615" s="57">
        <v>75.704999999999998</v>
      </c>
      <c r="D615" s="57">
        <v>79.816000000000003</v>
      </c>
      <c r="E615" s="57">
        <v>79.75</v>
      </c>
      <c r="F615" s="57">
        <v>79.960999999999999</v>
      </c>
      <c r="G615" s="57">
        <v>79.578999999999994</v>
      </c>
      <c r="H615" s="57">
        <v>78.102999999999994</v>
      </c>
      <c r="I615" s="57">
        <v>79.313000000000002</v>
      </c>
      <c r="J615" s="57">
        <v>81.119</v>
      </c>
      <c r="K615" s="57">
        <v>78.468999999999994</v>
      </c>
      <c r="L615" s="57">
        <v>75.504999999999995</v>
      </c>
      <c r="M615" s="57">
        <v>74.471000000000004</v>
      </c>
      <c r="N615" s="57"/>
      <c r="O615" s="57"/>
      <c r="P615" s="57"/>
      <c r="Q615" s="57"/>
      <c r="R615" s="57"/>
      <c r="S615" s="57"/>
      <c r="T615" s="57"/>
    </row>
    <row r="616" spans="1:20">
      <c r="A616" s="55" t="s">
        <v>425</v>
      </c>
      <c r="B616" s="55" t="s">
        <v>379</v>
      </c>
      <c r="C616" s="57">
        <v>45.963000000000001</v>
      </c>
      <c r="D616" s="57">
        <v>41.537999999999997</v>
      </c>
      <c r="E616" s="57">
        <v>43.537999999999997</v>
      </c>
      <c r="F616" s="57">
        <v>41.994999999999997</v>
      </c>
      <c r="G616" s="57">
        <v>38.659999999999997</v>
      </c>
      <c r="H616" s="57">
        <v>37.340000000000003</v>
      </c>
      <c r="I616" s="57">
        <v>44.280999999999999</v>
      </c>
      <c r="J616" s="57">
        <v>46.835999999999999</v>
      </c>
      <c r="K616" s="57">
        <v>53.749000000000002</v>
      </c>
      <c r="L616" s="57">
        <v>61.695999999999998</v>
      </c>
      <c r="M616" s="57">
        <v>72.566999999999993</v>
      </c>
      <c r="N616" s="57"/>
      <c r="O616" s="57"/>
      <c r="P616" s="57"/>
      <c r="Q616" s="57"/>
      <c r="R616" s="57"/>
      <c r="S616" s="57"/>
      <c r="T616" s="57"/>
    </row>
    <row r="617" spans="1:20">
      <c r="A617" s="55" t="s">
        <v>425</v>
      </c>
      <c r="B617" s="55" t="s">
        <v>380</v>
      </c>
      <c r="C617" s="57">
        <v>51.018000000000001</v>
      </c>
      <c r="D617" s="57">
        <v>54.853999999999999</v>
      </c>
      <c r="E617" s="57">
        <v>56.639000000000003</v>
      </c>
      <c r="F617" s="57">
        <v>59.021999999999998</v>
      </c>
      <c r="G617" s="57">
        <v>59.152999999999999</v>
      </c>
      <c r="H617" s="57">
        <v>61.231999999999999</v>
      </c>
      <c r="I617" s="57">
        <v>62.975000000000001</v>
      </c>
      <c r="J617" s="57">
        <v>65.867000000000004</v>
      </c>
      <c r="K617" s="57">
        <v>67.141999999999996</v>
      </c>
      <c r="L617" s="57">
        <v>70.138999999999996</v>
      </c>
      <c r="M617" s="57">
        <v>72.037999999999997</v>
      </c>
      <c r="N617" s="57"/>
      <c r="O617" s="57"/>
      <c r="P617" s="57"/>
      <c r="Q617" s="57"/>
      <c r="R617" s="57"/>
      <c r="S617" s="57"/>
      <c r="T617" s="57"/>
    </row>
    <row r="618" spans="1:20">
      <c r="A618" s="55" t="s">
        <v>425</v>
      </c>
      <c r="B618" s="55" t="s">
        <v>381</v>
      </c>
      <c r="C618" s="57">
        <v>52.918999999999997</v>
      </c>
      <c r="D618" s="57">
        <v>56.402999999999999</v>
      </c>
      <c r="E618" s="57">
        <v>58.167000000000002</v>
      </c>
      <c r="F618" s="57">
        <v>60.5</v>
      </c>
      <c r="G618" s="57">
        <v>60.93</v>
      </c>
      <c r="H618" s="57">
        <v>62.985999999999997</v>
      </c>
      <c r="I618" s="57">
        <v>64.567999999999998</v>
      </c>
      <c r="J618" s="57">
        <v>67.302999999999997</v>
      </c>
      <c r="K618" s="57">
        <v>68.367999999999995</v>
      </c>
      <c r="L618" s="57">
        <v>70.930000000000007</v>
      </c>
      <c r="M618" s="57">
        <v>72.614000000000004</v>
      </c>
      <c r="N618" s="57"/>
      <c r="O618" s="57"/>
      <c r="P618" s="57"/>
      <c r="Q618" s="57"/>
      <c r="R618" s="57"/>
      <c r="S618" s="57"/>
      <c r="T618" s="57"/>
    </row>
    <row r="619" spans="1:20">
      <c r="A619" s="55" t="s">
        <v>425</v>
      </c>
      <c r="B619" s="55" t="s">
        <v>382</v>
      </c>
      <c r="C619" s="57">
        <v>36.770000000000003</v>
      </c>
      <c r="D619" s="57">
        <v>43.003</v>
      </c>
      <c r="E619" s="57">
        <v>44.905999999999999</v>
      </c>
      <c r="F619" s="57">
        <v>47.603000000000002</v>
      </c>
      <c r="G619" s="57">
        <v>45.582999999999998</v>
      </c>
      <c r="H619" s="57">
        <v>47.813000000000002</v>
      </c>
      <c r="I619" s="57">
        <v>50.726999999999997</v>
      </c>
      <c r="J619" s="57">
        <v>54.768000000000001</v>
      </c>
      <c r="K619" s="57">
        <v>57.622</v>
      </c>
      <c r="L619" s="57">
        <v>63.945</v>
      </c>
      <c r="M619" s="57">
        <v>67.528999999999996</v>
      </c>
      <c r="N619" s="57"/>
      <c r="O619" s="57"/>
      <c r="P619" s="57"/>
      <c r="Q619" s="57"/>
      <c r="R619" s="57"/>
      <c r="S619" s="57"/>
      <c r="T619" s="57"/>
    </row>
    <row r="620" spans="1:20">
      <c r="A620" s="55" t="s">
        <v>425</v>
      </c>
      <c r="B620" s="55" t="s">
        <v>383</v>
      </c>
      <c r="C620" s="57">
        <v>45.116</v>
      </c>
      <c r="D620" s="57">
        <v>48.984999999999999</v>
      </c>
      <c r="E620" s="57">
        <v>52.493000000000002</v>
      </c>
      <c r="F620" s="57">
        <v>54.860999999999997</v>
      </c>
      <c r="G620" s="57">
        <v>53.906999999999996</v>
      </c>
      <c r="H620" s="57">
        <v>55.55</v>
      </c>
      <c r="I620" s="57">
        <v>57.121000000000002</v>
      </c>
      <c r="J620" s="57">
        <v>59.957999999999998</v>
      </c>
      <c r="K620" s="57">
        <v>63.292000000000002</v>
      </c>
      <c r="L620" s="57">
        <v>68.47</v>
      </c>
      <c r="M620" s="57">
        <v>74.052999999999997</v>
      </c>
      <c r="N620" s="57"/>
      <c r="O620" s="57"/>
      <c r="P620" s="57"/>
      <c r="Q620" s="57"/>
      <c r="R620" s="57"/>
      <c r="S620" s="57"/>
      <c r="T620" s="57"/>
    </row>
    <row r="621" spans="1:20">
      <c r="A621" s="55" t="s">
        <v>425</v>
      </c>
      <c r="B621" s="55" t="s">
        <v>384</v>
      </c>
      <c r="C621" s="57">
        <v>44.417000000000002</v>
      </c>
      <c r="D621" s="57">
        <v>48.42</v>
      </c>
      <c r="E621" s="57">
        <v>52.122</v>
      </c>
      <c r="F621" s="57">
        <v>54.280999999999999</v>
      </c>
      <c r="G621" s="57">
        <v>53.220999999999997</v>
      </c>
      <c r="H621" s="57">
        <v>54.883000000000003</v>
      </c>
      <c r="I621" s="57">
        <v>56.183</v>
      </c>
      <c r="J621" s="57">
        <v>58.161000000000001</v>
      </c>
      <c r="K621" s="57">
        <v>60.936</v>
      </c>
      <c r="L621" s="57">
        <v>66.183000000000007</v>
      </c>
      <c r="M621" s="57">
        <v>71.819999999999993</v>
      </c>
      <c r="N621" s="57"/>
      <c r="O621" s="57"/>
      <c r="P621" s="57"/>
      <c r="Q621" s="57"/>
      <c r="R621" s="57"/>
      <c r="S621" s="57"/>
      <c r="T621" s="57"/>
    </row>
    <row r="622" spans="1:20">
      <c r="A622" s="55" t="s">
        <v>425</v>
      </c>
      <c r="B622" s="55" t="s">
        <v>385</v>
      </c>
      <c r="C622" s="57">
        <v>70.489999999999995</v>
      </c>
      <c r="D622" s="57">
        <v>77.13</v>
      </c>
      <c r="E622" s="57">
        <v>79.867000000000004</v>
      </c>
      <c r="F622" s="57">
        <v>81.840999999999994</v>
      </c>
      <c r="G622" s="57">
        <v>79.453999999999994</v>
      </c>
      <c r="H622" s="57">
        <v>82.492000000000004</v>
      </c>
      <c r="I622" s="57">
        <v>81.763999999999996</v>
      </c>
      <c r="J622" s="57">
        <v>80.971000000000004</v>
      </c>
      <c r="K622" s="57">
        <v>79.399000000000001</v>
      </c>
      <c r="L622" s="57">
        <v>82.548000000000002</v>
      </c>
      <c r="M622" s="57">
        <v>84.715000000000003</v>
      </c>
      <c r="N622" s="57"/>
      <c r="O622" s="57"/>
      <c r="P622" s="57"/>
      <c r="Q622" s="57"/>
      <c r="R622" s="57"/>
      <c r="S622" s="57"/>
      <c r="T622" s="57"/>
    </row>
    <row r="623" spans="1:20">
      <c r="A623" s="55" t="s">
        <v>425</v>
      </c>
      <c r="B623" s="55" t="s">
        <v>386</v>
      </c>
      <c r="C623" s="57">
        <v>16.652999999999999</v>
      </c>
      <c r="D623" s="57">
        <v>18.669</v>
      </c>
      <c r="E623" s="57">
        <v>21.143999999999998</v>
      </c>
      <c r="F623" s="57">
        <v>22.981000000000002</v>
      </c>
      <c r="G623" s="57">
        <v>24.135000000000002</v>
      </c>
      <c r="H623" s="57">
        <v>26.010999999999999</v>
      </c>
      <c r="I623" s="57">
        <v>29.06</v>
      </c>
      <c r="J623" s="57">
        <v>33.109000000000002</v>
      </c>
      <c r="K623" s="57">
        <v>36.353999999999999</v>
      </c>
      <c r="L623" s="57">
        <v>42.752000000000002</v>
      </c>
      <c r="M623" s="57">
        <v>52.926000000000002</v>
      </c>
      <c r="N623" s="57"/>
      <c r="O623" s="57"/>
      <c r="P623" s="57"/>
      <c r="Q623" s="57"/>
      <c r="R623" s="57"/>
      <c r="S623" s="57"/>
      <c r="T623" s="57"/>
    </row>
    <row r="624" spans="1:20">
      <c r="A624" s="55" t="s">
        <v>425</v>
      </c>
      <c r="B624" s="55" t="s">
        <v>387</v>
      </c>
      <c r="C624" s="57">
        <v>45.426000000000002</v>
      </c>
      <c r="D624" s="57">
        <v>49.283000000000001</v>
      </c>
      <c r="E624" s="57">
        <v>53.506999999999998</v>
      </c>
      <c r="F624" s="57">
        <v>55.765999999999998</v>
      </c>
      <c r="G624" s="57">
        <v>54.390999999999998</v>
      </c>
      <c r="H624" s="57">
        <v>55.604999999999997</v>
      </c>
      <c r="I624" s="57">
        <v>56.914000000000001</v>
      </c>
      <c r="J624" s="57">
        <v>59.012999999999998</v>
      </c>
      <c r="K624" s="57">
        <v>62.8</v>
      </c>
      <c r="L624" s="57">
        <v>68.239999999999995</v>
      </c>
      <c r="M624" s="57">
        <v>73.453999999999994</v>
      </c>
      <c r="N624" s="57"/>
      <c r="O624" s="57"/>
      <c r="P624" s="57"/>
      <c r="Q624" s="57"/>
      <c r="R624" s="57"/>
      <c r="S624" s="57"/>
      <c r="T624" s="57"/>
    </row>
    <row r="625" spans="1:20">
      <c r="A625" s="55" t="s">
        <v>425</v>
      </c>
      <c r="B625" s="55" t="s">
        <v>388</v>
      </c>
      <c r="C625" s="57">
        <v>61.834000000000003</v>
      </c>
      <c r="D625" s="57">
        <v>63.222999999999999</v>
      </c>
      <c r="E625" s="57">
        <v>65.156999999999996</v>
      </c>
      <c r="F625" s="57">
        <v>66.971999999999994</v>
      </c>
      <c r="G625" s="57">
        <v>66.376000000000005</v>
      </c>
      <c r="H625" s="57">
        <v>66.995000000000005</v>
      </c>
      <c r="I625" s="57">
        <v>68.763000000000005</v>
      </c>
      <c r="J625" s="57">
        <v>71.542000000000002</v>
      </c>
      <c r="K625" s="57">
        <v>73.248999999999995</v>
      </c>
      <c r="L625" s="57">
        <v>77.138999999999996</v>
      </c>
      <c r="M625" s="57">
        <v>81.853999999999999</v>
      </c>
      <c r="N625" s="57"/>
      <c r="O625" s="57"/>
      <c r="P625" s="57"/>
      <c r="Q625" s="57"/>
      <c r="R625" s="57"/>
      <c r="S625" s="57"/>
      <c r="T625" s="57"/>
    </row>
    <row r="626" spans="1:20">
      <c r="A626" s="55" t="s">
        <v>425</v>
      </c>
      <c r="B626" s="55" t="s">
        <v>389</v>
      </c>
      <c r="C626" s="57">
        <v>38.088999999999999</v>
      </c>
      <c r="D626" s="57">
        <v>42.896999999999998</v>
      </c>
      <c r="E626" s="57">
        <v>46.753999999999998</v>
      </c>
      <c r="F626" s="57">
        <v>49.82</v>
      </c>
      <c r="G626" s="57">
        <v>48.924999999999997</v>
      </c>
      <c r="H626" s="57">
        <v>51.021999999999998</v>
      </c>
      <c r="I626" s="57">
        <v>53.073</v>
      </c>
      <c r="J626" s="57">
        <v>57.792999999999999</v>
      </c>
      <c r="K626" s="57">
        <v>63.185000000000002</v>
      </c>
      <c r="L626" s="57">
        <v>68.87</v>
      </c>
      <c r="M626" s="57">
        <v>74.762</v>
      </c>
      <c r="N626" s="57"/>
      <c r="O626" s="57"/>
      <c r="P626" s="57"/>
      <c r="Q626" s="57"/>
      <c r="R626" s="57"/>
      <c r="S626" s="57"/>
      <c r="T626" s="57"/>
    </row>
    <row r="627" spans="1:20">
      <c r="A627" s="55" t="s">
        <v>425</v>
      </c>
      <c r="B627" s="55" t="s">
        <v>390</v>
      </c>
      <c r="C627" s="57">
        <v>36.274000000000001</v>
      </c>
      <c r="D627" s="57">
        <v>40.909999999999997</v>
      </c>
      <c r="E627" s="57">
        <v>44.863999999999997</v>
      </c>
      <c r="F627" s="57">
        <v>47.984999999999999</v>
      </c>
      <c r="G627" s="57">
        <v>47.182000000000002</v>
      </c>
      <c r="H627" s="57">
        <v>49.055</v>
      </c>
      <c r="I627" s="57">
        <v>51.027000000000001</v>
      </c>
      <c r="J627" s="57">
        <v>55.865000000000002</v>
      </c>
      <c r="K627" s="57">
        <v>61.664000000000001</v>
      </c>
      <c r="L627" s="57">
        <v>67.798000000000002</v>
      </c>
      <c r="M627" s="57">
        <v>74.292000000000002</v>
      </c>
      <c r="N627" s="57"/>
      <c r="O627" s="57"/>
      <c r="P627" s="57"/>
      <c r="Q627" s="57"/>
      <c r="R627" s="57"/>
      <c r="S627" s="57"/>
      <c r="T627" s="57"/>
    </row>
    <row r="628" spans="1:20">
      <c r="A628" s="55" t="s">
        <v>425</v>
      </c>
      <c r="B628" s="55" t="s">
        <v>391</v>
      </c>
      <c r="C628" s="57">
        <v>52.003</v>
      </c>
      <c r="D628" s="57">
        <v>58.125999999999998</v>
      </c>
      <c r="E628" s="57">
        <v>61.223999999999997</v>
      </c>
      <c r="F628" s="57">
        <v>63.860999999999997</v>
      </c>
      <c r="G628" s="57">
        <v>62.253</v>
      </c>
      <c r="H628" s="57">
        <v>66.090999999999994</v>
      </c>
      <c r="I628" s="57">
        <v>68.744</v>
      </c>
      <c r="J628" s="57">
        <v>72.555000000000007</v>
      </c>
      <c r="K628" s="57">
        <v>74.846999999999994</v>
      </c>
      <c r="L628" s="57">
        <v>77.108000000000004</v>
      </c>
      <c r="M628" s="57">
        <v>78.397999999999996</v>
      </c>
      <c r="N628" s="57"/>
      <c r="O628" s="57"/>
      <c r="P628" s="57"/>
      <c r="Q628" s="57"/>
      <c r="R628" s="57"/>
      <c r="S628" s="57"/>
      <c r="T628" s="57"/>
    </row>
    <row r="629" spans="1:20">
      <c r="A629" s="55" t="s">
        <v>425</v>
      </c>
      <c r="B629" s="55" t="s">
        <v>392</v>
      </c>
      <c r="C629" s="57">
        <v>55.636000000000003</v>
      </c>
      <c r="D629" s="57">
        <v>59.064999999999998</v>
      </c>
      <c r="E629" s="57">
        <v>61.146999999999998</v>
      </c>
      <c r="F629" s="57">
        <v>64.108999999999995</v>
      </c>
      <c r="G629" s="57">
        <v>65.897999999999996</v>
      </c>
      <c r="H629" s="57">
        <v>68.683000000000007</v>
      </c>
      <c r="I629" s="57">
        <v>69.882999999999996</v>
      </c>
      <c r="J629" s="57">
        <v>70.715000000000003</v>
      </c>
      <c r="K629" s="57">
        <v>72.662000000000006</v>
      </c>
      <c r="L629" s="57">
        <v>74.718000000000004</v>
      </c>
      <c r="M629" s="57">
        <v>76.828999999999994</v>
      </c>
      <c r="N629" s="57"/>
      <c r="O629" s="57"/>
      <c r="P629" s="57"/>
      <c r="Q629" s="57"/>
      <c r="R629" s="57"/>
      <c r="S629" s="57"/>
      <c r="T629" s="57"/>
    </row>
    <row r="630" spans="1:20">
      <c r="A630" s="55" t="s">
        <v>425</v>
      </c>
      <c r="B630" s="55" t="s">
        <v>393</v>
      </c>
      <c r="C630" s="57">
        <v>63.709000000000003</v>
      </c>
      <c r="D630" s="57">
        <v>67.334000000000003</v>
      </c>
      <c r="E630" s="57">
        <v>70.218999999999994</v>
      </c>
      <c r="F630" s="57">
        <v>72.400000000000006</v>
      </c>
      <c r="G630" s="57">
        <v>73.805999999999997</v>
      </c>
      <c r="H630" s="57">
        <v>76.168000000000006</v>
      </c>
      <c r="I630" s="57">
        <v>78.251999999999995</v>
      </c>
      <c r="J630" s="57">
        <v>80.167000000000002</v>
      </c>
      <c r="K630" s="57">
        <v>83.123000000000005</v>
      </c>
      <c r="L630" s="57">
        <v>86.444000000000003</v>
      </c>
      <c r="M630" s="57">
        <v>87.358000000000004</v>
      </c>
      <c r="N630" s="57"/>
      <c r="O630" s="57"/>
      <c r="P630" s="57"/>
      <c r="Q630" s="57"/>
      <c r="R630" s="57"/>
      <c r="S630" s="57"/>
      <c r="T630" s="57"/>
    </row>
    <row r="631" spans="1:20">
      <c r="A631" s="55" t="s">
        <v>425</v>
      </c>
      <c r="B631" s="55" t="s">
        <v>394</v>
      </c>
      <c r="C631" s="57">
        <v>54.595999999999997</v>
      </c>
      <c r="D631" s="57">
        <v>58</v>
      </c>
      <c r="E631" s="57">
        <v>59.978999999999999</v>
      </c>
      <c r="F631" s="57">
        <v>63.036999999999999</v>
      </c>
      <c r="G631" s="57">
        <v>64.870999999999995</v>
      </c>
      <c r="H631" s="57">
        <v>67.703999999999994</v>
      </c>
      <c r="I631" s="57">
        <v>68.796999999999997</v>
      </c>
      <c r="J631" s="57">
        <v>69.501000000000005</v>
      </c>
      <c r="K631" s="57">
        <v>71.326999999999998</v>
      </c>
      <c r="L631" s="57">
        <v>73.230999999999995</v>
      </c>
      <c r="M631" s="57">
        <v>75.480999999999995</v>
      </c>
      <c r="N631" s="57"/>
      <c r="O631" s="57"/>
      <c r="P631" s="57"/>
      <c r="Q631" s="57"/>
      <c r="R631" s="57"/>
      <c r="S631" s="57"/>
      <c r="T631" s="57"/>
    </row>
    <row r="632" spans="1:20">
      <c r="A632" s="55" t="s">
        <v>425</v>
      </c>
      <c r="B632" s="55" t="s">
        <v>395</v>
      </c>
      <c r="C632" s="57">
        <v>50.847000000000001</v>
      </c>
      <c r="D632" s="57">
        <v>54.545000000000002</v>
      </c>
      <c r="E632" s="57">
        <v>56.231000000000002</v>
      </c>
      <c r="F632" s="57">
        <v>59.28</v>
      </c>
      <c r="G632" s="57">
        <v>61.198</v>
      </c>
      <c r="H632" s="57">
        <v>64.658000000000001</v>
      </c>
      <c r="I632" s="57">
        <v>65.295000000000002</v>
      </c>
      <c r="J632" s="57">
        <v>66.14</v>
      </c>
      <c r="K632" s="57">
        <v>68.457999999999998</v>
      </c>
      <c r="L632" s="57">
        <v>70.483999999999995</v>
      </c>
      <c r="M632" s="57">
        <v>72.335999999999999</v>
      </c>
      <c r="N632" s="57"/>
      <c r="O632" s="57"/>
      <c r="P632" s="57"/>
      <c r="Q632" s="57"/>
      <c r="R632" s="57"/>
      <c r="S632" s="57"/>
      <c r="T632" s="57"/>
    </row>
    <row r="633" spans="1:20">
      <c r="A633" s="55" t="s">
        <v>425</v>
      </c>
      <c r="B633" s="55" t="s">
        <v>396</v>
      </c>
      <c r="C633" s="57">
        <v>60.780999999999999</v>
      </c>
      <c r="D633" s="57">
        <v>63.186</v>
      </c>
      <c r="E633" s="57">
        <v>65.53</v>
      </c>
      <c r="F633" s="57">
        <v>68.650999999999996</v>
      </c>
      <c r="G633" s="57">
        <v>70.984999999999999</v>
      </c>
      <c r="H633" s="57">
        <v>73.433000000000007</v>
      </c>
      <c r="I633" s="57">
        <v>74.588999999999999</v>
      </c>
      <c r="J633" s="57">
        <v>74.753</v>
      </c>
      <c r="K633" s="57">
        <v>75.917000000000002</v>
      </c>
      <c r="L633" s="57">
        <v>77.766999999999996</v>
      </c>
      <c r="M633" s="57">
        <v>79.512</v>
      </c>
      <c r="N633" s="57"/>
      <c r="O633" s="57"/>
      <c r="P633" s="57"/>
      <c r="Q633" s="57"/>
      <c r="R633" s="57"/>
      <c r="S633" s="57"/>
      <c r="T633" s="57"/>
    </row>
    <row r="634" spans="1:20">
      <c r="A634" s="55" t="s">
        <v>425</v>
      </c>
      <c r="B634" s="55" t="s">
        <v>397</v>
      </c>
      <c r="C634" s="57">
        <v>43.677999999999997</v>
      </c>
      <c r="D634" s="57">
        <v>50.344999999999999</v>
      </c>
      <c r="E634" s="57">
        <v>52.097999999999999</v>
      </c>
      <c r="F634" s="57">
        <v>54.847999999999999</v>
      </c>
      <c r="G634" s="57">
        <v>53.584000000000003</v>
      </c>
      <c r="H634" s="57">
        <v>54.731999999999999</v>
      </c>
      <c r="I634" s="57">
        <v>58.19</v>
      </c>
      <c r="J634" s="57">
        <v>60.9</v>
      </c>
      <c r="K634" s="57">
        <v>63.216999999999999</v>
      </c>
      <c r="L634" s="57">
        <v>64.635999999999996</v>
      </c>
      <c r="M634" s="57">
        <v>71.992999999999995</v>
      </c>
      <c r="N634" s="57"/>
      <c r="O634" s="57"/>
      <c r="P634" s="57"/>
      <c r="Q634" s="57"/>
      <c r="R634" s="57"/>
      <c r="S634" s="57"/>
      <c r="T634" s="57"/>
    </row>
    <row r="635" spans="1:20">
      <c r="A635" s="55" t="s">
        <v>425</v>
      </c>
      <c r="B635" s="55" t="s">
        <v>398</v>
      </c>
      <c r="C635" s="57">
        <v>57.606999999999999</v>
      </c>
      <c r="D635" s="57">
        <v>61.34</v>
      </c>
      <c r="E635" s="57">
        <v>62.511000000000003</v>
      </c>
      <c r="F635" s="57">
        <v>64.846999999999994</v>
      </c>
      <c r="G635" s="57">
        <v>63.835000000000001</v>
      </c>
      <c r="H635" s="57">
        <v>66.216999999999999</v>
      </c>
      <c r="I635" s="57">
        <v>69.135000000000005</v>
      </c>
      <c r="J635" s="57">
        <v>71.867000000000004</v>
      </c>
      <c r="K635" s="57">
        <v>74.346999999999994</v>
      </c>
      <c r="L635" s="57">
        <v>76.903999999999996</v>
      </c>
      <c r="M635" s="57">
        <v>79.3</v>
      </c>
      <c r="N635" s="57"/>
      <c r="O635" s="57"/>
      <c r="P635" s="57"/>
      <c r="Q635" s="57"/>
      <c r="R635" s="57"/>
      <c r="S635" s="57"/>
      <c r="T635" s="57"/>
    </row>
    <row r="636" spans="1:20">
      <c r="A636" s="55" t="s">
        <v>425</v>
      </c>
      <c r="B636" s="55" t="s">
        <v>399</v>
      </c>
      <c r="C636" s="57">
        <v>46.393999999999998</v>
      </c>
      <c r="D636" s="57">
        <v>50.581000000000003</v>
      </c>
      <c r="E636" s="57">
        <v>53.215000000000003</v>
      </c>
      <c r="F636" s="57">
        <v>57.521000000000001</v>
      </c>
      <c r="G636" s="57">
        <v>57.570999999999998</v>
      </c>
      <c r="H636" s="57">
        <v>62.898000000000003</v>
      </c>
      <c r="I636" s="57">
        <v>67.709000000000003</v>
      </c>
      <c r="J636" s="57">
        <v>71.242000000000004</v>
      </c>
      <c r="K636" s="57">
        <v>77.344999999999999</v>
      </c>
      <c r="L636" s="57">
        <v>81.551000000000002</v>
      </c>
      <c r="M636" s="57">
        <v>84.986999999999995</v>
      </c>
      <c r="N636" s="57"/>
      <c r="O636" s="57"/>
      <c r="P636" s="57"/>
      <c r="Q636" s="57"/>
      <c r="R636" s="57"/>
      <c r="S636" s="57"/>
      <c r="T636" s="57"/>
    </row>
    <row r="637" spans="1:20">
      <c r="A637" s="55" t="s">
        <v>425</v>
      </c>
      <c r="B637" s="55" t="s">
        <v>400</v>
      </c>
      <c r="C637" s="57">
        <v>41.615000000000002</v>
      </c>
      <c r="D637" s="57">
        <v>43.99</v>
      </c>
      <c r="E637" s="57">
        <v>44.241</v>
      </c>
      <c r="F637" s="57">
        <v>49.493000000000002</v>
      </c>
      <c r="G637" s="57">
        <v>50.039000000000001</v>
      </c>
      <c r="H637" s="57">
        <v>53.603000000000002</v>
      </c>
      <c r="I637" s="57">
        <v>59.664000000000001</v>
      </c>
      <c r="J637" s="57">
        <v>62.776000000000003</v>
      </c>
      <c r="K637" s="57">
        <v>67.474999999999994</v>
      </c>
      <c r="L637" s="57">
        <v>71.364000000000004</v>
      </c>
      <c r="M637" s="57">
        <v>72.947999999999993</v>
      </c>
      <c r="N637" s="57"/>
      <c r="O637" s="57"/>
      <c r="P637" s="57"/>
      <c r="Q637" s="57"/>
      <c r="R637" s="57"/>
      <c r="S637" s="57"/>
      <c r="T637" s="57"/>
    </row>
    <row r="638" spans="1:20">
      <c r="A638" s="55" t="s">
        <v>425</v>
      </c>
      <c r="B638" s="55" t="s">
        <v>401</v>
      </c>
      <c r="C638" s="57">
        <v>52.212000000000003</v>
      </c>
      <c r="D638" s="57">
        <v>58.41</v>
      </c>
      <c r="E638" s="57">
        <v>63.697000000000003</v>
      </c>
      <c r="F638" s="57">
        <v>66.991</v>
      </c>
      <c r="G638" s="57">
        <v>66.484999999999999</v>
      </c>
      <c r="H638" s="57">
        <v>73.83</v>
      </c>
      <c r="I638" s="57">
        <v>77.304000000000002</v>
      </c>
      <c r="J638" s="57">
        <v>81.337999999999994</v>
      </c>
      <c r="K638" s="57">
        <v>89.061000000000007</v>
      </c>
      <c r="L638" s="57">
        <v>93.656999999999996</v>
      </c>
      <c r="M638" s="57">
        <v>99.216999999999999</v>
      </c>
      <c r="N638" s="57"/>
      <c r="O638" s="57"/>
      <c r="P638" s="57"/>
      <c r="Q638" s="57"/>
      <c r="R638" s="57"/>
      <c r="S638" s="57"/>
      <c r="T638" s="57"/>
    </row>
    <row r="639" spans="1:20">
      <c r="A639" s="55" t="s">
        <v>425</v>
      </c>
      <c r="B639" s="55" t="s">
        <v>402</v>
      </c>
      <c r="C639" s="57">
        <v>60.543999999999997</v>
      </c>
      <c r="D639" s="57">
        <v>64.155000000000001</v>
      </c>
      <c r="E639" s="57">
        <v>64.941000000000003</v>
      </c>
      <c r="F639" s="57">
        <v>66.756</v>
      </c>
      <c r="G639" s="57">
        <v>65.463999999999999</v>
      </c>
      <c r="H639" s="57">
        <v>67.061999999999998</v>
      </c>
      <c r="I639" s="57">
        <v>69.472999999999999</v>
      </c>
      <c r="J639" s="57">
        <v>71.989000000000004</v>
      </c>
      <c r="K639" s="57">
        <v>73.488</v>
      </c>
      <c r="L639" s="57">
        <v>75.591999999999999</v>
      </c>
      <c r="M639" s="57">
        <v>77.703000000000003</v>
      </c>
      <c r="N639" s="57"/>
      <c r="O639" s="57"/>
      <c r="P639" s="57"/>
      <c r="Q639" s="57"/>
      <c r="R639" s="57"/>
      <c r="S639" s="57"/>
      <c r="T639" s="57"/>
    </row>
    <row r="640" spans="1:20">
      <c r="A640" s="55" t="s">
        <v>425</v>
      </c>
      <c r="B640" s="55" t="s">
        <v>403</v>
      </c>
      <c r="C640" s="57">
        <v>57.445</v>
      </c>
      <c r="D640" s="57">
        <v>59.781999999999996</v>
      </c>
      <c r="E640" s="57">
        <v>60.213999999999999</v>
      </c>
      <c r="F640" s="57">
        <v>61.185000000000002</v>
      </c>
      <c r="G640" s="57">
        <v>59.401000000000003</v>
      </c>
      <c r="H640" s="57">
        <v>63.06</v>
      </c>
      <c r="I640" s="57">
        <v>64.305000000000007</v>
      </c>
      <c r="J640" s="57">
        <v>67.408000000000001</v>
      </c>
      <c r="K640" s="57">
        <v>70.415999999999997</v>
      </c>
      <c r="L640" s="57">
        <v>74.126999999999995</v>
      </c>
      <c r="M640" s="57">
        <v>74.409000000000006</v>
      </c>
      <c r="N640" s="57"/>
      <c r="O640" s="57"/>
      <c r="P640" s="57"/>
      <c r="Q640" s="57"/>
      <c r="R640" s="57"/>
      <c r="S640" s="57"/>
      <c r="T640" s="57"/>
    </row>
    <row r="641" spans="1:20">
      <c r="A641" s="55" t="s">
        <v>425</v>
      </c>
      <c r="B641" s="55" t="s">
        <v>404</v>
      </c>
      <c r="C641" s="57">
        <v>61.744999999999997</v>
      </c>
      <c r="D641" s="57">
        <v>65.835999999999999</v>
      </c>
      <c r="E641" s="57">
        <v>66.757000000000005</v>
      </c>
      <c r="F641" s="57">
        <v>68.891000000000005</v>
      </c>
      <c r="G641" s="57">
        <v>67.783000000000001</v>
      </c>
      <c r="H641" s="57">
        <v>68.600999999999999</v>
      </c>
      <c r="I641" s="57">
        <v>71.457999999999998</v>
      </c>
      <c r="J641" s="57">
        <v>73.748000000000005</v>
      </c>
      <c r="K641" s="57">
        <v>74.665999999999997</v>
      </c>
      <c r="L641" s="57">
        <v>76.153000000000006</v>
      </c>
      <c r="M641" s="57">
        <v>78.975999999999999</v>
      </c>
      <c r="N641" s="57"/>
      <c r="O641" s="57"/>
      <c r="P641" s="57"/>
      <c r="Q641" s="57"/>
      <c r="R641" s="57"/>
      <c r="S641" s="57"/>
      <c r="T641" s="57"/>
    </row>
    <row r="642" spans="1:20">
      <c r="A642" s="55" t="s">
        <v>425</v>
      </c>
      <c r="B642" s="55" t="s">
        <v>405</v>
      </c>
      <c r="C642" s="57">
        <v>66.855000000000004</v>
      </c>
      <c r="D642" s="57">
        <v>71.153000000000006</v>
      </c>
      <c r="E642" s="57">
        <v>74.406999999999996</v>
      </c>
      <c r="F642" s="57">
        <v>76.063000000000002</v>
      </c>
      <c r="G642" s="57">
        <v>73.36</v>
      </c>
      <c r="H642" s="57">
        <v>78.012</v>
      </c>
      <c r="I642" s="57">
        <v>79.481999999999999</v>
      </c>
      <c r="J642" s="57">
        <v>83.950999999999993</v>
      </c>
      <c r="K642" s="57">
        <v>87.995999999999995</v>
      </c>
      <c r="L642" s="57">
        <v>90.686000000000007</v>
      </c>
      <c r="M642" s="57">
        <v>91.581000000000003</v>
      </c>
      <c r="N642" s="57"/>
      <c r="O642" s="57"/>
      <c r="P642" s="57"/>
      <c r="Q642" s="57"/>
      <c r="R642" s="57"/>
      <c r="S642" s="57"/>
      <c r="T642" s="57"/>
    </row>
    <row r="643" spans="1:20">
      <c r="A643" s="55" t="s">
        <v>425</v>
      </c>
      <c r="B643" s="55" t="s">
        <v>174</v>
      </c>
      <c r="C643" s="57">
        <v>73.126999999999995</v>
      </c>
      <c r="D643" s="57">
        <v>74.397000000000006</v>
      </c>
      <c r="E643" s="57">
        <v>76.295000000000002</v>
      </c>
      <c r="F643" s="57">
        <v>78.162000000000006</v>
      </c>
      <c r="G643" s="57">
        <v>79.027000000000001</v>
      </c>
      <c r="H643" s="57">
        <v>79.599999999999994</v>
      </c>
      <c r="I643" s="57">
        <v>80.052000000000007</v>
      </c>
      <c r="J643" s="57">
        <v>81.057000000000002</v>
      </c>
      <c r="K643" s="57">
        <v>81.527000000000001</v>
      </c>
      <c r="L643" s="57">
        <v>82.23</v>
      </c>
      <c r="M643" s="57">
        <v>83.759</v>
      </c>
      <c r="N643" s="57"/>
      <c r="O643" s="57"/>
      <c r="P643" s="57"/>
      <c r="Q643" s="57"/>
      <c r="R643" s="57"/>
      <c r="S643" s="57"/>
      <c r="T643" s="57"/>
    </row>
    <row r="644" spans="1:20">
      <c r="A644" s="55" t="s">
        <v>425</v>
      </c>
      <c r="B644" s="55" t="s">
        <v>219</v>
      </c>
      <c r="C644" s="57">
        <v>88.698999999999998</v>
      </c>
      <c r="D644" s="57">
        <v>88.552999999999997</v>
      </c>
      <c r="E644" s="57">
        <v>89.980999999999995</v>
      </c>
      <c r="F644" s="57">
        <v>91.775000000000006</v>
      </c>
      <c r="G644" s="57">
        <v>91.474000000000004</v>
      </c>
      <c r="H644" s="57">
        <v>89.831000000000003</v>
      </c>
      <c r="I644" s="57">
        <v>87.352000000000004</v>
      </c>
      <c r="J644" s="57">
        <v>85.908000000000001</v>
      </c>
      <c r="K644" s="57">
        <v>83.149000000000001</v>
      </c>
      <c r="L644" s="57">
        <v>82.24</v>
      </c>
      <c r="M644" s="57">
        <v>82.268000000000001</v>
      </c>
      <c r="N644" s="57"/>
      <c r="O644" s="57"/>
      <c r="P644" s="57"/>
      <c r="Q644" s="57"/>
      <c r="R644" s="57"/>
      <c r="S644" s="57"/>
      <c r="T644" s="57"/>
    </row>
    <row r="645" spans="1:20">
      <c r="A645" s="55" t="s">
        <v>425</v>
      </c>
      <c r="B645" s="55" t="s">
        <v>406</v>
      </c>
      <c r="C645" s="57">
        <v>89.376999999999995</v>
      </c>
      <c r="D645" s="57">
        <v>89.192999999999998</v>
      </c>
      <c r="E645" s="57">
        <v>90.489000000000004</v>
      </c>
      <c r="F645" s="57">
        <v>91.918999999999997</v>
      </c>
      <c r="G645" s="57">
        <v>92.26</v>
      </c>
      <c r="H645" s="57">
        <v>90.164000000000001</v>
      </c>
      <c r="I645" s="57">
        <v>87.179000000000002</v>
      </c>
      <c r="J645" s="57">
        <v>85.111000000000004</v>
      </c>
      <c r="K645" s="57">
        <v>82.200999999999993</v>
      </c>
      <c r="L645" s="57">
        <v>80.807000000000002</v>
      </c>
      <c r="M645" s="57">
        <v>80.48</v>
      </c>
      <c r="N645" s="57"/>
      <c r="O645" s="57"/>
      <c r="P645" s="57"/>
      <c r="Q645" s="57"/>
      <c r="R645" s="57"/>
      <c r="S645" s="57"/>
      <c r="T645" s="57"/>
    </row>
    <row r="646" spans="1:20">
      <c r="A646" s="55" t="s">
        <v>425</v>
      </c>
      <c r="B646" s="55" t="s">
        <v>407</v>
      </c>
      <c r="C646" s="57">
        <v>84.753</v>
      </c>
      <c r="D646" s="57">
        <v>84.906000000000006</v>
      </c>
      <c r="E646" s="57">
        <v>87.358999999999995</v>
      </c>
      <c r="F646" s="57">
        <v>91.998000000000005</v>
      </c>
      <c r="G646" s="57">
        <v>86.873000000000005</v>
      </c>
      <c r="H646" s="57">
        <v>88.504000000000005</v>
      </c>
      <c r="I646" s="57">
        <v>89.742000000000004</v>
      </c>
      <c r="J646" s="57">
        <v>93.019000000000005</v>
      </c>
      <c r="K646" s="57">
        <v>91.356999999999999</v>
      </c>
      <c r="L646" s="57">
        <v>94.028999999999996</v>
      </c>
      <c r="M646" s="57">
        <v>96.757999999999996</v>
      </c>
      <c r="N646" s="57"/>
      <c r="O646" s="57"/>
      <c r="P646" s="57"/>
      <c r="Q646" s="57"/>
      <c r="R646" s="57"/>
      <c r="S646" s="57"/>
      <c r="T646" s="57"/>
    </row>
    <row r="647" spans="1:20">
      <c r="A647" s="55" t="s">
        <v>425</v>
      </c>
      <c r="B647" s="55" t="s">
        <v>221</v>
      </c>
      <c r="C647" s="57">
        <v>65.180000000000007</v>
      </c>
      <c r="D647" s="57">
        <v>67.198999999999998</v>
      </c>
      <c r="E647" s="57">
        <v>69.344999999999999</v>
      </c>
      <c r="F647" s="57">
        <v>71.251000000000005</v>
      </c>
      <c r="G647" s="57">
        <v>72.707999999999998</v>
      </c>
      <c r="H647" s="57">
        <v>74.412999999999997</v>
      </c>
      <c r="I647" s="57">
        <v>76.355000000000004</v>
      </c>
      <c r="J647" s="57">
        <v>78.596000000000004</v>
      </c>
      <c r="K647" s="57">
        <v>80.700999999999993</v>
      </c>
      <c r="L647" s="57">
        <v>82.224999999999994</v>
      </c>
      <c r="M647" s="57">
        <v>84.518000000000001</v>
      </c>
      <c r="N647" s="57"/>
      <c r="O647" s="57"/>
      <c r="P647" s="57"/>
      <c r="Q647" s="57"/>
      <c r="R647" s="57"/>
      <c r="S647" s="57"/>
      <c r="T647" s="57"/>
    </row>
    <row r="648" spans="1:20">
      <c r="A648" s="55" t="s">
        <v>425</v>
      </c>
      <c r="B648" s="55" t="s">
        <v>406</v>
      </c>
      <c r="C648" s="57">
        <v>64.897999999999996</v>
      </c>
      <c r="D648" s="57">
        <v>66.957999999999998</v>
      </c>
      <c r="E648" s="57">
        <v>69.161000000000001</v>
      </c>
      <c r="F648" s="57">
        <v>71.241</v>
      </c>
      <c r="G648" s="57">
        <v>72.843000000000004</v>
      </c>
      <c r="H648" s="57">
        <v>74.781999999999996</v>
      </c>
      <c r="I648" s="57">
        <v>76.63</v>
      </c>
      <c r="J648" s="57">
        <v>78.688000000000002</v>
      </c>
      <c r="K648" s="57">
        <v>80.688999999999993</v>
      </c>
      <c r="L648" s="57">
        <v>82.168999999999997</v>
      </c>
      <c r="M648" s="57">
        <v>84.540999999999997</v>
      </c>
      <c r="N648" s="57"/>
      <c r="O648" s="57"/>
      <c r="P648" s="57"/>
      <c r="Q648" s="57"/>
      <c r="R648" s="57"/>
      <c r="S648" s="57"/>
      <c r="T648" s="57"/>
    </row>
    <row r="649" spans="1:20">
      <c r="A649" s="55" t="s">
        <v>425</v>
      </c>
      <c r="B649" s="55" t="s">
        <v>407</v>
      </c>
      <c r="C649" s="57">
        <v>67.376000000000005</v>
      </c>
      <c r="D649" s="57">
        <v>69.078999999999994</v>
      </c>
      <c r="E649" s="57">
        <v>70.781999999999996</v>
      </c>
      <c r="F649" s="57">
        <v>71.33</v>
      </c>
      <c r="G649" s="57">
        <v>71.665000000000006</v>
      </c>
      <c r="H649" s="57">
        <v>71.563000000000002</v>
      </c>
      <c r="I649" s="57">
        <v>74.212999999999994</v>
      </c>
      <c r="J649" s="57">
        <v>77.835999999999999</v>
      </c>
      <c r="K649" s="57">
        <v>80.713999999999999</v>
      </c>
      <c r="L649" s="57">
        <v>82.570999999999998</v>
      </c>
      <c r="M649" s="57">
        <v>84.274000000000001</v>
      </c>
      <c r="N649" s="57"/>
      <c r="O649" s="57"/>
      <c r="P649" s="57"/>
      <c r="Q649" s="57"/>
      <c r="R649" s="57"/>
      <c r="S649" s="57"/>
      <c r="T649" s="57"/>
    </row>
    <row r="650" spans="1:20">
      <c r="A650" s="55" t="s">
        <v>425</v>
      </c>
      <c r="B650" s="55" t="s">
        <v>408</v>
      </c>
      <c r="C650" s="57">
        <v>66.825000000000003</v>
      </c>
      <c r="D650" s="57">
        <v>69.283000000000001</v>
      </c>
      <c r="E650" s="57">
        <v>70.03</v>
      </c>
      <c r="F650" s="57">
        <v>69.897999999999996</v>
      </c>
      <c r="G650" s="57">
        <v>68.088999999999999</v>
      </c>
      <c r="H650" s="57">
        <v>70.715999999999994</v>
      </c>
      <c r="I650" s="57">
        <v>72.759</v>
      </c>
      <c r="J650" s="57">
        <v>77.120999999999995</v>
      </c>
      <c r="K650" s="57">
        <v>79.942999999999998</v>
      </c>
      <c r="L650" s="57">
        <v>82.96</v>
      </c>
      <c r="M650" s="57">
        <v>88.234999999999999</v>
      </c>
      <c r="N650" s="57"/>
      <c r="O650" s="57"/>
      <c r="P650" s="57"/>
      <c r="Q650" s="57"/>
      <c r="R650" s="57"/>
      <c r="S650" s="57"/>
      <c r="T650" s="57"/>
    </row>
    <row r="651" spans="1:20">
      <c r="A651" s="55" t="s">
        <v>425</v>
      </c>
      <c r="B651" s="55" t="s">
        <v>409</v>
      </c>
      <c r="C651" s="57">
        <v>49.84</v>
      </c>
      <c r="D651" s="57">
        <v>52.902999999999999</v>
      </c>
      <c r="E651" s="57">
        <v>54.783000000000001</v>
      </c>
      <c r="F651" s="57">
        <v>56.395000000000003</v>
      </c>
      <c r="G651" s="57">
        <v>56.433</v>
      </c>
      <c r="H651" s="57">
        <v>58.445999999999998</v>
      </c>
      <c r="I651" s="57">
        <v>60.709000000000003</v>
      </c>
      <c r="J651" s="57">
        <v>63.465000000000003</v>
      </c>
      <c r="K651" s="57">
        <v>65.997</v>
      </c>
      <c r="L651" s="57">
        <v>69.44</v>
      </c>
      <c r="M651" s="57">
        <v>72.945999999999998</v>
      </c>
      <c r="N651" s="57"/>
      <c r="O651" s="57"/>
      <c r="P651" s="57"/>
      <c r="Q651" s="57"/>
      <c r="R651" s="57"/>
      <c r="S651" s="57"/>
      <c r="T651" s="57"/>
    </row>
    <row r="652" spans="1:20">
      <c r="A652" s="55" t="s">
        <v>425</v>
      </c>
      <c r="B652" s="55" t="s">
        <v>410</v>
      </c>
      <c r="C652" s="57">
        <v>19.719000000000001</v>
      </c>
      <c r="D652" s="57">
        <v>21.61</v>
      </c>
      <c r="E652" s="57">
        <v>22.584</v>
      </c>
      <c r="F652" s="57">
        <v>24.064</v>
      </c>
      <c r="G652" s="57">
        <v>24.684000000000001</v>
      </c>
      <c r="H652" s="57">
        <v>26.864999999999998</v>
      </c>
      <c r="I652" s="57">
        <v>29.404</v>
      </c>
      <c r="J652" s="57">
        <v>33.634999999999998</v>
      </c>
      <c r="K652" s="57">
        <v>40.700000000000003</v>
      </c>
      <c r="L652" s="57">
        <v>47.982999999999997</v>
      </c>
      <c r="M652" s="57">
        <v>57.027000000000001</v>
      </c>
      <c r="N652" s="57"/>
    </row>
    <row r="653" spans="1:20">
      <c r="C653" s="57"/>
      <c r="D653" s="57"/>
      <c r="E653" s="57"/>
      <c r="F653" s="57"/>
      <c r="G653" s="57"/>
      <c r="H653" s="57"/>
      <c r="I653" s="57"/>
      <c r="J653" s="57"/>
      <c r="K653" s="57"/>
      <c r="L653" s="57"/>
      <c r="M653" s="57"/>
    </row>
    <row r="654" spans="1:20">
      <c r="A654" s="60" t="s">
        <v>426</v>
      </c>
      <c r="C654" s="57"/>
      <c r="D654" s="57"/>
      <c r="E654" s="57"/>
      <c r="F654" s="57"/>
      <c r="G654" s="57"/>
      <c r="H654" s="57"/>
      <c r="I654" s="57"/>
      <c r="J654" s="57"/>
      <c r="K654" s="57"/>
      <c r="L654" s="57"/>
      <c r="M654" s="57"/>
      <c r="O654" s="57"/>
      <c r="P654" s="57"/>
      <c r="Q654" s="57"/>
      <c r="R654" s="57"/>
      <c r="S654" s="57"/>
      <c r="T654" s="57"/>
    </row>
    <row r="655" spans="1:20">
      <c r="A655" s="55" t="s">
        <v>427</v>
      </c>
      <c r="B655" s="55" t="s">
        <v>423</v>
      </c>
      <c r="C655" s="57">
        <v>65.632000000000005</v>
      </c>
      <c r="D655" s="57">
        <v>67.896000000000001</v>
      </c>
      <c r="E655" s="57">
        <v>70.534000000000006</v>
      </c>
      <c r="F655" s="57">
        <v>73.078999999999994</v>
      </c>
      <c r="G655" s="57">
        <v>74.774000000000001</v>
      </c>
      <c r="H655" s="57">
        <v>76.210999999999999</v>
      </c>
      <c r="I655" s="57">
        <v>77.927999999999997</v>
      </c>
      <c r="J655" s="57">
        <v>79.441999999999993</v>
      </c>
      <c r="K655" s="57">
        <v>81.647999999999996</v>
      </c>
      <c r="L655" s="57">
        <v>83.025999999999996</v>
      </c>
      <c r="M655" s="57">
        <v>83.968000000000004</v>
      </c>
      <c r="N655" s="57"/>
      <c r="O655" s="57"/>
      <c r="P655" s="57"/>
      <c r="Q655" s="57"/>
      <c r="R655" s="57"/>
      <c r="S655" s="57"/>
      <c r="T655" s="57"/>
    </row>
    <row r="656" spans="1:20">
      <c r="A656" s="55" t="s">
        <v>427</v>
      </c>
      <c r="B656" s="55" t="s">
        <v>326</v>
      </c>
      <c r="C656" s="57">
        <v>67.278000000000006</v>
      </c>
      <c r="D656" s="57">
        <v>69.587000000000003</v>
      </c>
      <c r="E656" s="57">
        <v>72.290999999999997</v>
      </c>
      <c r="F656" s="57">
        <v>74.802999999999997</v>
      </c>
      <c r="G656" s="57">
        <v>76.3</v>
      </c>
      <c r="H656" s="57">
        <v>77.603999999999999</v>
      </c>
      <c r="I656" s="57">
        <v>79.281999999999996</v>
      </c>
      <c r="J656" s="57">
        <v>80.734999999999999</v>
      </c>
      <c r="K656" s="57">
        <v>82.95</v>
      </c>
      <c r="L656" s="57">
        <v>84.254000000000005</v>
      </c>
      <c r="M656" s="57">
        <v>85.114000000000004</v>
      </c>
      <c r="N656" s="57"/>
      <c r="O656" s="57"/>
      <c r="P656" s="57"/>
      <c r="Q656" s="57"/>
      <c r="R656" s="57"/>
      <c r="S656" s="57"/>
      <c r="T656" s="57"/>
    </row>
    <row r="657" spans="1:20">
      <c r="A657" s="55" t="s">
        <v>427</v>
      </c>
      <c r="B657" s="55" t="s">
        <v>327</v>
      </c>
      <c r="C657" s="57">
        <v>78.343000000000004</v>
      </c>
      <c r="D657" s="57">
        <v>85.478999999999999</v>
      </c>
      <c r="E657" s="57">
        <v>89.79</v>
      </c>
      <c r="F657" s="57">
        <v>90.403999999999996</v>
      </c>
      <c r="G657" s="57">
        <v>87.194000000000003</v>
      </c>
      <c r="H657" s="57">
        <v>87.63</v>
      </c>
      <c r="I657" s="57">
        <v>91.343999999999994</v>
      </c>
      <c r="J657" s="57">
        <v>91.123000000000005</v>
      </c>
      <c r="K657" s="57">
        <v>92.29</v>
      </c>
      <c r="L657" s="57">
        <v>99.972999999999999</v>
      </c>
      <c r="M657" s="57">
        <v>95.992999999999995</v>
      </c>
      <c r="N657" s="57"/>
      <c r="O657" s="57"/>
      <c r="P657" s="57"/>
      <c r="Q657" s="57"/>
      <c r="R657" s="57"/>
      <c r="S657" s="57"/>
      <c r="T657" s="57"/>
    </row>
    <row r="658" spans="1:20">
      <c r="A658" s="55" t="s">
        <v>427</v>
      </c>
      <c r="B658" s="55" t="s">
        <v>328</v>
      </c>
      <c r="C658" s="57">
        <v>80.492999999999995</v>
      </c>
      <c r="D658" s="57">
        <v>87.700999999999993</v>
      </c>
      <c r="E658" s="57">
        <v>92.501999999999995</v>
      </c>
      <c r="F658" s="57">
        <v>92.745000000000005</v>
      </c>
      <c r="G658" s="57">
        <v>89.128</v>
      </c>
      <c r="H658" s="57">
        <v>88.245000000000005</v>
      </c>
      <c r="I658" s="57">
        <v>90.144999999999996</v>
      </c>
      <c r="J658" s="57">
        <v>89.465000000000003</v>
      </c>
      <c r="K658" s="57">
        <v>90.683000000000007</v>
      </c>
      <c r="L658" s="57">
        <v>99.966999999999999</v>
      </c>
      <c r="M658" s="57">
        <v>94.988</v>
      </c>
      <c r="N658" s="57"/>
      <c r="O658" s="57"/>
      <c r="P658" s="57"/>
      <c r="Q658" s="57"/>
      <c r="R658" s="57"/>
      <c r="S658" s="57"/>
      <c r="T658" s="57"/>
    </row>
    <row r="659" spans="1:20">
      <c r="A659" s="55" t="s">
        <v>427</v>
      </c>
      <c r="B659" s="55" t="s">
        <v>329</v>
      </c>
      <c r="C659" s="57">
        <v>67.843999999999994</v>
      </c>
      <c r="D659" s="57">
        <v>74.575999999999993</v>
      </c>
      <c r="E659" s="57">
        <v>76.596999999999994</v>
      </c>
      <c r="F659" s="57">
        <v>79.006</v>
      </c>
      <c r="G659" s="57">
        <v>77.825000000000003</v>
      </c>
      <c r="H659" s="57">
        <v>85.010999999999996</v>
      </c>
      <c r="I659" s="57">
        <v>98.346999999999994</v>
      </c>
      <c r="J659" s="57">
        <v>100.652</v>
      </c>
      <c r="K659" s="57">
        <v>101.547</v>
      </c>
      <c r="L659" s="57">
        <v>100.643</v>
      </c>
      <c r="M659" s="57">
        <v>102.455</v>
      </c>
      <c r="N659" s="57"/>
      <c r="O659" s="57"/>
      <c r="P659" s="57"/>
      <c r="Q659" s="57"/>
      <c r="R659" s="57"/>
      <c r="S659" s="57"/>
      <c r="T659" s="57"/>
    </row>
    <row r="660" spans="1:20">
      <c r="A660" s="55" t="s">
        <v>427</v>
      </c>
      <c r="B660" s="55" t="s">
        <v>330</v>
      </c>
      <c r="C660" s="57">
        <v>39.47</v>
      </c>
      <c r="D660" s="57">
        <v>37.524000000000001</v>
      </c>
      <c r="E660" s="57">
        <v>40.375999999999998</v>
      </c>
      <c r="F660" s="57">
        <v>44.415999999999997</v>
      </c>
      <c r="G660" s="57">
        <v>41.222999999999999</v>
      </c>
      <c r="H660" s="57">
        <v>40.226999999999997</v>
      </c>
      <c r="I660" s="57">
        <v>40.22</v>
      </c>
      <c r="J660" s="57">
        <v>38.935000000000002</v>
      </c>
      <c r="K660" s="57">
        <v>39.53</v>
      </c>
      <c r="L660" s="57">
        <v>46.066000000000003</v>
      </c>
      <c r="M660" s="57">
        <v>46.677999999999997</v>
      </c>
      <c r="N660" s="57"/>
      <c r="O660" s="57"/>
      <c r="P660" s="57"/>
      <c r="Q660" s="57"/>
      <c r="R660" s="57"/>
      <c r="S660" s="57"/>
      <c r="T660" s="57"/>
    </row>
    <row r="661" spans="1:20">
      <c r="A661" s="55" t="s">
        <v>427</v>
      </c>
      <c r="B661" s="55" t="s">
        <v>331</v>
      </c>
      <c r="C661" s="57">
        <v>26.126000000000001</v>
      </c>
      <c r="D661" s="57">
        <v>23.338999999999999</v>
      </c>
      <c r="E661" s="57">
        <v>26.292000000000002</v>
      </c>
      <c r="F661" s="57">
        <v>31.116</v>
      </c>
      <c r="G661" s="57">
        <v>27.33</v>
      </c>
      <c r="H661" s="57">
        <v>26.811</v>
      </c>
      <c r="I661" s="57">
        <v>27.382000000000001</v>
      </c>
      <c r="J661" s="57">
        <v>25.385000000000002</v>
      </c>
      <c r="K661" s="57">
        <v>25.416</v>
      </c>
      <c r="L661" s="57">
        <v>33.863999999999997</v>
      </c>
      <c r="M661" s="57">
        <v>33.811</v>
      </c>
      <c r="N661" s="57"/>
      <c r="O661" s="57"/>
      <c r="P661" s="57"/>
      <c r="Q661" s="57"/>
      <c r="R661" s="57"/>
      <c r="S661" s="57"/>
      <c r="T661" s="57"/>
    </row>
    <row r="662" spans="1:20">
      <c r="A662" s="55" t="s">
        <v>427</v>
      </c>
      <c r="B662" s="55" t="s">
        <v>332</v>
      </c>
      <c r="C662" s="57">
        <v>80.488</v>
      </c>
      <c r="D662" s="57">
        <v>81.182000000000002</v>
      </c>
      <c r="E662" s="57">
        <v>82.281000000000006</v>
      </c>
      <c r="F662" s="57">
        <v>81.790000000000006</v>
      </c>
      <c r="G662" s="57">
        <v>79.667000000000002</v>
      </c>
      <c r="H662" s="57">
        <v>78.302999999999997</v>
      </c>
      <c r="I662" s="57">
        <v>74.748999999999995</v>
      </c>
      <c r="J662" s="57">
        <v>76.135000000000005</v>
      </c>
      <c r="K662" s="57">
        <v>77.656999999999996</v>
      </c>
      <c r="L662" s="57">
        <v>75.763000000000005</v>
      </c>
      <c r="M662" s="57">
        <v>74.933000000000007</v>
      </c>
      <c r="N662" s="57"/>
      <c r="O662" s="57"/>
      <c r="P662" s="57"/>
      <c r="Q662" s="57"/>
      <c r="R662" s="57"/>
      <c r="S662" s="57"/>
      <c r="T662" s="57"/>
    </row>
    <row r="663" spans="1:20">
      <c r="A663" s="55" t="s">
        <v>427</v>
      </c>
      <c r="B663" s="55" t="s">
        <v>333</v>
      </c>
      <c r="C663" s="57">
        <v>45.201000000000001</v>
      </c>
      <c r="D663" s="57">
        <v>49.53</v>
      </c>
      <c r="E663" s="57">
        <v>51.929000000000002</v>
      </c>
      <c r="F663" s="57">
        <v>54.098999999999997</v>
      </c>
      <c r="G663" s="57">
        <v>57.2</v>
      </c>
      <c r="H663" s="57">
        <v>52.926000000000002</v>
      </c>
      <c r="I663" s="57">
        <v>55.116999999999997</v>
      </c>
      <c r="J663" s="57">
        <v>56.064999999999998</v>
      </c>
      <c r="K663" s="57">
        <v>59.866999999999997</v>
      </c>
      <c r="L663" s="57">
        <v>63.268999999999998</v>
      </c>
      <c r="M663" s="57">
        <v>72.622</v>
      </c>
      <c r="N663" s="57"/>
      <c r="O663" s="57"/>
      <c r="P663" s="57"/>
      <c r="Q663" s="57"/>
      <c r="R663" s="57"/>
      <c r="S663" s="57"/>
      <c r="T663" s="57"/>
    </row>
    <row r="664" spans="1:20">
      <c r="A664" s="55" t="s">
        <v>427</v>
      </c>
      <c r="B664" s="55" t="s">
        <v>334</v>
      </c>
      <c r="C664" s="57">
        <v>61.1</v>
      </c>
      <c r="D664" s="57">
        <v>60.884999999999998</v>
      </c>
      <c r="E664" s="57">
        <v>61.969000000000001</v>
      </c>
      <c r="F664" s="57">
        <v>63.067999999999998</v>
      </c>
      <c r="G664" s="57">
        <v>64.135999999999996</v>
      </c>
      <c r="H664" s="57">
        <v>65.453999999999994</v>
      </c>
      <c r="I664" s="57">
        <v>67.236999999999995</v>
      </c>
      <c r="J664" s="57">
        <v>67.478999999999999</v>
      </c>
      <c r="K664" s="57">
        <v>67.370999999999995</v>
      </c>
      <c r="L664" s="57">
        <v>69.447999999999993</v>
      </c>
      <c r="M664" s="57">
        <v>70.42</v>
      </c>
      <c r="N664" s="57"/>
      <c r="O664" s="57"/>
      <c r="P664" s="57"/>
      <c r="Q664" s="57"/>
      <c r="R664" s="57"/>
      <c r="S664" s="57"/>
      <c r="T664" s="57"/>
    </row>
    <row r="665" spans="1:20">
      <c r="A665" s="55" t="s">
        <v>427</v>
      </c>
      <c r="B665" s="55" t="s">
        <v>335</v>
      </c>
      <c r="C665" s="57">
        <v>52.767000000000003</v>
      </c>
      <c r="D665" s="57">
        <v>54.570999999999998</v>
      </c>
      <c r="E665" s="57">
        <v>56.332999999999998</v>
      </c>
      <c r="F665" s="57">
        <v>57.929000000000002</v>
      </c>
      <c r="G665" s="57">
        <v>58.725999999999999</v>
      </c>
      <c r="H665" s="57">
        <v>59.219000000000001</v>
      </c>
      <c r="I665" s="57">
        <v>61.28</v>
      </c>
      <c r="J665" s="57">
        <v>63.396999999999998</v>
      </c>
      <c r="K665" s="57">
        <v>65.891000000000005</v>
      </c>
      <c r="L665" s="57">
        <v>67.462999999999994</v>
      </c>
      <c r="M665" s="57">
        <v>69.58</v>
      </c>
      <c r="N665" s="57"/>
      <c r="O665" s="57"/>
      <c r="P665" s="57"/>
      <c r="Q665" s="57"/>
      <c r="R665" s="57"/>
      <c r="S665" s="57"/>
      <c r="T665" s="57"/>
    </row>
    <row r="666" spans="1:20">
      <c r="A666" s="55" t="s">
        <v>427</v>
      </c>
      <c r="B666" s="55" t="s">
        <v>336</v>
      </c>
      <c r="C666" s="57">
        <v>79.513999999999996</v>
      </c>
      <c r="D666" s="57">
        <v>82.558000000000007</v>
      </c>
      <c r="E666" s="57">
        <v>85.972999999999999</v>
      </c>
      <c r="F666" s="57">
        <v>88.123999999999995</v>
      </c>
      <c r="G666" s="57">
        <v>88.421000000000006</v>
      </c>
      <c r="H666" s="57">
        <v>88.760999999999996</v>
      </c>
      <c r="I666" s="57">
        <v>89.415000000000006</v>
      </c>
      <c r="J666" s="57">
        <v>90.370999999999995</v>
      </c>
      <c r="K666" s="57">
        <v>92.688000000000002</v>
      </c>
      <c r="L666" s="57">
        <v>92.501999999999995</v>
      </c>
      <c r="M666" s="57">
        <v>91.641999999999996</v>
      </c>
      <c r="N666" s="57"/>
      <c r="O666" s="57"/>
      <c r="P666" s="57"/>
      <c r="Q666" s="57"/>
      <c r="R666" s="57"/>
      <c r="S666" s="57"/>
      <c r="T666" s="57"/>
    </row>
    <row r="667" spans="1:20">
      <c r="A667" s="55" t="s">
        <v>427</v>
      </c>
      <c r="B667" s="55" t="s">
        <v>337</v>
      </c>
      <c r="C667" s="57">
        <v>99.683000000000007</v>
      </c>
      <c r="D667" s="57">
        <v>102.696</v>
      </c>
      <c r="E667" s="57">
        <v>105.718</v>
      </c>
      <c r="F667" s="57">
        <v>106.675</v>
      </c>
      <c r="G667" s="57">
        <v>107.621</v>
      </c>
      <c r="H667" s="57">
        <v>108.24299999999999</v>
      </c>
      <c r="I667" s="57">
        <v>109.16500000000001</v>
      </c>
      <c r="J667" s="57">
        <v>110.54900000000001</v>
      </c>
      <c r="K667" s="57">
        <v>110.78400000000001</v>
      </c>
      <c r="L667" s="57">
        <v>108.282</v>
      </c>
      <c r="M667" s="57">
        <v>106.503</v>
      </c>
      <c r="N667" s="57"/>
      <c r="O667" s="57"/>
      <c r="P667" s="57"/>
      <c r="Q667" s="57"/>
      <c r="R667" s="57"/>
      <c r="S667" s="57"/>
      <c r="T667" s="57"/>
    </row>
    <row r="668" spans="1:20">
      <c r="A668" s="55" t="s">
        <v>427</v>
      </c>
      <c r="B668" s="55" t="s">
        <v>338</v>
      </c>
      <c r="C668" s="57">
        <v>59.555</v>
      </c>
      <c r="D668" s="57">
        <v>61.383000000000003</v>
      </c>
      <c r="E668" s="57">
        <v>64.549000000000007</v>
      </c>
      <c r="F668" s="57">
        <v>64.694000000000003</v>
      </c>
      <c r="G668" s="57">
        <v>65.900999999999996</v>
      </c>
      <c r="H668" s="57">
        <v>72.319999999999993</v>
      </c>
      <c r="I668" s="57">
        <v>83.748000000000005</v>
      </c>
      <c r="J668" s="57">
        <v>87.215999999999994</v>
      </c>
      <c r="K668" s="57">
        <v>86.119</v>
      </c>
      <c r="L668" s="57">
        <v>85.954999999999998</v>
      </c>
      <c r="M668" s="57">
        <v>89.105999999999995</v>
      </c>
      <c r="N668" s="57"/>
      <c r="O668" s="57"/>
      <c r="P668" s="57"/>
      <c r="Q668" s="57"/>
      <c r="R668" s="57"/>
      <c r="S668" s="57"/>
      <c r="T668" s="57"/>
    </row>
    <row r="669" spans="1:20">
      <c r="A669" s="55" t="s">
        <v>427</v>
      </c>
      <c r="B669" s="55" t="s">
        <v>339</v>
      </c>
      <c r="C669" s="57">
        <v>69.646000000000001</v>
      </c>
      <c r="D669" s="57">
        <v>70.379000000000005</v>
      </c>
      <c r="E669" s="57">
        <v>71.751999999999995</v>
      </c>
      <c r="F669" s="57">
        <v>72.783000000000001</v>
      </c>
      <c r="G669" s="57">
        <v>74.010999999999996</v>
      </c>
      <c r="H669" s="57">
        <v>74.287999999999997</v>
      </c>
      <c r="I669" s="57">
        <v>75.88</v>
      </c>
      <c r="J669" s="57">
        <v>78.622</v>
      </c>
      <c r="K669" s="57">
        <v>81.781999999999996</v>
      </c>
      <c r="L669" s="57">
        <v>82.972999999999999</v>
      </c>
      <c r="M669" s="57">
        <v>84.146000000000001</v>
      </c>
      <c r="N669" s="57"/>
      <c r="O669" s="57"/>
      <c r="P669" s="57"/>
      <c r="Q669" s="57"/>
      <c r="R669" s="57"/>
      <c r="S669" s="57"/>
      <c r="T669" s="57"/>
    </row>
    <row r="670" spans="1:20">
      <c r="A670" s="55" t="s">
        <v>427</v>
      </c>
      <c r="B670" s="55" t="s">
        <v>340</v>
      </c>
      <c r="C670" s="57">
        <v>66.643000000000001</v>
      </c>
      <c r="D670" s="57">
        <v>75.611999999999995</v>
      </c>
      <c r="E670" s="57">
        <v>78.929000000000002</v>
      </c>
      <c r="F670" s="57">
        <v>76.668999999999997</v>
      </c>
      <c r="G670" s="57">
        <v>73.08</v>
      </c>
      <c r="H670" s="57">
        <v>71.861999999999995</v>
      </c>
      <c r="I670" s="57">
        <v>71.066999999999993</v>
      </c>
      <c r="J670" s="57">
        <v>75.540000000000006</v>
      </c>
      <c r="K670" s="57">
        <v>83.813999999999993</v>
      </c>
      <c r="L670" s="57">
        <v>80.251000000000005</v>
      </c>
      <c r="M670" s="57">
        <v>80.894999999999996</v>
      </c>
      <c r="N670" s="57"/>
      <c r="O670" s="57"/>
      <c r="P670" s="57"/>
      <c r="Q670" s="57"/>
      <c r="R670" s="57"/>
      <c r="S670" s="57"/>
      <c r="T670" s="57"/>
    </row>
    <row r="671" spans="1:20">
      <c r="A671" s="55" t="s">
        <v>427</v>
      </c>
      <c r="B671" s="55" t="s">
        <v>341</v>
      </c>
      <c r="C671" s="57">
        <v>67.991</v>
      </c>
      <c r="D671" s="57">
        <v>71.268000000000001</v>
      </c>
      <c r="E671" s="57">
        <v>74.816999999999993</v>
      </c>
      <c r="F671" s="57">
        <v>76.739999999999995</v>
      </c>
      <c r="G671" s="57">
        <v>77.947000000000003</v>
      </c>
      <c r="H671" s="57">
        <v>78.224000000000004</v>
      </c>
      <c r="I671" s="57">
        <v>78.774000000000001</v>
      </c>
      <c r="J671" s="57">
        <v>80.093000000000004</v>
      </c>
      <c r="K671" s="57">
        <v>83.177000000000007</v>
      </c>
      <c r="L671" s="57">
        <v>84.268000000000001</v>
      </c>
      <c r="M671" s="57">
        <v>85.302000000000007</v>
      </c>
      <c r="N671" s="57"/>
      <c r="O671" s="57"/>
      <c r="P671" s="57"/>
      <c r="Q671" s="57"/>
      <c r="R671" s="57"/>
      <c r="S671" s="57"/>
      <c r="T671" s="57"/>
    </row>
    <row r="672" spans="1:20">
      <c r="A672" s="55" t="s">
        <v>427</v>
      </c>
      <c r="B672" s="55" t="s">
        <v>342</v>
      </c>
      <c r="C672" s="57">
        <v>70.837999999999994</v>
      </c>
      <c r="D672" s="57">
        <v>72.908000000000001</v>
      </c>
      <c r="E672" s="57">
        <v>75.968000000000004</v>
      </c>
      <c r="F672" s="57">
        <v>78.662999999999997</v>
      </c>
      <c r="G672" s="57">
        <v>80.97</v>
      </c>
      <c r="H672" s="57">
        <v>82.49</v>
      </c>
      <c r="I672" s="57">
        <v>83.933000000000007</v>
      </c>
      <c r="J672" s="57">
        <v>85.332999999999998</v>
      </c>
      <c r="K672" s="57">
        <v>87.311000000000007</v>
      </c>
      <c r="L672" s="57">
        <v>89.061999999999998</v>
      </c>
      <c r="M672" s="57">
        <v>90.236000000000004</v>
      </c>
      <c r="N672" s="57"/>
      <c r="O672" s="57"/>
      <c r="P672" s="57"/>
      <c r="Q672" s="57"/>
      <c r="R672" s="57"/>
      <c r="S672" s="57"/>
      <c r="T672" s="57"/>
    </row>
    <row r="673" spans="1:20">
      <c r="A673" s="55" t="s">
        <v>427</v>
      </c>
      <c r="B673" s="55" t="s">
        <v>343</v>
      </c>
      <c r="C673" s="57">
        <v>384.99299999999999</v>
      </c>
      <c r="D673" s="57">
        <v>381.46100000000001</v>
      </c>
      <c r="E673" s="57">
        <v>376.065</v>
      </c>
      <c r="F673" s="57">
        <v>361.95400000000001</v>
      </c>
      <c r="G673" s="57">
        <v>352.58499999999998</v>
      </c>
      <c r="H673" s="57">
        <v>335.64800000000002</v>
      </c>
      <c r="I673" s="57">
        <v>319.303</v>
      </c>
      <c r="J673" s="57">
        <v>304.512</v>
      </c>
      <c r="K673" s="57">
        <v>271.55900000000003</v>
      </c>
      <c r="L673" s="57">
        <v>235.95599999999999</v>
      </c>
      <c r="M673" s="57">
        <v>211.101</v>
      </c>
      <c r="N673" s="57"/>
      <c r="O673" s="57"/>
      <c r="P673" s="57"/>
      <c r="Q673" s="57"/>
      <c r="R673" s="57"/>
      <c r="S673" s="57"/>
      <c r="T673" s="57"/>
    </row>
    <row r="674" spans="1:20">
      <c r="A674" s="55" t="s">
        <v>427</v>
      </c>
      <c r="B674" s="55" t="s">
        <v>344</v>
      </c>
      <c r="C674" s="57">
        <v>77.277000000000001</v>
      </c>
      <c r="D674" s="57">
        <v>80.942999999999998</v>
      </c>
      <c r="E674" s="57">
        <v>85.135000000000005</v>
      </c>
      <c r="F674" s="57">
        <v>86.864999999999995</v>
      </c>
      <c r="G674" s="57">
        <v>87.614000000000004</v>
      </c>
      <c r="H674" s="57">
        <v>88.021000000000001</v>
      </c>
      <c r="I674" s="57">
        <v>88.683000000000007</v>
      </c>
      <c r="J674" s="57">
        <v>90.176000000000002</v>
      </c>
      <c r="K674" s="57">
        <v>92.765000000000001</v>
      </c>
      <c r="L674" s="57">
        <v>93.406999999999996</v>
      </c>
      <c r="M674" s="57">
        <v>93.626000000000005</v>
      </c>
      <c r="N674" s="57"/>
      <c r="O674" s="57"/>
      <c r="P674" s="57"/>
      <c r="Q674" s="57"/>
      <c r="R674" s="57"/>
      <c r="S674" s="57"/>
      <c r="T674" s="57"/>
    </row>
    <row r="675" spans="1:20">
      <c r="A675" s="55" t="s">
        <v>427</v>
      </c>
      <c r="B675" s="55" t="s">
        <v>345</v>
      </c>
      <c r="C675" s="57">
        <v>85.08</v>
      </c>
      <c r="D675" s="57">
        <v>86.537999999999997</v>
      </c>
      <c r="E675" s="57">
        <v>88.936999999999998</v>
      </c>
      <c r="F675" s="57">
        <v>90.472999999999999</v>
      </c>
      <c r="G675" s="57">
        <v>92.981999999999999</v>
      </c>
      <c r="H675" s="57">
        <v>95.159000000000006</v>
      </c>
      <c r="I675" s="57">
        <v>97.23</v>
      </c>
      <c r="J675" s="57">
        <v>99.462000000000003</v>
      </c>
      <c r="K675" s="57">
        <v>100.639</v>
      </c>
      <c r="L675" s="57">
        <v>101.527</v>
      </c>
      <c r="M675" s="57">
        <v>100.967</v>
      </c>
      <c r="N675" s="57"/>
      <c r="O675" s="57"/>
      <c r="P675" s="57"/>
      <c r="Q675" s="57"/>
      <c r="R675" s="57"/>
      <c r="S675" s="57"/>
      <c r="T675" s="57"/>
    </row>
    <row r="676" spans="1:20">
      <c r="A676" s="55" t="s">
        <v>427</v>
      </c>
      <c r="B676" s="55" t="s">
        <v>346</v>
      </c>
      <c r="C676" s="57">
        <v>65.909000000000006</v>
      </c>
      <c r="D676" s="57">
        <v>66.364999999999995</v>
      </c>
      <c r="E676" s="57">
        <v>68.593000000000004</v>
      </c>
      <c r="F676" s="57">
        <v>71.263999999999996</v>
      </c>
      <c r="G676" s="57">
        <v>73.947999999999993</v>
      </c>
      <c r="H676" s="57">
        <v>76.578999999999994</v>
      </c>
      <c r="I676" s="57">
        <v>78.188999999999993</v>
      </c>
      <c r="J676" s="57">
        <v>79.867000000000004</v>
      </c>
      <c r="K676" s="57">
        <v>81.953000000000003</v>
      </c>
      <c r="L676" s="57">
        <v>83.293999999999997</v>
      </c>
      <c r="M676" s="57">
        <v>84.070999999999998</v>
      </c>
      <c r="N676" s="57"/>
      <c r="O676" s="57"/>
      <c r="P676" s="57"/>
      <c r="Q676" s="57"/>
      <c r="R676" s="57"/>
      <c r="S676" s="57"/>
      <c r="T676" s="57"/>
    </row>
    <row r="677" spans="1:20">
      <c r="A677" s="55" t="s">
        <v>427</v>
      </c>
      <c r="B677" s="55" t="s">
        <v>347</v>
      </c>
      <c r="C677" s="57">
        <v>67.94</v>
      </c>
      <c r="D677" s="57">
        <v>71.097999999999999</v>
      </c>
      <c r="E677" s="57">
        <v>73.813000000000002</v>
      </c>
      <c r="F677" s="57">
        <v>75.899000000000001</v>
      </c>
      <c r="G677" s="57">
        <v>77.600999999999999</v>
      </c>
      <c r="H677" s="57">
        <v>78.697999999999993</v>
      </c>
      <c r="I677" s="57">
        <v>80.417000000000002</v>
      </c>
      <c r="J677" s="57">
        <v>82.894000000000005</v>
      </c>
      <c r="K677" s="57">
        <v>85.302000000000007</v>
      </c>
      <c r="L677" s="57">
        <v>87.191999999999993</v>
      </c>
      <c r="M677" s="57">
        <v>88.296999999999997</v>
      </c>
      <c r="N677" s="57"/>
      <c r="O677" s="57"/>
      <c r="P677" s="57"/>
      <c r="Q677" s="57"/>
      <c r="R677" s="57"/>
      <c r="S677" s="57"/>
      <c r="T677" s="57"/>
    </row>
    <row r="678" spans="1:20">
      <c r="A678" s="55" t="s">
        <v>427</v>
      </c>
      <c r="B678" s="55" t="s">
        <v>348</v>
      </c>
      <c r="C678" s="57">
        <v>72.912000000000006</v>
      </c>
      <c r="D678" s="57">
        <v>75.031999999999996</v>
      </c>
      <c r="E678" s="57">
        <v>77.679000000000002</v>
      </c>
      <c r="F678" s="57">
        <v>80.138999999999996</v>
      </c>
      <c r="G678" s="57">
        <v>82.212000000000003</v>
      </c>
      <c r="H678" s="57">
        <v>84.168999999999997</v>
      </c>
      <c r="I678" s="57">
        <v>86.031000000000006</v>
      </c>
      <c r="J678" s="57">
        <v>87.531000000000006</v>
      </c>
      <c r="K678" s="57">
        <v>88.986999999999995</v>
      </c>
      <c r="L678" s="57">
        <v>90.314999999999998</v>
      </c>
      <c r="M678" s="57">
        <v>90.977000000000004</v>
      </c>
      <c r="N678" s="57"/>
      <c r="O678" s="57"/>
      <c r="P678" s="57"/>
      <c r="Q678" s="57"/>
      <c r="R678" s="57"/>
      <c r="S678" s="57"/>
      <c r="T678" s="57"/>
    </row>
    <row r="679" spans="1:20">
      <c r="A679" s="55" t="s">
        <v>427</v>
      </c>
      <c r="B679" s="55" t="s">
        <v>349</v>
      </c>
      <c r="C679" s="57">
        <v>60.465000000000003</v>
      </c>
      <c r="D679" s="57">
        <v>63.35</v>
      </c>
      <c r="E679" s="57">
        <v>66.847999999999999</v>
      </c>
      <c r="F679" s="57">
        <v>69.724999999999994</v>
      </c>
      <c r="G679" s="57">
        <v>69.551000000000002</v>
      </c>
      <c r="H679" s="57">
        <v>69.676000000000002</v>
      </c>
      <c r="I679" s="57">
        <v>70.102000000000004</v>
      </c>
      <c r="J679" s="57">
        <v>70.691000000000003</v>
      </c>
      <c r="K679" s="57">
        <v>74.56</v>
      </c>
      <c r="L679" s="57">
        <v>76.328999999999994</v>
      </c>
      <c r="M679" s="57">
        <v>76.308000000000007</v>
      </c>
      <c r="N679" s="57"/>
      <c r="O679" s="57"/>
      <c r="P679" s="57"/>
      <c r="Q679" s="57"/>
      <c r="R679" s="57"/>
      <c r="S679" s="57"/>
      <c r="T679" s="57"/>
    </row>
    <row r="680" spans="1:20">
      <c r="A680" s="55" t="s">
        <v>427</v>
      </c>
      <c r="B680" s="55" t="s">
        <v>350</v>
      </c>
      <c r="C680" s="57">
        <v>67.119</v>
      </c>
      <c r="D680" s="57">
        <v>70.257999999999996</v>
      </c>
      <c r="E680" s="57">
        <v>74.144000000000005</v>
      </c>
      <c r="F680" s="57">
        <v>77.019000000000005</v>
      </c>
      <c r="G680" s="57">
        <v>77.768000000000001</v>
      </c>
      <c r="H680" s="57">
        <v>78.537999999999997</v>
      </c>
      <c r="I680" s="57">
        <v>79.302000000000007</v>
      </c>
      <c r="J680" s="57">
        <v>79.328000000000003</v>
      </c>
      <c r="K680" s="57">
        <v>80.266000000000005</v>
      </c>
      <c r="L680" s="57">
        <v>84.063999999999993</v>
      </c>
      <c r="M680" s="57">
        <v>84.751999999999995</v>
      </c>
      <c r="N680" s="57"/>
      <c r="O680" s="57"/>
      <c r="P680" s="57"/>
      <c r="Q680" s="57"/>
      <c r="R680" s="57"/>
      <c r="S680" s="57"/>
      <c r="T680" s="57"/>
    </row>
    <row r="681" spans="1:20">
      <c r="A681" s="55" t="s">
        <v>427</v>
      </c>
      <c r="B681" s="55" t="s">
        <v>351</v>
      </c>
      <c r="C681" s="57">
        <v>84.796999999999997</v>
      </c>
      <c r="D681" s="57">
        <v>88.168999999999997</v>
      </c>
      <c r="E681" s="57">
        <v>90.003</v>
      </c>
      <c r="F681" s="57">
        <v>91.971000000000004</v>
      </c>
      <c r="G681" s="57">
        <v>92.775999999999996</v>
      </c>
      <c r="H681" s="57">
        <v>93.474999999999994</v>
      </c>
      <c r="I681" s="57">
        <v>93.228999999999999</v>
      </c>
      <c r="J681" s="57">
        <v>93.213999999999999</v>
      </c>
      <c r="K681" s="57">
        <v>95.769000000000005</v>
      </c>
      <c r="L681" s="57">
        <v>97.265000000000001</v>
      </c>
      <c r="M681" s="57">
        <v>97.768000000000001</v>
      </c>
      <c r="N681" s="57"/>
      <c r="O681" s="57"/>
      <c r="P681" s="57"/>
      <c r="Q681" s="57"/>
      <c r="R681" s="57"/>
      <c r="S681" s="57"/>
      <c r="T681" s="57"/>
    </row>
    <row r="682" spans="1:20">
      <c r="A682" s="55" t="s">
        <v>427</v>
      </c>
      <c r="B682" s="55" t="s">
        <v>352</v>
      </c>
      <c r="C682" s="57">
        <v>82.247</v>
      </c>
      <c r="D682" s="57">
        <v>85.17</v>
      </c>
      <c r="E682" s="57">
        <v>87.459000000000003</v>
      </c>
      <c r="F682" s="57">
        <v>90.072000000000003</v>
      </c>
      <c r="G682" s="57">
        <v>91.774000000000001</v>
      </c>
      <c r="H682" s="57">
        <v>93.378</v>
      </c>
      <c r="I682" s="57">
        <v>94.436000000000007</v>
      </c>
      <c r="J682" s="57">
        <v>95.19</v>
      </c>
      <c r="K682" s="57">
        <v>96.353999999999999</v>
      </c>
      <c r="L682" s="57">
        <v>97.495999999999995</v>
      </c>
      <c r="M682" s="57">
        <v>98.447999999999993</v>
      </c>
      <c r="N682" s="57"/>
      <c r="O682" s="57"/>
      <c r="P682" s="57"/>
      <c r="Q682" s="57"/>
      <c r="R682" s="57"/>
      <c r="S682" s="57"/>
      <c r="T682" s="57"/>
    </row>
    <row r="683" spans="1:20">
      <c r="A683" s="55" t="s">
        <v>427</v>
      </c>
      <c r="B683" s="55" t="s">
        <v>353</v>
      </c>
      <c r="C683" s="57">
        <v>68.016000000000005</v>
      </c>
      <c r="D683" s="57">
        <v>74.274000000000001</v>
      </c>
      <c r="E683" s="57">
        <v>78.61</v>
      </c>
      <c r="F683" s="57">
        <v>78.632000000000005</v>
      </c>
      <c r="G683" s="57">
        <v>76.930999999999997</v>
      </c>
      <c r="H683" s="57">
        <v>75.781999999999996</v>
      </c>
      <c r="I683" s="57">
        <v>75.221999999999994</v>
      </c>
      <c r="J683" s="57">
        <v>77.197000000000003</v>
      </c>
      <c r="K683" s="57">
        <v>94.474000000000004</v>
      </c>
      <c r="L683" s="57">
        <v>88.736000000000004</v>
      </c>
      <c r="M683" s="57">
        <v>85.186000000000007</v>
      </c>
      <c r="N683" s="57"/>
      <c r="O683" s="57"/>
      <c r="P683" s="57"/>
      <c r="Q683" s="57"/>
      <c r="R683" s="57"/>
      <c r="S683" s="57"/>
      <c r="T683" s="57"/>
    </row>
    <row r="684" spans="1:20">
      <c r="A684" s="55" t="s">
        <v>427</v>
      </c>
      <c r="B684" s="55" t="s">
        <v>354</v>
      </c>
      <c r="C684" s="57">
        <v>72.525999999999996</v>
      </c>
      <c r="D684" s="57">
        <v>75.183999999999997</v>
      </c>
      <c r="E684" s="57">
        <v>78.448999999999998</v>
      </c>
      <c r="F684" s="57">
        <v>80.159000000000006</v>
      </c>
      <c r="G684" s="57">
        <v>81.313999999999993</v>
      </c>
      <c r="H684" s="57">
        <v>82.003</v>
      </c>
      <c r="I684" s="57">
        <v>84.215999999999994</v>
      </c>
      <c r="J684" s="57">
        <v>85.447000000000003</v>
      </c>
      <c r="K684" s="57">
        <v>91.155000000000001</v>
      </c>
      <c r="L684" s="57">
        <v>93.296999999999997</v>
      </c>
      <c r="M684" s="57">
        <v>93.418999999999997</v>
      </c>
      <c r="N684" s="57"/>
      <c r="O684" s="57"/>
      <c r="P684" s="57"/>
      <c r="Q684" s="57"/>
      <c r="R684" s="57"/>
      <c r="S684" s="57"/>
      <c r="T684" s="57"/>
    </row>
    <row r="685" spans="1:20">
      <c r="A685" s="55" t="s">
        <v>427</v>
      </c>
      <c r="B685" s="55" t="s">
        <v>355</v>
      </c>
      <c r="C685" s="57">
        <v>35.877000000000002</v>
      </c>
      <c r="D685" s="57">
        <v>34.521999999999998</v>
      </c>
      <c r="E685" s="57">
        <v>38.591999999999999</v>
      </c>
      <c r="F685" s="57">
        <v>46.603000000000002</v>
      </c>
      <c r="G685" s="57">
        <v>42.079000000000001</v>
      </c>
      <c r="H685" s="57">
        <v>40.622999999999998</v>
      </c>
      <c r="I685" s="57">
        <v>39.192999999999998</v>
      </c>
      <c r="J685" s="57">
        <v>37.926000000000002</v>
      </c>
      <c r="K685" s="57">
        <v>39.259</v>
      </c>
      <c r="L685" s="57">
        <v>44.351999999999997</v>
      </c>
      <c r="M685" s="57">
        <v>43.521000000000001</v>
      </c>
      <c r="N685" s="57"/>
      <c r="O685" s="57"/>
      <c r="P685" s="57"/>
      <c r="Q685" s="57"/>
      <c r="R685" s="57"/>
      <c r="S685" s="57"/>
      <c r="T685" s="57"/>
    </row>
    <row r="686" spans="1:20">
      <c r="A686" s="55" t="s">
        <v>427</v>
      </c>
      <c r="B686" s="55" t="s">
        <v>356</v>
      </c>
      <c r="C686" s="57">
        <v>56.313000000000002</v>
      </c>
      <c r="D686" s="57">
        <v>60.942</v>
      </c>
      <c r="E686" s="57">
        <v>64.346000000000004</v>
      </c>
      <c r="F686" s="57">
        <v>65.298000000000002</v>
      </c>
      <c r="G686" s="57">
        <v>67.052999999999997</v>
      </c>
      <c r="H686" s="57">
        <v>67.808000000000007</v>
      </c>
      <c r="I686" s="57">
        <v>69.183000000000007</v>
      </c>
      <c r="J686" s="57">
        <v>71.191000000000003</v>
      </c>
      <c r="K686" s="57">
        <v>75.995000000000005</v>
      </c>
      <c r="L686" s="57">
        <v>76.269000000000005</v>
      </c>
      <c r="M686" s="57">
        <v>77.05</v>
      </c>
      <c r="N686" s="57"/>
      <c r="O686" s="57"/>
      <c r="P686" s="57"/>
      <c r="Q686" s="57"/>
      <c r="R686" s="57"/>
      <c r="S686" s="57"/>
      <c r="T686" s="57"/>
    </row>
    <row r="687" spans="1:20">
      <c r="A687" s="55" t="s">
        <v>427</v>
      </c>
      <c r="B687" s="55" t="s">
        <v>357</v>
      </c>
      <c r="C687" s="57">
        <v>74.668999999999997</v>
      </c>
      <c r="D687" s="57">
        <v>78.727000000000004</v>
      </c>
      <c r="E687" s="57">
        <v>80.367000000000004</v>
      </c>
      <c r="F687" s="57">
        <v>80.843999999999994</v>
      </c>
      <c r="G687" s="57">
        <v>81.503</v>
      </c>
      <c r="H687" s="57">
        <v>81.06</v>
      </c>
      <c r="I687" s="57">
        <v>81.786000000000001</v>
      </c>
      <c r="J687" s="57">
        <v>82.929000000000002</v>
      </c>
      <c r="K687" s="57">
        <v>87.593000000000004</v>
      </c>
      <c r="L687" s="57">
        <v>87.119</v>
      </c>
      <c r="M687" s="57">
        <v>86.843999999999994</v>
      </c>
      <c r="N687" s="57"/>
      <c r="O687" s="57"/>
      <c r="P687" s="57"/>
      <c r="Q687" s="57"/>
      <c r="R687" s="57"/>
      <c r="S687" s="57"/>
      <c r="T687" s="57"/>
    </row>
    <row r="688" spans="1:20">
      <c r="A688" s="55" t="s">
        <v>427</v>
      </c>
      <c r="B688" s="55" t="s">
        <v>358</v>
      </c>
      <c r="C688" s="57">
        <v>90</v>
      </c>
      <c r="D688" s="57">
        <v>93.753</v>
      </c>
      <c r="E688" s="57">
        <v>95.977000000000004</v>
      </c>
      <c r="F688" s="57">
        <v>100.40900000000001</v>
      </c>
      <c r="G688" s="57">
        <v>101.265</v>
      </c>
      <c r="H688" s="57">
        <v>98.962000000000003</v>
      </c>
      <c r="I688" s="57">
        <v>101.494</v>
      </c>
      <c r="J688" s="57">
        <v>104.83499999999999</v>
      </c>
      <c r="K688" s="57">
        <v>108.71299999999999</v>
      </c>
      <c r="L688" s="57">
        <v>107.494</v>
      </c>
      <c r="M688" s="57">
        <v>104.791</v>
      </c>
      <c r="N688" s="57"/>
      <c r="O688" s="57"/>
      <c r="P688" s="57"/>
      <c r="Q688" s="57"/>
      <c r="R688" s="57"/>
      <c r="S688" s="57"/>
      <c r="T688" s="57"/>
    </row>
    <row r="689" spans="1:20">
      <c r="A689" s="55" t="s">
        <v>427</v>
      </c>
      <c r="B689" s="55" t="s">
        <v>359</v>
      </c>
      <c r="C689" s="57">
        <v>81.025000000000006</v>
      </c>
      <c r="D689" s="57">
        <v>79.951999999999998</v>
      </c>
      <c r="E689" s="57">
        <v>82.02</v>
      </c>
      <c r="F689" s="57">
        <v>83.484999999999999</v>
      </c>
      <c r="G689" s="57">
        <v>85.48</v>
      </c>
      <c r="H689" s="57">
        <v>86.233999999999995</v>
      </c>
      <c r="I689" s="57">
        <v>88.421999999999997</v>
      </c>
      <c r="J689" s="57">
        <v>89.584000000000003</v>
      </c>
      <c r="K689" s="57">
        <v>90.54</v>
      </c>
      <c r="L689" s="57">
        <v>89.218000000000004</v>
      </c>
      <c r="M689" s="57">
        <v>88.13</v>
      </c>
      <c r="N689" s="57"/>
      <c r="O689" s="57"/>
      <c r="P689" s="57"/>
      <c r="Q689" s="57"/>
      <c r="R689" s="57"/>
      <c r="S689" s="57"/>
      <c r="T689" s="57"/>
    </row>
    <row r="690" spans="1:20">
      <c r="A690" s="55" t="s">
        <v>427</v>
      </c>
      <c r="B690" s="55" t="s">
        <v>360</v>
      </c>
      <c r="C690" s="57">
        <v>70.227999999999994</v>
      </c>
      <c r="D690" s="57">
        <v>71.676000000000002</v>
      </c>
      <c r="E690" s="57">
        <v>72.942999999999998</v>
      </c>
      <c r="F690" s="57">
        <v>74.787999999999997</v>
      </c>
      <c r="G690" s="57">
        <v>75.251000000000005</v>
      </c>
      <c r="H690" s="57">
        <v>75.331000000000003</v>
      </c>
      <c r="I690" s="57">
        <v>76.817999999999998</v>
      </c>
      <c r="J690" s="57">
        <v>77.308000000000007</v>
      </c>
      <c r="K690" s="57">
        <v>78.504000000000005</v>
      </c>
      <c r="L690" s="57">
        <v>79.09</v>
      </c>
      <c r="M690" s="57">
        <v>80.822999999999993</v>
      </c>
      <c r="N690" s="57"/>
      <c r="O690" s="57"/>
      <c r="P690" s="57"/>
      <c r="Q690" s="57"/>
      <c r="R690" s="57"/>
      <c r="S690" s="57"/>
      <c r="T690" s="57"/>
    </row>
    <row r="691" spans="1:20">
      <c r="A691" s="55" t="s">
        <v>427</v>
      </c>
      <c r="B691" s="55" t="s">
        <v>361</v>
      </c>
      <c r="C691" s="57">
        <v>78.986999999999995</v>
      </c>
      <c r="D691" s="57">
        <v>83.403999999999996</v>
      </c>
      <c r="E691" s="57">
        <v>83.545000000000002</v>
      </c>
      <c r="F691" s="57">
        <v>83.834999999999994</v>
      </c>
      <c r="G691" s="57">
        <v>87.024000000000001</v>
      </c>
      <c r="H691" s="57">
        <v>85.691000000000003</v>
      </c>
      <c r="I691" s="57">
        <v>88.921000000000006</v>
      </c>
      <c r="J691" s="57">
        <v>87.320999999999998</v>
      </c>
      <c r="K691" s="57">
        <v>88.12</v>
      </c>
      <c r="L691" s="57">
        <v>86.25</v>
      </c>
      <c r="M691" s="57">
        <v>89.141999999999996</v>
      </c>
      <c r="N691" s="57"/>
      <c r="O691" s="57"/>
      <c r="P691" s="57"/>
      <c r="Q691" s="57"/>
      <c r="R691" s="57"/>
      <c r="S691" s="57"/>
      <c r="T691" s="57"/>
    </row>
    <row r="692" spans="1:20">
      <c r="A692" s="55" t="s">
        <v>427</v>
      </c>
      <c r="B692" s="55" t="s">
        <v>362</v>
      </c>
      <c r="C692" s="57">
        <v>81.882000000000005</v>
      </c>
      <c r="D692" s="57">
        <v>81.843999999999994</v>
      </c>
      <c r="E692" s="57">
        <v>80.754999999999995</v>
      </c>
      <c r="F692" s="57">
        <v>80.521000000000001</v>
      </c>
      <c r="G692" s="57">
        <v>78.784999999999997</v>
      </c>
      <c r="H692" s="57">
        <v>78.311000000000007</v>
      </c>
      <c r="I692" s="57">
        <v>79.105000000000004</v>
      </c>
      <c r="J692" s="57">
        <v>79.796999999999997</v>
      </c>
      <c r="K692" s="57">
        <v>79.748000000000005</v>
      </c>
      <c r="L692" s="57">
        <v>79.694000000000003</v>
      </c>
      <c r="M692" s="57">
        <v>80.241</v>
      </c>
      <c r="N692" s="57"/>
      <c r="O692" s="57"/>
      <c r="P692" s="57"/>
      <c r="Q692" s="57"/>
      <c r="R692" s="57"/>
      <c r="S692" s="57"/>
      <c r="T692" s="57"/>
    </row>
    <row r="693" spans="1:20">
      <c r="A693" s="55" t="s">
        <v>427</v>
      </c>
      <c r="B693" s="55" t="s">
        <v>363</v>
      </c>
      <c r="C693" s="57">
        <v>60.231000000000002</v>
      </c>
      <c r="D693" s="57">
        <v>62.048999999999999</v>
      </c>
      <c r="E693" s="57">
        <v>62.259</v>
      </c>
      <c r="F693" s="57">
        <v>62.679000000000002</v>
      </c>
      <c r="G693" s="57">
        <v>64.707999999999998</v>
      </c>
      <c r="H693" s="57">
        <v>64.147999999999996</v>
      </c>
      <c r="I693" s="57">
        <v>64.498000000000005</v>
      </c>
      <c r="J693" s="57">
        <v>64.691999999999993</v>
      </c>
      <c r="K693" s="57">
        <v>66.632999999999996</v>
      </c>
      <c r="L693" s="57">
        <v>67.085999999999999</v>
      </c>
      <c r="M693" s="57">
        <v>67.409000000000006</v>
      </c>
      <c r="N693" s="57"/>
      <c r="O693" s="57"/>
      <c r="P693" s="57"/>
      <c r="Q693" s="57"/>
      <c r="R693" s="57"/>
      <c r="S693" s="57"/>
      <c r="T693" s="57"/>
    </row>
    <row r="694" spans="1:20">
      <c r="A694" s="55" t="s">
        <v>427</v>
      </c>
      <c r="B694" s="55" t="s">
        <v>364</v>
      </c>
      <c r="C694" s="57">
        <v>67.911000000000001</v>
      </c>
      <c r="D694" s="57">
        <v>68.090999999999994</v>
      </c>
      <c r="E694" s="57">
        <v>70.581999999999994</v>
      </c>
      <c r="F694" s="57">
        <v>73.756</v>
      </c>
      <c r="G694" s="57">
        <v>72.531999999999996</v>
      </c>
      <c r="H694" s="57">
        <v>72.459000000000003</v>
      </c>
      <c r="I694" s="57">
        <v>73.591999999999999</v>
      </c>
      <c r="J694" s="57">
        <v>74.590999999999994</v>
      </c>
      <c r="K694" s="57">
        <v>75.843000000000004</v>
      </c>
      <c r="L694" s="57">
        <v>76.284999999999997</v>
      </c>
      <c r="M694" s="57">
        <v>78.150999999999996</v>
      </c>
      <c r="N694" s="57"/>
      <c r="O694" s="57"/>
      <c r="P694" s="57"/>
      <c r="Q694" s="57"/>
      <c r="R694" s="57"/>
      <c r="S694" s="57"/>
      <c r="T694" s="57"/>
    </row>
    <row r="695" spans="1:20">
      <c r="A695" s="55" t="s">
        <v>427</v>
      </c>
      <c r="B695" s="55" t="s">
        <v>365</v>
      </c>
      <c r="C695" s="57">
        <v>59.414999999999999</v>
      </c>
      <c r="D695" s="57">
        <v>63.615000000000002</v>
      </c>
      <c r="E695" s="57">
        <v>63.720999999999997</v>
      </c>
      <c r="F695" s="57">
        <v>66.120999999999995</v>
      </c>
      <c r="G695" s="57">
        <v>70.540000000000006</v>
      </c>
      <c r="H695" s="57">
        <v>72.954999999999998</v>
      </c>
      <c r="I695" s="57">
        <v>72.977000000000004</v>
      </c>
      <c r="J695" s="57">
        <v>72.840999999999994</v>
      </c>
      <c r="K695" s="57">
        <v>75.137</v>
      </c>
      <c r="L695" s="57">
        <v>78.980999999999995</v>
      </c>
      <c r="M695" s="57">
        <v>79.465999999999994</v>
      </c>
      <c r="N695" s="57"/>
      <c r="O695" s="57"/>
      <c r="P695" s="57"/>
      <c r="Q695" s="57"/>
      <c r="R695" s="57"/>
      <c r="S695" s="57"/>
      <c r="T695" s="57"/>
    </row>
    <row r="696" spans="1:20">
      <c r="A696" s="55" t="s">
        <v>427</v>
      </c>
      <c r="B696" s="55" t="s">
        <v>366</v>
      </c>
      <c r="C696" s="57">
        <v>75.686000000000007</v>
      </c>
      <c r="D696" s="57">
        <v>74.36</v>
      </c>
      <c r="E696" s="57">
        <v>75.31</v>
      </c>
      <c r="F696" s="57">
        <v>76.212000000000003</v>
      </c>
      <c r="G696" s="57">
        <v>74.828999999999994</v>
      </c>
      <c r="H696" s="57">
        <v>76.444000000000003</v>
      </c>
      <c r="I696" s="57">
        <v>79.808000000000007</v>
      </c>
      <c r="J696" s="57">
        <v>81.998000000000005</v>
      </c>
      <c r="K696" s="57">
        <v>79.709999999999994</v>
      </c>
      <c r="L696" s="57">
        <v>85.241</v>
      </c>
      <c r="M696" s="57">
        <v>87.813999999999993</v>
      </c>
      <c r="N696" s="57"/>
      <c r="O696" s="57"/>
      <c r="P696" s="57"/>
      <c r="Q696" s="57"/>
      <c r="R696" s="57"/>
      <c r="S696" s="57"/>
      <c r="T696" s="57"/>
    </row>
    <row r="697" spans="1:20">
      <c r="A697" s="55" t="s">
        <v>427</v>
      </c>
      <c r="B697" s="55" t="s">
        <v>367</v>
      </c>
      <c r="C697" s="57">
        <v>62.713999999999999</v>
      </c>
      <c r="D697" s="57">
        <v>63.76</v>
      </c>
      <c r="E697" s="57">
        <v>66.037000000000006</v>
      </c>
      <c r="F697" s="57">
        <v>68.713999999999999</v>
      </c>
      <c r="G697" s="57">
        <v>69.385000000000005</v>
      </c>
      <c r="H697" s="57">
        <v>70.622</v>
      </c>
      <c r="I697" s="57">
        <v>71.551000000000002</v>
      </c>
      <c r="J697" s="57">
        <v>73.040999999999997</v>
      </c>
      <c r="K697" s="57">
        <v>75.572999999999993</v>
      </c>
      <c r="L697" s="57">
        <v>77.397000000000006</v>
      </c>
      <c r="M697" s="57">
        <v>78.980999999999995</v>
      </c>
      <c r="N697" s="57"/>
      <c r="O697" s="57"/>
      <c r="P697" s="57"/>
      <c r="Q697" s="57"/>
      <c r="R697" s="57"/>
      <c r="S697" s="57"/>
      <c r="T697" s="57"/>
    </row>
    <row r="698" spans="1:20">
      <c r="A698" s="55" t="s">
        <v>427</v>
      </c>
      <c r="B698" s="55" t="s">
        <v>368</v>
      </c>
      <c r="C698" s="57">
        <v>75.444999999999993</v>
      </c>
      <c r="D698" s="57">
        <v>75.644999999999996</v>
      </c>
      <c r="E698" s="57">
        <v>78.411000000000001</v>
      </c>
      <c r="F698" s="57">
        <v>81.936999999999998</v>
      </c>
      <c r="G698" s="57">
        <v>80.576999999999998</v>
      </c>
      <c r="H698" s="57">
        <v>80.497</v>
      </c>
      <c r="I698" s="57">
        <v>81.756</v>
      </c>
      <c r="J698" s="57">
        <v>82.289000000000001</v>
      </c>
      <c r="K698" s="57">
        <v>83.67</v>
      </c>
      <c r="L698" s="57">
        <v>84.156999999999996</v>
      </c>
      <c r="M698" s="57">
        <v>84.968999999999994</v>
      </c>
      <c r="N698" s="57"/>
      <c r="O698" s="57"/>
      <c r="P698" s="57"/>
      <c r="Q698" s="57"/>
      <c r="R698" s="57"/>
      <c r="S698" s="57"/>
      <c r="T698" s="57"/>
    </row>
    <row r="699" spans="1:20">
      <c r="A699" s="55" t="s">
        <v>427</v>
      </c>
      <c r="B699" s="55" t="s">
        <v>369</v>
      </c>
      <c r="C699" s="57">
        <v>84.39</v>
      </c>
      <c r="D699" s="57">
        <v>85.962999999999994</v>
      </c>
      <c r="E699" s="57">
        <v>87.665999999999997</v>
      </c>
      <c r="F699" s="57">
        <v>89.951999999999998</v>
      </c>
      <c r="G699" s="57">
        <v>92.197999999999993</v>
      </c>
      <c r="H699" s="57">
        <v>93.191000000000003</v>
      </c>
      <c r="I699" s="57">
        <v>94.701999999999998</v>
      </c>
      <c r="J699" s="57">
        <v>96.33</v>
      </c>
      <c r="K699" s="57">
        <v>97.724999999999994</v>
      </c>
      <c r="L699" s="57">
        <v>99.165000000000006</v>
      </c>
      <c r="M699" s="57">
        <v>100.122</v>
      </c>
      <c r="N699" s="57"/>
      <c r="O699" s="57"/>
      <c r="P699" s="57"/>
      <c r="Q699" s="57"/>
      <c r="R699" s="57"/>
      <c r="S699" s="57"/>
      <c r="T699" s="57"/>
    </row>
    <row r="700" spans="1:20">
      <c r="A700" s="55" t="s">
        <v>427</v>
      </c>
      <c r="B700" s="55" t="s">
        <v>370</v>
      </c>
      <c r="C700" s="57">
        <v>76.400999999999996</v>
      </c>
      <c r="D700" s="57">
        <v>79.218000000000004</v>
      </c>
      <c r="E700" s="57">
        <v>80.98</v>
      </c>
      <c r="F700" s="57">
        <v>83.111999999999995</v>
      </c>
      <c r="G700" s="57">
        <v>86.433999999999997</v>
      </c>
      <c r="H700" s="57">
        <v>86.096000000000004</v>
      </c>
      <c r="I700" s="57">
        <v>87.494</v>
      </c>
      <c r="J700" s="57">
        <v>87.834999999999994</v>
      </c>
      <c r="K700" s="57">
        <v>89.474999999999994</v>
      </c>
      <c r="L700" s="57">
        <v>90.878</v>
      </c>
      <c r="M700" s="57">
        <v>90.325999999999993</v>
      </c>
      <c r="N700" s="57"/>
      <c r="O700" s="57"/>
      <c r="P700" s="57"/>
      <c r="Q700" s="57"/>
      <c r="R700" s="57"/>
      <c r="S700" s="57"/>
      <c r="T700" s="57"/>
    </row>
    <row r="701" spans="1:20">
      <c r="A701" s="55" t="s">
        <v>427</v>
      </c>
      <c r="B701" s="55" t="s">
        <v>371</v>
      </c>
      <c r="C701" s="57">
        <v>53.570999999999998</v>
      </c>
      <c r="D701" s="57">
        <v>55.951000000000001</v>
      </c>
      <c r="E701" s="57">
        <v>59.482999999999997</v>
      </c>
      <c r="F701" s="57">
        <v>62.924999999999997</v>
      </c>
      <c r="G701" s="57">
        <v>66.031000000000006</v>
      </c>
      <c r="H701" s="57">
        <v>67.100999999999999</v>
      </c>
      <c r="I701" s="57">
        <v>68.259</v>
      </c>
      <c r="J701" s="57">
        <v>70.442999999999998</v>
      </c>
      <c r="K701" s="57">
        <v>72.906000000000006</v>
      </c>
      <c r="L701" s="57">
        <v>76.212999999999994</v>
      </c>
      <c r="M701" s="57">
        <v>78.671000000000006</v>
      </c>
      <c r="N701" s="57"/>
      <c r="O701" s="57"/>
      <c r="P701" s="57"/>
      <c r="Q701" s="57"/>
      <c r="R701" s="57"/>
      <c r="S701" s="57"/>
      <c r="T701" s="57"/>
    </row>
    <row r="702" spans="1:20">
      <c r="A702" s="55" t="s">
        <v>427</v>
      </c>
      <c r="B702" s="55" t="s">
        <v>372</v>
      </c>
      <c r="C702" s="57">
        <v>99.34</v>
      </c>
      <c r="D702" s="57">
        <v>99.906999999999996</v>
      </c>
      <c r="E702" s="57">
        <v>100.935</v>
      </c>
      <c r="F702" s="57">
        <v>102.78100000000001</v>
      </c>
      <c r="G702" s="57">
        <v>104.114</v>
      </c>
      <c r="H702" s="57">
        <v>105.01600000000001</v>
      </c>
      <c r="I702" s="57">
        <v>106.47</v>
      </c>
      <c r="J702" s="57">
        <v>108.474</v>
      </c>
      <c r="K702" s="57">
        <v>108.85299999999999</v>
      </c>
      <c r="L702" s="57">
        <v>109.059</v>
      </c>
      <c r="M702" s="57">
        <v>110.218</v>
      </c>
      <c r="N702" s="57"/>
      <c r="O702" s="57"/>
      <c r="P702" s="57"/>
      <c r="Q702" s="57"/>
      <c r="R702" s="57"/>
      <c r="S702" s="57"/>
      <c r="T702" s="57"/>
    </row>
    <row r="703" spans="1:20">
      <c r="A703" s="55" t="s">
        <v>427</v>
      </c>
      <c r="B703" s="55" t="s">
        <v>373</v>
      </c>
      <c r="C703" s="57">
        <v>60.223999999999997</v>
      </c>
      <c r="D703" s="57">
        <v>61.731000000000002</v>
      </c>
      <c r="E703" s="57">
        <v>63.898000000000003</v>
      </c>
      <c r="F703" s="57">
        <v>67.084000000000003</v>
      </c>
      <c r="G703" s="57">
        <v>69.596000000000004</v>
      </c>
      <c r="H703" s="57">
        <v>75.811999999999998</v>
      </c>
      <c r="I703" s="57">
        <v>78.444000000000003</v>
      </c>
      <c r="J703" s="57">
        <v>80.790000000000006</v>
      </c>
      <c r="K703" s="57">
        <v>85.474999999999994</v>
      </c>
      <c r="L703" s="57">
        <v>91.986000000000004</v>
      </c>
      <c r="M703" s="57">
        <v>95.894999999999996</v>
      </c>
      <c r="N703" s="57"/>
      <c r="O703" s="57"/>
      <c r="P703" s="57"/>
      <c r="Q703" s="57"/>
      <c r="R703" s="57"/>
      <c r="S703" s="57"/>
      <c r="T703" s="57"/>
    </row>
    <row r="704" spans="1:20">
      <c r="A704" s="55" t="s">
        <v>427</v>
      </c>
      <c r="B704" s="55" t="s">
        <v>374</v>
      </c>
      <c r="C704" s="57">
        <v>59.712000000000003</v>
      </c>
      <c r="D704" s="57">
        <v>62.018999999999998</v>
      </c>
      <c r="E704" s="57">
        <v>64.760999999999996</v>
      </c>
      <c r="F704" s="57">
        <v>67.625</v>
      </c>
      <c r="G704" s="57">
        <v>70.328000000000003</v>
      </c>
      <c r="H704" s="57">
        <v>73.203999999999994</v>
      </c>
      <c r="I704" s="57">
        <v>75.152000000000001</v>
      </c>
      <c r="J704" s="57">
        <v>76.853999999999999</v>
      </c>
      <c r="K704" s="57">
        <v>79.662999999999997</v>
      </c>
      <c r="L704" s="57">
        <v>82.301000000000002</v>
      </c>
      <c r="M704" s="57">
        <v>84.89</v>
      </c>
      <c r="N704" s="57"/>
      <c r="O704" s="57"/>
      <c r="P704" s="57"/>
      <c r="Q704" s="57"/>
      <c r="R704" s="57"/>
      <c r="S704" s="57"/>
      <c r="T704" s="57"/>
    </row>
    <row r="705" spans="1:20">
      <c r="A705" s="55" t="s">
        <v>427</v>
      </c>
      <c r="B705" s="55" t="s">
        <v>375</v>
      </c>
      <c r="C705" s="57">
        <v>59.213999999999999</v>
      </c>
      <c r="D705" s="57">
        <v>61.42</v>
      </c>
      <c r="E705" s="57">
        <v>64.438999999999993</v>
      </c>
      <c r="F705" s="57">
        <v>67.313999999999993</v>
      </c>
      <c r="G705" s="57">
        <v>71.081999999999994</v>
      </c>
      <c r="H705" s="57">
        <v>76.034000000000006</v>
      </c>
      <c r="I705" s="57">
        <v>78.17</v>
      </c>
      <c r="J705" s="57">
        <v>79.805999999999997</v>
      </c>
      <c r="K705" s="57">
        <v>83.691000000000003</v>
      </c>
      <c r="L705" s="57">
        <v>87.245999999999995</v>
      </c>
      <c r="M705" s="57">
        <v>90.534000000000006</v>
      </c>
      <c r="N705" s="57"/>
      <c r="O705" s="57"/>
      <c r="P705" s="57"/>
      <c r="Q705" s="57"/>
      <c r="R705" s="57"/>
      <c r="S705" s="57"/>
      <c r="T705" s="57"/>
    </row>
    <row r="706" spans="1:20">
      <c r="A706" s="55" t="s">
        <v>427</v>
      </c>
      <c r="B706" s="55" t="s">
        <v>376</v>
      </c>
      <c r="C706" s="57">
        <v>52.84</v>
      </c>
      <c r="D706" s="57">
        <v>54.6</v>
      </c>
      <c r="E706" s="57">
        <v>55.643000000000001</v>
      </c>
      <c r="F706" s="57">
        <v>57.35</v>
      </c>
      <c r="G706" s="57">
        <v>62.005000000000003</v>
      </c>
      <c r="H706" s="57">
        <v>66.849999999999994</v>
      </c>
      <c r="I706" s="57">
        <v>67.486999999999995</v>
      </c>
      <c r="J706" s="57">
        <v>69.554000000000002</v>
      </c>
      <c r="K706" s="57">
        <v>73.260999999999996</v>
      </c>
      <c r="L706" s="57">
        <v>77.004000000000005</v>
      </c>
      <c r="M706" s="57">
        <v>81.888000000000005</v>
      </c>
      <c r="N706" s="57"/>
      <c r="O706" s="57"/>
      <c r="P706" s="57"/>
      <c r="Q706" s="57"/>
      <c r="R706" s="57"/>
      <c r="S706" s="57"/>
      <c r="T706" s="57"/>
    </row>
    <row r="707" spans="1:20">
      <c r="A707" s="55" t="s">
        <v>427</v>
      </c>
      <c r="B707" s="55" t="s">
        <v>377</v>
      </c>
      <c r="C707" s="57">
        <v>130.893</v>
      </c>
      <c r="D707" s="57">
        <v>129.68899999999999</v>
      </c>
      <c r="E707" s="57">
        <v>132.702</v>
      </c>
      <c r="F707" s="57">
        <v>134.357</v>
      </c>
      <c r="G707" s="57">
        <v>136.018</v>
      </c>
      <c r="H707" s="57">
        <v>144.88300000000001</v>
      </c>
      <c r="I707" s="57">
        <v>144.79300000000001</v>
      </c>
      <c r="J707" s="57">
        <v>135.90100000000001</v>
      </c>
      <c r="K707" s="57">
        <v>136.886</v>
      </c>
      <c r="L707" s="57">
        <v>136.572</v>
      </c>
      <c r="M707" s="57">
        <v>132.27600000000001</v>
      </c>
      <c r="N707" s="57"/>
      <c r="O707" s="57"/>
      <c r="P707" s="57"/>
      <c r="Q707" s="57"/>
      <c r="R707" s="57"/>
      <c r="S707" s="57"/>
      <c r="T707" s="57"/>
    </row>
    <row r="708" spans="1:20">
      <c r="A708" s="55" t="s">
        <v>427</v>
      </c>
      <c r="B708" s="55" t="s">
        <v>378</v>
      </c>
      <c r="C708" s="57">
        <v>43.042000000000002</v>
      </c>
      <c r="D708" s="57">
        <v>45.723999999999997</v>
      </c>
      <c r="E708" s="57">
        <v>49.996000000000002</v>
      </c>
      <c r="F708" s="57">
        <v>53.576000000000001</v>
      </c>
      <c r="G708" s="57">
        <v>56.170999999999999</v>
      </c>
      <c r="H708" s="57">
        <v>59.75</v>
      </c>
      <c r="I708" s="57">
        <v>63.329000000000001</v>
      </c>
      <c r="J708" s="57">
        <v>66.441999999999993</v>
      </c>
      <c r="K708" s="57">
        <v>70.682000000000002</v>
      </c>
      <c r="L708" s="57">
        <v>74.875</v>
      </c>
      <c r="M708" s="57">
        <v>79.003</v>
      </c>
      <c r="N708" s="57"/>
      <c r="O708" s="57"/>
      <c r="P708" s="57"/>
      <c r="Q708" s="57"/>
      <c r="R708" s="57"/>
      <c r="S708" s="57"/>
      <c r="T708" s="57"/>
    </row>
    <row r="709" spans="1:20">
      <c r="A709" s="55" t="s">
        <v>427</v>
      </c>
      <c r="B709" s="55" t="s">
        <v>379</v>
      </c>
      <c r="C709" s="57">
        <v>80.816000000000003</v>
      </c>
      <c r="D709" s="57">
        <v>81.052000000000007</v>
      </c>
      <c r="E709" s="57">
        <v>83.283000000000001</v>
      </c>
      <c r="F709" s="57">
        <v>85.006</v>
      </c>
      <c r="G709" s="57">
        <v>86.793999999999997</v>
      </c>
      <c r="H709" s="57">
        <v>92.043000000000006</v>
      </c>
      <c r="I709" s="57">
        <v>92.721000000000004</v>
      </c>
      <c r="J709" s="57">
        <v>89.012</v>
      </c>
      <c r="K709" s="57">
        <v>90.447999999999993</v>
      </c>
      <c r="L709" s="57">
        <v>90.977999999999994</v>
      </c>
      <c r="M709" s="57">
        <v>89.515000000000001</v>
      </c>
      <c r="N709" s="57"/>
      <c r="O709" s="57"/>
      <c r="P709" s="57"/>
      <c r="Q709" s="57"/>
      <c r="R709" s="57"/>
      <c r="S709" s="57"/>
      <c r="T709" s="57"/>
    </row>
    <row r="710" spans="1:20">
      <c r="A710" s="55" t="s">
        <v>427</v>
      </c>
      <c r="B710" s="55" t="s">
        <v>380</v>
      </c>
      <c r="C710" s="57">
        <v>59.537999999999997</v>
      </c>
      <c r="D710" s="57">
        <v>61.896000000000001</v>
      </c>
      <c r="E710" s="57">
        <v>64.426000000000002</v>
      </c>
      <c r="F710" s="57">
        <v>67.259</v>
      </c>
      <c r="G710" s="57">
        <v>69.257000000000005</v>
      </c>
      <c r="H710" s="57">
        <v>70.81</v>
      </c>
      <c r="I710" s="57">
        <v>72.623000000000005</v>
      </c>
      <c r="J710" s="57">
        <v>74.352000000000004</v>
      </c>
      <c r="K710" s="57">
        <v>76.460999999999999</v>
      </c>
      <c r="L710" s="57">
        <v>78.489999999999995</v>
      </c>
      <c r="M710" s="57">
        <v>80.605000000000004</v>
      </c>
      <c r="N710" s="57"/>
      <c r="O710" s="57"/>
      <c r="P710" s="57"/>
      <c r="Q710" s="57"/>
      <c r="R710" s="57"/>
      <c r="S710" s="57"/>
      <c r="T710" s="57"/>
    </row>
    <row r="711" spans="1:20">
      <c r="A711" s="55" t="s">
        <v>427</v>
      </c>
      <c r="B711" s="55" t="s">
        <v>381</v>
      </c>
      <c r="C711" s="57">
        <v>58.436999999999998</v>
      </c>
      <c r="D711" s="57">
        <v>60.857999999999997</v>
      </c>
      <c r="E711" s="57">
        <v>63.347999999999999</v>
      </c>
      <c r="F711" s="57">
        <v>66.22</v>
      </c>
      <c r="G711" s="57">
        <v>68.242000000000004</v>
      </c>
      <c r="H711" s="57">
        <v>69.897000000000006</v>
      </c>
      <c r="I711" s="57">
        <v>71.710999999999999</v>
      </c>
      <c r="J711" s="57">
        <v>73.512</v>
      </c>
      <c r="K711" s="57">
        <v>75.680999999999997</v>
      </c>
      <c r="L711" s="57">
        <v>77.894000000000005</v>
      </c>
      <c r="M711" s="57">
        <v>80.126999999999995</v>
      </c>
      <c r="N711" s="57"/>
      <c r="O711" s="57"/>
      <c r="P711" s="57"/>
      <c r="Q711" s="57"/>
      <c r="R711" s="57"/>
      <c r="S711" s="57"/>
      <c r="T711" s="57"/>
    </row>
    <row r="712" spans="1:20">
      <c r="A712" s="55" t="s">
        <v>427</v>
      </c>
      <c r="B712" s="55" t="s">
        <v>382</v>
      </c>
      <c r="C712" s="57">
        <v>70.168000000000006</v>
      </c>
      <c r="D712" s="57">
        <v>71.721000000000004</v>
      </c>
      <c r="E712" s="57">
        <v>74.638999999999996</v>
      </c>
      <c r="F712" s="57">
        <v>76.981999999999999</v>
      </c>
      <c r="G712" s="57">
        <v>78.674000000000007</v>
      </c>
      <c r="H712" s="57">
        <v>79.069999999999993</v>
      </c>
      <c r="I712" s="57">
        <v>80.832999999999998</v>
      </c>
      <c r="J712" s="57">
        <v>81.787000000000006</v>
      </c>
      <c r="K712" s="57">
        <v>83.254000000000005</v>
      </c>
      <c r="L712" s="57">
        <v>83.507000000000005</v>
      </c>
      <c r="M712" s="57">
        <v>84.546999999999997</v>
      </c>
      <c r="N712" s="57"/>
      <c r="O712" s="57"/>
      <c r="P712" s="57"/>
      <c r="Q712" s="57"/>
      <c r="R712" s="57"/>
      <c r="S712" s="57"/>
      <c r="T712" s="57"/>
    </row>
    <row r="713" spans="1:20">
      <c r="A713" s="55" t="s">
        <v>427</v>
      </c>
      <c r="B713" s="55" t="s">
        <v>383</v>
      </c>
      <c r="C713" s="57">
        <v>55.795999999999999</v>
      </c>
      <c r="D713" s="57">
        <v>58.436</v>
      </c>
      <c r="E713" s="57">
        <v>60.734000000000002</v>
      </c>
      <c r="F713" s="57">
        <v>63.533000000000001</v>
      </c>
      <c r="G713" s="57">
        <v>66.242000000000004</v>
      </c>
      <c r="H713" s="57">
        <v>68.924999999999997</v>
      </c>
      <c r="I713" s="57">
        <v>70.986999999999995</v>
      </c>
      <c r="J713" s="57">
        <v>72.823999999999998</v>
      </c>
      <c r="K713" s="57">
        <v>75.414000000000001</v>
      </c>
      <c r="L713" s="57">
        <v>77.28</v>
      </c>
      <c r="M713" s="57">
        <v>79.744</v>
      </c>
      <c r="N713" s="57"/>
      <c r="O713" s="57"/>
      <c r="P713" s="57"/>
      <c r="Q713" s="57"/>
      <c r="R713" s="57"/>
      <c r="S713" s="57"/>
      <c r="T713" s="57"/>
    </row>
    <row r="714" spans="1:20">
      <c r="A714" s="55" t="s">
        <v>427</v>
      </c>
      <c r="B714" s="55" t="s">
        <v>384</v>
      </c>
      <c r="C714" s="57">
        <v>55.813000000000002</v>
      </c>
      <c r="D714" s="57">
        <v>58.613</v>
      </c>
      <c r="E714" s="57">
        <v>61.11</v>
      </c>
      <c r="F714" s="57">
        <v>64.108999999999995</v>
      </c>
      <c r="G714" s="57">
        <v>66.974000000000004</v>
      </c>
      <c r="H714" s="57">
        <v>69.683000000000007</v>
      </c>
      <c r="I714" s="57">
        <v>71.724000000000004</v>
      </c>
      <c r="J714" s="57">
        <v>73.628</v>
      </c>
      <c r="K714" s="57">
        <v>76.539000000000001</v>
      </c>
      <c r="L714" s="57">
        <v>78.736999999999995</v>
      </c>
      <c r="M714" s="57">
        <v>81.509</v>
      </c>
      <c r="N714" s="57"/>
      <c r="O714" s="57"/>
      <c r="P714" s="57"/>
      <c r="Q714" s="57"/>
      <c r="R714" s="57"/>
      <c r="S714" s="57"/>
      <c r="T714" s="57"/>
    </row>
    <row r="715" spans="1:20">
      <c r="A715" s="55" t="s">
        <v>427</v>
      </c>
      <c r="B715" s="55" t="s">
        <v>385</v>
      </c>
      <c r="C715" s="57">
        <v>47.628999999999998</v>
      </c>
      <c r="D715" s="57">
        <v>49.575000000000003</v>
      </c>
      <c r="E715" s="57">
        <v>52.432000000000002</v>
      </c>
      <c r="F715" s="57">
        <v>56.220999999999997</v>
      </c>
      <c r="G715" s="57">
        <v>59.47</v>
      </c>
      <c r="H715" s="57">
        <v>62.271999999999998</v>
      </c>
      <c r="I715" s="57">
        <v>64.918999999999997</v>
      </c>
      <c r="J715" s="57">
        <v>67.061000000000007</v>
      </c>
      <c r="K715" s="57">
        <v>69.162999999999997</v>
      </c>
      <c r="L715" s="57">
        <v>71.548000000000002</v>
      </c>
      <c r="M715" s="57">
        <v>74.412000000000006</v>
      </c>
      <c r="N715" s="57"/>
      <c r="O715" s="57"/>
      <c r="P715" s="57"/>
      <c r="Q715" s="57"/>
      <c r="R715" s="57"/>
      <c r="S715" s="57"/>
      <c r="T715" s="57"/>
    </row>
    <row r="716" spans="1:20">
      <c r="A716" s="55" t="s">
        <v>427</v>
      </c>
      <c r="B716" s="55" t="s">
        <v>386</v>
      </c>
      <c r="C716" s="57">
        <v>78.537999999999997</v>
      </c>
      <c r="D716" s="57">
        <v>81.667000000000002</v>
      </c>
      <c r="E716" s="57">
        <v>82.775999999999996</v>
      </c>
      <c r="F716" s="57">
        <v>85.234999999999999</v>
      </c>
      <c r="G716" s="57">
        <v>88.042000000000002</v>
      </c>
      <c r="H716" s="57">
        <v>89.331000000000003</v>
      </c>
      <c r="I716" s="57">
        <v>91.242000000000004</v>
      </c>
      <c r="J716" s="57">
        <v>92.902000000000001</v>
      </c>
      <c r="K716" s="57">
        <v>96.566999999999993</v>
      </c>
      <c r="L716" s="57">
        <v>98.988</v>
      </c>
      <c r="M716" s="57">
        <v>102.54900000000001</v>
      </c>
      <c r="N716" s="57"/>
      <c r="O716" s="57"/>
      <c r="P716" s="57"/>
      <c r="Q716" s="57"/>
      <c r="R716" s="57"/>
      <c r="S716" s="57"/>
      <c r="T716" s="57"/>
    </row>
    <row r="717" spans="1:20">
      <c r="A717" s="55" t="s">
        <v>427</v>
      </c>
      <c r="B717" s="55" t="s">
        <v>387</v>
      </c>
      <c r="C717" s="57">
        <v>54.837000000000003</v>
      </c>
      <c r="D717" s="57">
        <v>57.856999999999999</v>
      </c>
      <c r="E717" s="57">
        <v>60.201999999999998</v>
      </c>
      <c r="F717" s="57">
        <v>62.783000000000001</v>
      </c>
      <c r="G717" s="57">
        <v>65.375</v>
      </c>
      <c r="H717" s="57">
        <v>68.084999999999994</v>
      </c>
      <c r="I717" s="57">
        <v>69.811000000000007</v>
      </c>
      <c r="J717" s="57">
        <v>71.587000000000003</v>
      </c>
      <c r="K717" s="57">
        <v>74.626000000000005</v>
      </c>
      <c r="L717" s="57">
        <v>76.674999999999997</v>
      </c>
      <c r="M717" s="57">
        <v>79.245000000000005</v>
      </c>
      <c r="N717" s="57"/>
      <c r="O717" s="57"/>
      <c r="P717" s="57"/>
      <c r="Q717" s="57"/>
      <c r="R717" s="57"/>
      <c r="S717" s="57"/>
      <c r="T717" s="57"/>
    </row>
    <row r="718" spans="1:20">
      <c r="A718" s="55" t="s">
        <v>427</v>
      </c>
      <c r="B718" s="55" t="s">
        <v>388</v>
      </c>
      <c r="C718" s="57">
        <v>50.457000000000001</v>
      </c>
      <c r="D718" s="57">
        <v>52.287999999999997</v>
      </c>
      <c r="E718" s="57">
        <v>54.03</v>
      </c>
      <c r="F718" s="57">
        <v>55.765000000000001</v>
      </c>
      <c r="G718" s="57">
        <v>58.418999999999997</v>
      </c>
      <c r="H718" s="57">
        <v>61.113999999999997</v>
      </c>
      <c r="I718" s="57">
        <v>63.81</v>
      </c>
      <c r="J718" s="57">
        <v>65.974000000000004</v>
      </c>
      <c r="K718" s="57">
        <v>68.64</v>
      </c>
      <c r="L718" s="57">
        <v>69.644999999999996</v>
      </c>
      <c r="M718" s="57">
        <v>71.245000000000005</v>
      </c>
      <c r="N718" s="57"/>
      <c r="O718" s="57"/>
      <c r="P718" s="57"/>
      <c r="Q718" s="57"/>
      <c r="R718" s="57"/>
      <c r="S718" s="57"/>
      <c r="T718" s="57"/>
    </row>
    <row r="719" spans="1:20">
      <c r="A719" s="55" t="s">
        <v>427</v>
      </c>
      <c r="B719" s="55" t="s">
        <v>389</v>
      </c>
      <c r="C719" s="57">
        <v>59.052</v>
      </c>
      <c r="D719" s="57">
        <v>61.944000000000003</v>
      </c>
      <c r="E719" s="57">
        <v>64.164000000000001</v>
      </c>
      <c r="F719" s="57">
        <v>67.278999999999996</v>
      </c>
      <c r="G719" s="57">
        <v>69.611000000000004</v>
      </c>
      <c r="H719" s="57">
        <v>72.185000000000002</v>
      </c>
      <c r="I719" s="57">
        <v>73.786000000000001</v>
      </c>
      <c r="J719" s="57">
        <v>75.206000000000003</v>
      </c>
      <c r="K719" s="57">
        <v>77.016000000000005</v>
      </c>
      <c r="L719" s="57">
        <v>78.734999999999999</v>
      </c>
      <c r="M719" s="57">
        <v>81.09</v>
      </c>
      <c r="N719" s="57"/>
      <c r="O719" s="57"/>
      <c r="P719" s="57"/>
      <c r="Q719" s="57"/>
      <c r="R719" s="57"/>
      <c r="S719" s="57"/>
      <c r="T719" s="57"/>
    </row>
    <row r="720" spans="1:20">
      <c r="A720" s="55" t="s">
        <v>427</v>
      </c>
      <c r="B720" s="55" t="s">
        <v>390</v>
      </c>
      <c r="C720" s="57">
        <v>59.408999999999999</v>
      </c>
      <c r="D720" s="57">
        <v>62.305999999999997</v>
      </c>
      <c r="E720" s="57">
        <v>64.432000000000002</v>
      </c>
      <c r="F720" s="57">
        <v>67.509</v>
      </c>
      <c r="G720" s="57">
        <v>69.989000000000004</v>
      </c>
      <c r="H720" s="57">
        <v>72.661000000000001</v>
      </c>
      <c r="I720" s="57">
        <v>74.126000000000005</v>
      </c>
      <c r="J720" s="57">
        <v>75.415999999999997</v>
      </c>
      <c r="K720" s="57">
        <v>77.231999999999999</v>
      </c>
      <c r="L720" s="57">
        <v>78.956000000000003</v>
      </c>
      <c r="M720" s="57">
        <v>81.364000000000004</v>
      </c>
      <c r="N720" s="57"/>
      <c r="O720" s="57"/>
      <c r="P720" s="57"/>
      <c r="Q720" s="57"/>
      <c r="R720" s="57"/>
      <c r="S720" s="57"/>
      <c r="T720" s="57"/>
    </row>
    <row r="721" spans="1:20">
      <c r="A721" s="55" t="s">
        <v>427</v>
      </c>
      <c r="B721" s="55" t="s">
        <v>391</v>
      </c>
      <c r="C721" s="57">
        <v>56.738</v>
      </c>
      <c r="D721" s="57">
        <v>59.582999999999998</v>
      </c>
      <c r="E721" s="57">
        <v>62.287999999999997</v>
      </c>
      <c r="F721" s="57">
        <v>65.590999999999994</v>
      </c>
      <c r="G721" s="57">
        <v>67.082999999999998</v>
      </c>
      <c r="H721" s="57">
        <v>69.090999999999994</v>
      </c>
      <c r="I721" s="57">
        <v>71.432000000000002</v>
      </c>
      <c r="J721" s="57">
        <v>73.575000000000003</v>
      </c>
      <c r="K721" s="57">
        <v>75.338999999999999</v>
      </c>
      <c r="L721" s="57">
        <v>77.03</v>
      </c>
      <c r="M721" s="57">
        <v>79.013000000000005</v>
      </c>
      <c r="N721" s="57"/>
      <c r="O721" s="57"/>
      <c r="P721" s="57"/>
      <c r="Q721" s="57"/>
      <c r="R721" s="57"/>
      <c r="S721" s="57"/>
      <c r="T721" s="57"/>
    </row>
    <row r="722" spans="1:20">
      <c r="A722" s="55" t="s">
        <v>427</v>
      </c>
      <c r="B722" s="55" t="s">
        <v>392</v>
      </c>
      <c r="C722" s="57">
        <v>50.280999999999999</v>
      </c>
      <c r="D722" s="57">
        <v>53.445999999999998</v>
      </c>
      <c r="E722" s="57">
        <v>56.802999999999997</v>
      </c>
      <c r="F722" s="57">
        <v>60.292999999999999</v>
      </c>
      <c r="G722" s="57">
        <v>63.686999999999998</v>
      </c>
      <c r="H722" s="57">
        <v>66.736999999999995</v>
      </c>
      <c r="I722" s="57">
        <v>69.337999999999994</v>
      </c>
      <c r="J722" s="57">
        <v>71.861999999999995</v>
      </c>
      <c r="K722" s="57">
        <v>74.180999999999997</v>
      </c>
      <c r="L722" s="57">
        <v>76.013000000000005</v>
      </c>
      <c r="M722" s="57">
        <v>77.867000000000004</v>
      </c>
      <c r="N722" s="57"/>
      <c r="O722" s="57"/>
      <c r="P722" s="57"/>
      <c r="Q722" s="57"/>
      <c r="R722" s="57"/>
      <c r="S722" s="57"/>
      <c r="T722" s="57"/>
    </row>
    <row r="723" spans="1:20">
      <c r="A723" s="55" t="s">
        <v>427</v>
      </c>
      <c r="B723" s="55" t="s">
        <v>393</v>
      </c>
      <c r="C723" s="57">
        <v>48.222999999999999</v>
      </c>
      <c r="D723" s="57">
        <v>50.732999999999997</v>
      </c>
      <c r="E723" s="57">
        <v>53.235999999999997</v>
      </c>
      <c r="F723" s="57">
        <v>55.868000000000002</v>
      </c>
      <c r="G723" s="57">
        <v>58.286000000000001</v>
      </c>
      <c r="H723" s="57">
        <v>60.164000000000001</v>
      </c>
      <c r="I723" s="57">
        <v>61.718000000000004</v>
      </c>
      <c r="J723" s="57">
        <v>63.6</v>
      </c>
      <c r="K723" s="57">
        <v>65.405000000000001</v>
      </c>
      <c r="L723" s="57">
        <v>67.662999999999997</v>
      </c>
      <c r="M723" s="57">
        <v>69.709000000000003</v>
      </c>
      <c r="N723" s="57"/>
      <c r="O723" s="57"/>
      <c r="P723" s="57"/>
      <c r="Q723" s="57"/>
      <c r="R723" s="57"/>
      <c r="S723" s="57"/>
      <c r="T723" s="57"/>
    </row>
    <row r="724" spans="1:20">
      <c r="A724" s="55" t="s">
        <v>427</v>
      </c>
      <c r="B724" s="55" t="s">
        <v>394</v>
      </c>
      <c r="C724" s="57">
        <v>50.56</v>
      </c>
      <c r="D724" s="57">
        <v>53.825000000000003</v>
      </c>
      <c r="E724" s="57">
        <v>57.314</v>
      </c>
      <c r="F724" s="57">
        <v>60.933999999999997</v>
      </c>
      <c r="G724" s="57">
        <v>64.477000000000004</v>
      </c>
      <c r="H724" s="57">
        <v>67.703999999999994</v>
      </c>
      <c r="I724" s="57">
        <v>70.463999999999999</v>
      </c>
      <c r="J724" s="57">
        <v>73.084999999999994</v>
      </c>
      <c r="K724" s="57">
        <v>75.481999999999999</v>
      </c>
      <c r="L724" s="57">
        <v>77.245000000000005</v>
      </c>
      <c r="M724" s="57">
        <v>79.066000000000003</v>
      </c>
      <c r="N724" s="57"/>
      <c r="O724" s="57"/>
      <c r="P724" s="57"/>
      <c r="Q724" s="57"/>
      <c r="R724" s="57"/>
      <c r="S724" s="57"/>
      <c r="T724" s="57"/>
    </row>
    <row r="725" spans="1:20">
      <c r="A725" s="55" t="s">
        <v>427</v>
      </c>
      <c r="B725" s="55" t="s">
        <v>395</v>
      </c>
      <c r="C725" s="57">
        <v>52.204999999999998</v>
      </c>
      <c r="D725" s="57">
        <v>55.645000000000003</v>
      </c>
      <c r="E725" s="57">
        <v>59.18</v>
      </c>
      <c r="F725" s="57">
        <v>63.029000000000003</v>
      </c>
      <c r="G725" s="57">
        <v>66.683000000000007</v>
      </c>
      <c r="H725" s="57">
        <v>70.328999999999994</v>
      </c>
      <c r="I725" s="57">
        <v>73.606999999999999</v>
      </c>
      <c r="J725" s="57">
        <v>77.006</v>
      </c>
      <c r="K725" s="57">
        <v>79.704999999999998</v>
      </c>
      <c r="L725" s="57">
        <v>80.978999999999999</v>
      </c>
      <c r="M725" s="57">
        <v>82.909000000000006</v>
      </c>
      <c r="N725" s="57"/>
      <c r="O725" s="57"/>
      <c r="P725" s="57"/>
      <c r="Q725" s="57"/>
      <c r="R725" s="57"/>
      <c r="S725" s="57"/>
      <c r="T725" s="57"/>
    </row>
    <row r="726" spans="1:20">
      <c r="A726" s="55" t="s">
        <v>427</v>
      </c>
      <c r="B726" s="55" t="s">
        <v>396</v>
      </c>
      <c r="C726" s="57">
        <v>48.536999999999999</v>
      </c>
      <c r="D726" s="57">
        <v>51.741</v>
      </c>
      <c r="E726" s="57">
        <v>55.283999999999999</v>
      </c>
      <c r="F726" s="57">
        <v>58.78</v>
      </c>
      <c r="G726" s="57">
        <v>62.298000000000002</v>
      </c>
      <c r="H726" s="57">
        <v>65.194000000000003</v>
      </c>
      <c r="I726" s="57">
        <v>67.674000000000007</v>
      </c>
      <c r="J726" s="57">
        <v>69.742999999999995</v>
      </c>
      <c r="K726" s="57">
        <v>71.899000000000001</v>
      </c>
      <c r="L726" s="57">
        <v>74.073999999999998</v>
      </c>
      <c r="M726" s="57">
        <v>75.744</v>
      </c>
      <c r="N726" s="57"/>
      <c r="O726" s="57"/>
      <c r="P726" s="57"/>
      <c r="Q726" s="57"/>
      <c r="R726" s="57"/>
      <c r="S726" s="57"/>
      <c r="T726" s="57"/>
    </row>
    <row r="727" spans="1:20">
      <c r="A727" s="55" t="s">
        <v>427</v>
      </c>
      <c r="B727" s="55" t="s">
        <v>397</v>
      </c>
      <c r="C727" s="57">
        <v>53.341000000000001</v>
      </c>
      <c r="D727" s="57">
        <v>55.860999999999997</v>
      </c>
      <c r="E727" s="57">
        <v>58.619</v>
      </c>
      <c r="F727" s="57">
        <v>61.633000000000003</v>
      </c>
      <c r="G727" s="57">
        <v>64.581999999999994</v>
      </c>
      <c r="H727" s="57">
        <v>67.397999999999996</v>
      </c>
      <c r="I727" s="57">
        <v>68.738</v>
      </c>
      <c r="J727" s="57">
        <v>70.231999999999999</v>
      </c>
      <c r="K727" s="57">
        <v>72.344999999999999</v>
      </c>
      <c r="L727" s="57">
        <v>74.397000000000006</v>
      </c>
      <c r="M727" s="57">
        <v>76.510999999999996</v>
      </c>
      <c r="N727" s="57"/>
      <c r="O727" s="57"/>
      <c r="P727" s="57"/>
      <c r="Q727" s="57"/>
      <c r="R727" s="57"/>
      <c r="S727" s="57"/>
      <c r="T727" s="57"/>
    </row>
    <row r="728" spans="1:20">
      <c r="A728" s="55" t="s">
        <v>427</v>
      </c>
      <c r="B728" s="55" t="s">
        <v>398</v>
      </c>
      <c r="C728" s="57">
        <v>58.066000000000003</v>
      </c>
      <c r="D728" s="57">
        <v>60.631999999999998</v>
      </c>
      <c r="E728" s="57">
        <v>63.38</v>
      </c>
      <c r="F728" s="57">
        <v>66.207999999999998</v>
      </c>
      <c r="G728" s="57">
        <v>69.016999999999996</v>
      </c>
      <c r="H728" s="57">
        <v>70.510999999999996</v>
      </c>
      <c r="I728" s="57">
        <v>72.031999999999996</v>
      </c>
      <c r="J728" s="57">
        <v>73.494</v>
      </c>
      <c r="K728" s="57">
        <v>75.221000000000004</v>
      </c>
      <c r="L728" s="57">
        <v>77.161000000000001</v>
      </c>
      <c r="M728" s="57">
        <v>79.899000000000001</v>
      </c>
      <c r="N728" s="57"/>
      <c r="O728" s="57"/>
      <c r="P728" s="57"/>
      <c r="Q728" s="57"/>
      <c r="R728" s="57"/>
      <c r="S728" s="57"/>
      <c r="T728" s="57"/>
    </row>
    <row r="729" spans="1:20">
      <c r="A729" s="55" t="s">
        <v>427</v>
      </c>
      <c r="B729" s="55" t="s">
        <v>399</v>
      </c>
      <c r="C729" s="57">
        <v>55.18</v>
      </c>
      <c r="D729" s="57">
        <v>57.238999999999997</v>
      </c>
      <c r="E729" s="57">
        <v>59.863999999999997</v>
      </c>
      <c r="F729" s="57">
        <v>62.804000000000002</v>
      </c>
      <c r="G729" s="57">
        <v>65.626999999999995</v>
      </c>
      <c r="H729" s="57">
        <v>67.251999999999995</v>
      </c>
      <c r="I729" s="57">
        <v>68.846000000000004</v>
      </c>
      <c r="J729" s="57">
        <v>70.713999999999999</v>
      </c>
      <c r="K729" s="57">
        <v>72.923000000000002</v>
      </c>
      <c r="L729" s="57">
        <v>75.412000000000006</v>
      </c>
      <c r="M729" s="57">
        <v>77.581999999999994</v>
      </c>
      <c r="N729" s="57"/>
      <c r="O729" s="57"/>
      <c r="P729" s="57"/>
      <c r="Q729" s="57"/>
      <c r="R729" s="57"/>
      <c r="S729" s="57"/>
      <c r="T729" s="57"/>
    </row>
    <row r="730" spans="1:20">
      <c r="A730" s="55" t="s">
        <v>427</v>
      </c>
      <c r="B730" s="55" t="s">
        <v>400</v>
      </c>
      <c r="C730" s="57">
        <v>50.523000000000003</v>
      </c>
      <c r="D730" s="57">
        <v>53.308999999999997</v>
      </c>
      <c r="E730" s="57">
        <v>56.106999999999999</v>
      </c>
      <c r="F730" s="57">
        <v>59.228999999999999</v>
      </c>
      <c r="G730" s="57">
        <v>62.131999999999998</v>
      </c>
      <c r="H730" s="57">
        <v>63.308</v>
      </c>
      <c r="I730" s="57">
        <v>64.442999999999998</v>
      </c>
      <c r="J730" s="57">
        <v>66.397000000000006</v>
      </c>
      <c r="K730" s="57">
        <v>68.634</v>
      </c>
      <c r="L730" s="57">
        <v>71.572000000000003</v>
      </c>
      <c r="M730" s="57">
        <v>73.718999999999994</v>
      </c>
      <c r="N730" s="57"/>
      <c r="O730" s="57"/>
      <c r="P730" s="57"/>
      <c r="Q730" s="57"/>
      <c r="R730" s="57"/>
      <c r="S730" s="57"/>
      <c r="T730" s="57"/>
    </row>
    <row r="731" spans="1:20">
      <c r="A731" s="55" t="s">
        <v>427</v>
      </c>
      <c r="B731" s="55" t="s">
        <v>401</v>
      </c>
      <c r="C731" s="57">
        <v>60.079000000000001</v>
      </c>
      <c r="D731" s="57">
        <v>61.44</v>
      </c>
      <c r="E731" s="57">
        <v>63.936</v>
      </c>
      <c r="F731" s="57">
        <v>66.742999999999995</v>
      </c>
      <c r="G731" s="57">
        <v>69.518000000000001</v>
      </c>
      <c r="H731" s="57">
        <v>71.575000000000003</v>
      </c>
      <c r="I731" s="57">
        <v>73.619</v>
      </c>
      <c r="J731" s="57">
        <v>75.415000000000006</v>
      </c>
      <c r="K731" s="57">
        <v>77.614999999999995</v>
      </c>
      <c r="L731" s="57">
        <v>79.691999999999993</v>
      </c>
      <c r="M731" s="57">
        <v>81.903999999999996</v>
      </c>
      <c r="N731" s="57"/>
      <c r="O731" s="57"/>
      <c r="P731" s="57"/>
      <c r="Q731" s="57"/>
      <c r="R731" s="57"/>
      <c r="S731" s="57"/>
      <c r="T731" s="57"/>
    </row>
    <row r="732" spans="1:20">
      <c r="A732" s="55" t="s">
        <v>427</v>
      </c>
      <c r="B732" s="55" t="s">
        <v>402</v>
      </c>
      <c r="C732" s="57">
        <v>58.917999999999999</v>
      </c>
      <c r="D732" s="57">
        <v>61.604999999999997</v>
      </c>
      <c r="E732" s="57">
        <v>64.39</v>
      </c>
      <c r="F732" s="57">
        <v>67.2</v>
      </c>
      <c r="G732" s="57">
        <v>70.012</v>
      </c>
      <c r="H732" s="57">
        <v>71.474999999999994</v>
      </c>
      <c r="I732" s="57">
        <v>72.977000000000004</v>
      </c>
      <c r="J732" s="57">
        <v>74.328000000000003</v>
      </c>
      <c r="K732" s="57">
        <v>75.917000000000002</v>
      </c>
      <c r="L732" s="57">
        <v>77.691999999999993</v>
      </c>
      <c r="M732" s="57">
        <v>80.602999999999994</v>
      </c>
      <c r="N732" s="57"/>
      <c r="O732" s="57"/>
      <c r="P732" s="57"/>
      <c r="Q732" s="57"/>
      <c r="R732" s="57"/>
      <c r="S732" s="57"/>
      <c r="T732" s="57"/>
    </row>
    <row r="733" spans="1:20">
      <c r="A733" s="55" t="s">
        <v>427</v>
      </c>
      <c r="B733" s="55" t="s">
        <v>403</v>
      </c>
      <c r="C733" s="57">
        <v>56.225000000000001</v>
      </c>
      <c r="D733" s="57">
        <v>59.396000000000001</v>
      </c>
      <c r="E733" s="57">
        <v>62.097000000000001</v>
      </c>
      <c r="F733" s="57">
        <v>64.361000000000004</v>
      </c>
      <c r="G733" s="57">
        <v>67.504000000000005</v>
      </c>
      <c r="H733" s="57">
        <v>68.957999999999998</v>
      </c>
      <c r="I733" s="57">
        <v>70.91</v>
      </c>
      <c r="J733" s="57">
        <v>72.680999999999997</v>
      </c>
      <c r="K733" s="57">
        <v>74.11</v>
      </c>
      <c r="L733" s="57">
        <v>75.566000000000003</v>
      </c>
      <c r="M733" s="57">
        <v>80.415000000000006</v>
      </c>
      <c r="N733" s="57"/>
      <c r="O733" s="57"/>
      <c r="P733" s="57"/>
      <c r="Q733" s="57"/>
      <c r="R733" s="57"/>
      <c r="S733" s="57"/>
      <c r="T733" s="57"/>
    </row>
    <row r="734" spans="1:20">
      <c r="A734" s="55" t="s">
        <v>427</v>
      </c>
      <c r="B734" s="55" t="s">
        <v>404</v>
      </c>
      <c r="C734" s="57">
        <v>59.945</v>
      </c>
      <c r="D734" s="57">
        <v>62.457000000000001</v>
      </c>
      <c r="E734" s="57">
        <v>65.274000000000001</v>
      </c>
      <c r="F734" s="57">
        <v>68.281000000000006</v>
      </c>
      <c r="G734" s="57">
        <v>70.980999999999995</v>
      </c>
      <c r="H734" s="57">
        <v>72.447999999999993</v>
      </c>
      <c r="I734" s="57">
        <v>73.790000000000006</v>
      </c>
      <c r="J734" s="57">
        <v>74.991</v>
      </c>
      <c r="K734" s="57">
        <v>76.64</v>
      </c>
      <c r="L734" s="57">
        <v>78.537000000000006</v>
      </c>
      <c r="M734" s="57">
        <v>80.710999999999999</v>
      </c>
      <c r="N734" s="57"/>
      <c r="O734" s="57"/>
      <c r="P734" s="57"/>
      <c r="Q734" s="57"/>
      <c r="R734" s="57"/>
      <c r="S734" s="57"/>
      <c r="T734" s="57"/>
    </row>
    <row r="735" spans="1:20">
      <c r="A735" s="55" t="s">
        <v>427</v>
      </c>
      <c r="B735" s="55" t="s">
        <v>405</v>
      </c>
      <c r="C735" s="57">
        <v>55.933999999999997</v>
      </c>
      <c r="D735" s="57">
        <v>58.341999999999999</v>
      </c>
      <c r="E735" s="57">
        <v>60.585000000000001</v>
      </c>
      <c r="F735" s="57">
        <v>62.779000000000003</v>
      </c>
      <c r="G735" s="57">
        <v>65.006</v>
      </c>
      <c r="H735" s="57">
        <v>67.108000000000004</v>
      </c>
      <c r="I735" s="57">
        <v>69.093999999999994</v>
      </c>
      <c r="J735" s="57">
        <v>70.486999999999995</v>
      </c>
      <c r="K735" s="57">
        <v>72.679000000000002</v>
      </c>
      <c r="L735" s="57">
        <v>74.828999999999994</v>
      </c>
      <c r="M735" s="57">
        <v>77.063000000000002</v>
      </c>
      <c r="N735" s="57"/>
      <c r="O735" s="57"/>
      <c r="P735" s="57"/>
      <c r="Q735" s="57"/>
      <c r="R735" s="57"/>
      <c r="S735" s="57"/>
      <c r="T735" s="57"/>
    </row>
    <row r="736" spans="1:20">
      <c r="A736" s="55" t="s">
        <v>427</v>
      </c>
      <c r="B736" s="55" t="s">
        <v>174</v>
      </c>
      <c r="C736" s="57">
        <v>53.975999999999999</v>
      </c>
      <c r="D736" s="57">
        <v>55.911000000000001</v>
      </c>
      <c r="E736" s="57">
        <v>58.079000000000001</v>
      </c>
      <c r="F736" s="57">
        <v>60.765000000000001</v>
      </c>
      <c r="G736" s="57">
        <v>63.622999999999998</v>
      </c>
      <c r="H736" s="57">
        <v>65.832999999999998</v>
      </c>
      <c r="I736" s="57">
        <v>67.757999999999996</v>
      </c>
      <c r="J736" s="57">
        <v>69.644999999999996</v>
      </c>
      <c r="K736" s="57">
        <v>71.756</v>
      </c>
      <c r="L736" s="57">
        <v>73.64</v>
      </c>
      <c r="M736" s="57">
        <v>75.17</v>
      </c>
      <c r="N736" s="57"/>
      <c r="O736" s="57"/>
      <c r="P736" s="57"/>
      <c r="Q736" s="57"/>
      <c r="R736" s="57"/>
      <c r="S736" s="57"/>
      <c r="T736" s="57"/>
    </row>
    <row r="737" spans="1:20">
      <c r="A737" s="55" t="s">
        <v>427</v>
      </c>
      <c r="B737" s="55" t="s">
        <v>219</v>
      </c>
      <c r="C737" s="57">
        <v>55.393000000000001</v>
      </c>
      <c r="D737" s="57">
        <v>57.154000000000003</v>
      </c>
      <c r="E737" s="57">
        <v>58.863</v>
      </c>
      <c r="F737" s="57">
        <v>60.793999999999997</v>
      </c>
      <c r="G737" s="57">
        <v>64.075000000000003</v>
      </c>
      <c r="H737" s="57">
        <v>66.260999999999996</v>
      </c>
      <c r="I737" s="57">
        <v>67.873000000000005</v>
      </c>
      <c r="J737" s="57">
        <v>69.542000000000002</v>
      </c>
      <c r="K737" s="57">
        <v>72.018000000000001</v>
      </c>
      <c r="L737" s="57">
        <v>74.081000000000003</v>
      </c>
      <c r="M737" s="57">
        <v>75.596000000000004</v>
      </c>
      <c r="N737" s="57"/>
      <c r="O737" s="57"/>
      <c r="P737" s="57"/>
      <c r="Q737" s="57"/>
      <c r="R737" s="57"/>
      <c r="S737" s="57"/>
      <c r="T737" s="57"/>
    </row>
    <row r="738" spans="1:20">
      <c r="A738" s="55" t="s">
        <v>427</v>
      </c>
      <c r="B738" s="55" t="s">
        <v>406</v>
      </c>
      <c r="C738" s="57">
        <v>54.762999999999998</v>
      </c>
      <c r="D738" s="57">
        <v>56.164000000000001</v>
      </c>
      <c r="E738" s="57">
        <v>57.825000000000003</v>
      </c>
      <c r="F738" s="57">
        <v>59.912999999999997</v>
      </c>
      <c r="G738" s="57">
        <v>62.517000000000003</v>
      </c>
      <c r="H738" s="57">
        <v>64.793999999999997</v>
      </c>
      <c r="I738" s="57">
        <v>66.539000000000001</v>
      </c>
      <c r="J738" s="57">
        <v>68.384</v>
      </c>
      <c r="K738" s="57">
        <v>70.346999999999994</v>
      </c>
      <c r="L738" s="57">
        <v>72.658000000000001</v>
      </c>
      <c r="M738" s="57">
        <v>74.375</v>
      </c>
      <c r="N738" s="57"/>
      <c r="O738" s="57"/>
      <c r="P738" s="57"/>
      <c r="Q738" s="57"/>
      <c r="R738" s="57"/>
      <c r="S738" s="57"/>
      <c r="T738" s="57"/>
    </row>
    <row r="739" spans="1:20">
      <c r="A739" s="55" t="s">
        <v>427</v>
      </c>
      <c r="B739" s="55" t="s">
        <v>407</v>
      </c>
      <c r="C739" s="57">
        <v>59.932000000000002</v>
      </c>
      <c r="D739" s="57">
        <v>65.013000000000005</v>
      </c>
      <c r="E739" s="57">
        <v>67.132000000000005</v>
      </c>
      <c r="F739" s="57">
        <v>67.608000000000004</v>
      </c>
      <c r="G739" s="57">
        <v>76.998999999999995</v>
      </c>
      <c r="H739" s="57">
        <v>78.295000000000002</v>
      </c>
      <c r="I739" s="57">
        <v>78.707999999999998</v>
      </c>
      <c r="J739" s="57">
        <v>78.906999999999996</v>
      </c>
      <c r="K739" s="57">
        <v>85.506</v>
      </c>
      <c r="L739" s="57">
        <v>85.641999999999996</v>
      </c>
      <c r="M739" s="57">
        <v>85.665000000000006</v>
      </c>
      <c r="N739" s="57"/>
      <c r="O739" s="57"/>
      <c r="P739" s="57"/>
      <c r="Q739" s="57"/>
      <c r="R739" s="57"/>
      <c r="S739" s="57"/>
      <c r="T739" s="57"/>
    </row>
    <row r="740" spans="1:20">
      <c r="A740" s="55" t="s">
        <v>427</v>
      </c>
      <c r="B740" s="55" t="s">
        <v>221</v>
      </c>
      <c r="C740" s="57">
        <v>53.069000000000003</v>
      </c>
      <c r="D740" s="57">
        <v>55.122999999999998</v>
      </c>
      <c r="E740" s="57">
        <v>57.594999999999999</v>
      </c>
      <c r="F740" s="57">
        <v>60.774999999999999</v>
      </c>
      <c r="G740" s="57">
        <v>63.363999999999997</v>
      </c>
      <c r="H740" s="57">
        <v>65.587999999999994</v>
      </c>
      <c r="I740" s="57">
        <v>67.7</v>
      </c>
      <c r="J740" s="57">
        <v>69.710999999999999</v>
      </c>
      <c r="K740" s="57">
        <v>71.626999999999995</v>
      </c>
      <c r="L740" s="57">
        <v>73.418999999999997</v>
      </c>
      <c r="M740" s="57">
        <v>74.954999999999998</v>
      </c>
      <c r="N740" s="57"/>
      <c r="O740" s="57"/>
      <c r="P740" s="57"/>
      <c r="Q740" s="57"/>
      <c r="R740" s="57"/>
      <c r="S740" s="57"/>
      <c r="T740" s="57"/>
    </row>
    <row r="741" spans="1:20">
      <c r="A741" s="55" t="s">
        <v>427</v>
      </c>
      <c r="B741" s="55" t="s">
        <v>406</v>
      </c>
      <c r="C741" s="57">
        <v>53.17</v>
      </c>
      <c r="D741" s="57">
        <v>55.206000000000003</v>
      </c>
      <c r="E741" s="57">
        <v>57.652999999999999</v>
      </c>
      <c r="F741" s="57">
        <v>60.865000000000002</v>
      </c>
      <c r="G741" s="57">
        <v>63.426000000000002</v>
      </c>
      <c r="H741" s="57">
        <v>65.534000000000006</v>
      </c>
      <c r="I741" s="57">
        <v>67.536000000000001</v>
      </c>
      <c r="J741" s="57">
        <v>69.534000000000006</v>
      </c>
      <c r="K741" s="57">
        <v>71.507000000000005</v>
      </c>
      <c r="L741" s="57">
        <v>73.212000000000003</v>
      </c>
      <c r="M741" s="57">
        <v>74.706000000000003</v>
      </c>
      <c r="N741" s="57"/>
      <c r="O741" s="57"/>
      <c r="P741" s="57"/>
      <c r="Q741" s="57"/>
      <c r="R741" s="57"/>
      <c r="S741" s="57"/>
      <c r="T741" s="57"/>
    </row>
    <row r="742" spans="1:20">
      <c r="A742" s="55" t="s">
        <v>427</v>
      </c>
      <c r="B742" s="55" t="s">
        <v>407</v>
      </c>
      <c r="C742" s="57">
        <v>52.302999999999997</v>
      </c>
      <c r="D742" s="57">
        <v>54.491999999999997</v>
      </c>
      <c r="E742" s="57">
        <v>57.15</v>
      </c>
      <c r="F742" s="57">
        <v>60.08</v>
      </c>
      <c r="G742" s="57">
        <v>62.889000000000003</v>
      </c>
      <c r="H742" s="57">
        <v>66.036000000000001</v>
      </c>
      <c r="I742" s="57">
        <v>69.02</v>
      </c>
      <c r="J742" s="57">
        <v>71.14</v>
      </c>
      <c r="K742" s="57">
        <v>72.608999999999995</v>
      </c>
      <c r="L742" s="57">
        <v>75.075999999999993</v>
      </c>
      <c r="M742" s="57">
        <v>76.936999999999998</v>
      </c>
      <c r="N742" s="57"/>
      <c r="O742" s="57"/>
      <c r="P742" s="57"/>
      <c r="Q742" s="57"/>
      <c r="R742" s="57"/>
      <c r="S742" s="57"/>
      <c r="T742" s="57"/>
    </row>
    <row r="743" spans="1:20">
      <c r="A743" s="55" t="s">
        <v>427</v>
      </c>
      <c r="B743" s="55" t="s">
        <v>408</v>
      </c>
      <c r="C743" s="57">
        <v>72.254000000000005</v>
      </c>
      <c r="D743" s="57">
        <v>74.915000000000006</v>
      </c>
      <c r="E743" s="57">
        <v>78.048000000000002</v>
      </c>
      <c r="F743" s="57">
        <v>80.183999999999997</v>
      </c>
      <c r="G743" s="57">
        <v>80.129000000000005</v>
      </c>
      <c r="H743" s="57">
        <v>80.403999999999996</v>
      </c>
      <c r="I743" s="57">
        <v>81.436000000000007</v>
      </c>
      <c r="J743" s="57">
        <v>82.397999999999996</v>
      </c>
      <c r="K743" s="57">
        <v>84.584000000000003</v>
      </c>
      <c r="L743" s="57">
        <v>85.528000000000006</v>
      </c>
      <c r="M743" s="57">
        <v>85.165000000000006</v>
      </c>
      <c r="N743" s="57"/>
      <c r="O743" s="57"/>
      <c r="P743" s="57"/>
      <c r="Q743" s="57"/>
      <c r="R743" s="57"/>
      <c r="S743" s="57"/>
      <c r="T743" s="57"/>
    </row>
    <row r="744" spans="1:20">
      <c r="A744" s="55" t="s">
        <v>427</v>
      </c>
      <c r="B744" s="55" t="s">
        <v>409</v>
      </c>
      <c r="C744" s="57">
        <v>64.224999999999994</v>
      </c>
      <c r="D744" s="57">
        <v>66.313999999999993</v>
      </c>
      <c r="E744" s="57">
        <v>68.754999999999995</v>
      </c>
      <c r="F744" s="57">
        <v>71.486999999999995</v>
      </c>
      <c r="G744" s="57">
        <v>73.878</v>
      </c>
      <c r="H744" s="57">
        <v>75.766999999999996</v>
      </c>
      <c r="I744" s="57">
        <v>77.808999999999997</v>
      </c>
      <c r="J744" s="57">
        <v>79.537000000000006</v>
      </c>
      <c r="K744" s="57">
        <v>81.763000000000005</v>
      </c>
      <c r="L744" s="57">
        <v>83.266999999999996</v>
      </c>
      <c r="M744" s="57">
        <v>84.820999999999998</v>
      </c>
      <c r="N744" s="57"/>
      <c r="O744" s="57"/>
      <c r="P744" s="57"/>
      <c r="Q744" s="57"/>
      <c r="R744" s="57"/>
      <c r="S744" s="57"/>
      <c r="T744" s="57"/>
    </row>
    <row r="745" spans="1:20">
      <c r="A745" s="55" t="s">
        <v>427</v>
      </c>
      <c r="B745" s="55" t="s">
        <v>410</v>
      </c>
      <c r="C745" s="57">
        <v>181.61199999999999</v>
      </c>
      <c r="D745" s="57">
        <v>182.96899999999999</v>
      </c>
      <c r="E745" s="57">
        <v>182.92599999999999</v>
      </c>
      <c r="F745" s="57">
        <v>180.83600000000001</v>
      </c>
      <c r="G745" s="57">
        <v>180.69499999999999</v>
      </c>
      <c r="H745" s="57">
        <v>176.39599999999999</v>
      </c>
      <c r="I745" s="57">
        <v>172.69399999999999</v>
      </c>
      <c r="J745" s="57">
        <v>168.75899999999999</v>
      </c>
      <c r="K745" s="57">
        <v>159.51400000000001</v>
      </c>
      <c r="L745" s="57">
        <v>148.422</v>
      </c>
      <c r="M745" s="57">
        <v>139.893</v>
      </c>
      <c r="N745" s="57"/>
    </row>
    <row r="747" spans="1:20">
      <c r="A747" s="17" t="s">
        <v>428</v>
      </c>
    </row>
    <row r="748" spans="1:20">
      <c r="A748" s="55" t="s">
        <v>429</v>
      </c>
      <c r="B748" s="55" t="s">
        <v>423</v>
      </c>
      <c r="C748" s="55">
        <v>3903569</v>
      </c>
      <c r="D748" s="55">
        <v>4259094</v>
      </c>
      <c r="E748" s="55">
        <v>4487420</v>
      </c>
      <c r="F748" s="55">
        <v>4710587</v>
      </c>
      <c r="G748" s="55">
        <v>4684378</v>
      </c>
      <c r="H748" s="55">
        <v>4900120</v>
      </c>
      <c r="I748" s="55">
        <v>5190269</v>
      </c>
      <c r="J748" s="55">
        <v>5562039</v>
      </c>
      <c r="K748" s="55">
        <v>6036938</v>
      </c>
      <c r="L748" s="55">
        <v>6421443</v>
      </c>
      <c r="M748" s="55">
        <v>6828171</v>
      </c>
    </row>
    <row r="749" spans="1:20">
      <c r="A749" s="55" t="s">
        <v>429</v>
      </c>
      <c r="B749" s="55" t="s">
        <v>326</v>
      </c>
      <c r="C749" s="55">
        <v>3541780</v>
      </c>
      <c r="D749" s="55">
        <v>3889070</v>
      </c>
      <c r="E749" s="55">
        <v>4094513</v>
      </c>
      <c r="F749" s="55">
        <v>4289203</v>
      </c>
      <c r="G749" s="55">
        <v>4243631</v>
      </c>
      <c r="H749" s="55">
        <v>4445977</v>
      </c>
      <c r="I749" s="55">
        <v>4719676</v>
      </c>
      <c r="J749" s="55">
        <v>5068155</v>
      </c>
      <c r="K749" s="55">
        <v>5519483</v>
      </c>
      <c r="L749" s="55">
        <v>5882157</v>
      </c>
      <c r="M749" s="55">
        <v>6262110</v>
      </c>
    </row>
    <row r="750" spans="1:20">
      <c r="A750" s="55" t="s">
        <v>429</v>
      </c>
      <c r="B750" s="55" t="s">
        <v>327</v>
      </c>
      <c r="C750" s="55">
        <v>94746</v>
      </c>
      <c r="D750" s="55">
        <v>105052</v>
      </c>
      <c r="E750" s="55">
        <v>110269</v>
      </c>
      <c r="F750" s="55">
        <v>115368</v>
      </c>
      <c r="G750" s="55">
        <v>116977</v>
      </c>
      <c r="H750" s="55">
        <v>117544</v>
      </c>
      <c r="I750" s="55">
        <v>127793</v>
      </c>
      <c r="J750" s="55">
        <v>131923</v>
      </c>
      <c r="K750" s="55">
        <v>141114</v>
      </c>
      <c r="L750" s="55">
        <v>141133</v>
      </c>
      <c r="M750" s="55">
        <v>149138</v>
      </c>
    </row>
    <row r="751" spans="1:20">
      <c r="A751" s="55" t="s">
        <v>429</v>
      </c>
      <c r="B751" s="55" t="s">
        <v>328</v>
      </c>
      <c r="C751" s="55">
        <v>85583</v>
      </c>
      <c r="D751" s="55">
        <v>92941</v>
      </c>
      <c r="E751" s="55">
        <v>98155</v>
      </c>
      <c r="F751" s="55">
        <v>102628</v>
      </c>
      <c r="G751" s="55">
        <v>104661</v>
      </c>
      <c r="H751" s="55">
        <v>102185</v>
      </c>
      <c r="I751" s="55">
        <v>110796</v>
      </c>
      <c r="J751" s="55">
        <v>113598</v>
      </c>
      <c r="K751" s="55">
        <v>122755</v>
      </c>
      <c r="L751" s="55">
        <v>122534</v>
      </c>
      <c r="M751" s="55">
        <v>131431</v>
      </c>
    </row>
    <row r="752" spans="1:20">
      <c r="A752" s="55" t="s">
        <v>429</v>
      </c>
      <c r="B752" s="55" t="s">
        <v>329</v>
      </c>
      <c r="C752" s="55">
        <v>9163</v>
      </c>
      <c r="D752" s="55">
        <v>12111</v>
      </c>
      <c r="E752" s="55">
        <v>12114</v>
      </c>
      <c r="F752" s="55">
        <v>12739</v>
      </c>
      <c r="G752" s="55">
        <v>12316</v>
      </c>
      <c r="H752" s="55">
        <v>15358</v>
      </c>
      <c r="I752" s="55">
        <v>16998</v>
      </c>
      <c r="J752" s="55">
        <v>18325</v>
      </c>
      <c r="K752" s="55">
        <v>18359</v>
      </c>
      <c r="L752" s="55">
        <v>18599</v>
      </c>
      <c r="M752" s="55">
        <v>17706</v>
      </c>
    </row>
    <row r="753" spans="1:13">
      <c r="A753" s="55" t="s">
        <v>429</v>
      </c>
      <c r="B753" s="55" t="s">
        <v>330</v>
      </c>
      <c r="C753" s="55">
        <v>57310</v>
      </c>
      <c r="D753" s="55">
        <v>57005</v>
      </c>
      <c r="E753" s="55">
        <v>58606</v>
      </c>
      <c r="F753" s="55">
        <v>66076</v>
      </c>
      <c r="G753" s="55">
        <v>66672</v>
      </c>
      <c r="H753" s="55">
        <v>65619</v>
      </c>
      <c r="I753" s="55">
        <v>64395</v>
      </c>
      <c r="J753" s="55">
        <v>60700</v>
      </c>
      <c r="K753" s="55">
        <v>59178</v>
      </c>
      <c r="L753" s="55">
        <v>71161</v>
      </c>
      <c r="M753" s="55">
        <v>75745</v>
      </c>
    </row>
    <row r="754" spans="1:13">
      <c r="A754" s="55" t="s">
        <v>429</v>
      </c>
      <c r="B754" s="55" t="s">
        <v>331</v>
      </c>
      <c r="C754" s="55">
        <v>28033</v>
      </c>
      <c r="D754" s="55">
        <v>25851</v>
      </c>
      <c r="E754" s="55">
        <v>26845</v>
      </c>
      <c r="F754" s="55">
        <v>31529</v>
      </c>
      <c r="G754" s="55">
        <v>32479</v>
      </c>
      <c r="H754" s="55">
        <v>34417</v>
      </c>
      <c r="I754" s="55">
        <v>33940</v>
      </c>
      <c r="J754" s="55">
        <v>29370</v>
      </c>
      <c r="K754" s="55">
        <v>27198</v>
      </c>
      <c r="L754" s="55">
        <v>37104</v>
      </c>
      <c r="M754" s="55">
        <v>37735</v>
      </c>
    </row>
    <row r="755" spans="1:13">
      <c r="A755" s="55" t="s">
        <v>429</v>
      </c>
      <c r="B755" s="55" t="s">
        <v>332</v>
      </c>
      <c r="C755" s="55">
        <v>24853</v>
      </c>
      <c r="D755" s="55">
        <v>25854</v>
      </c>
      <c r="E755" s="55">
        <v>26516</v>
      </c>
      <c r="F755" s="55">
        <v>28040</v>
      </c>
      <c r="G755" s="55">
        <v>27669</v>
      </c>
      <c r="H755" s="55">
        <v>25959</v>
      </c>
      <c r="I755" s="55">
        <v>24019</v>
      </c>
      <c r="J755" s="55">
        <v>25370</v>
      </c>
      <c r="K755" s="55">
        <v>26106</v>
      </c>
      <c r="L755" s="55">
        <v>26075</v>
      </c>
      <c r="M755" s="55">
        <v>26407</v>
      </c>
    </row>
    <row r="756" spans="1:13">
      <c r="A756" s="55" t="s">
        <v>429</v>
      </c>
      <c r="B756" s="55" t="s">
        <v>333</v>
      </c>
      <c r="C756" s="55">
        <v>4425</v>
      </c>
      <c r="D756" s="55">
        <v>5300</v>
      </c>
      <c r="E756" s="55">
        <v>5245</v>
      </c>
      <c r="F756" s="55">
        <v>6506</v>
      </c>
      <c r="G756" s="55">
        <v>6524</v>
      </c>
      <c r="H756" s="55">
        <v>5243</v>
      </c>
      <c r="I756" s="55">
        <v>6436</v>
      </c>
      <c r="J756" s="55">
        <v>5960</v>
      </c>
      <c r="K756" s="55">
        <v>5873</v>
      </c>
      <c r="L756" s="55">
        <v>7982</v>
      </c>
      <c r="M756" s="55">
        <v>11602</v>
      </c>
    </row>
    <row r="757" spans="1:13">
      <c r="A757" s="55" t="s">
        <v>429</v>
      </c>
      <c r="B757" s="55" t="s">
        <v>334</v>
      </c>
      <c r="C757" s="55">
        <v>62325</v>
      </c>
      <c r="D757" s="55">
        <v>72379</v>
      </c>
      <c r="E757" s="55">
        <v>72663</v>
      </c>
      <c r="F757" s="55">
        <v>70602</v>
      </c>
      <c r="G757" s="55">
        <v>74429</v>
      </c>
      <c r="H757" s="55">
        <v>77534</v>
      </c>
      <c r="I757" s="55">
        <v>84687</v>
      </c>
      <c r="J757" s="55">
        <v>80357</v>
      </c>
      <c r="K757" s="55">
        <v>77244</v>
      </c>
      <c r="L757" s="55">
        <v>90342</v>
      </c>
      <c r="M757" s="55">
        <v>99536</v>
      </c>
    </row>
    <row r="758" spans="1:13">
      <c r="A758" s="55" t="s">
        <v>429</v>
      </c>
      <c r="B758" s="55" t="s">
        <v>335</v>
      </c>
      <c r="C758" s="55">
        <v>283728</v>
      </c>
      <c r="D758" s="55">
        <v>282591</v>
      </c>
      <c r="E758" s="55">
        <v>285240</v>
      </c>
      <c r="F758" s="55">
        <v>286564</v>
      </c>
      <c r="G758" s="55">
        <v>261954</v>
      </c>
      <c r="H758" s="55">
        <v>281644</v>
      </c>
      <c r="I758" s="55">
        <v>299243</v>
      </c>
      <c r="J758" s="55">
        <v>320264</v>
      </c>
      <c r="K758" s="55">
        <v>335148</v>
      </c>
      <c r="L758" s="55">
        <v>368743</v>
      </c>
      <c r="M758" s="55">
        <v>393030</v>
      </c>
    </row>
    <row r="759" spans="1:13">
      <c r="A759" s="55" t="s">
        <v>429</v>
      </c>
      <c r="B759" s="55" t="s">
        <v>336</v>
      </c>
      <c r="C759" s="55">
        <v>1553307</v>
      </c>
      <c r="D759" s="55">
        <v>1688653</v>
      </c>
      <c r="E759" s="55">
        <v>1780134</v>
      </c>
      <c r="F759" s="55">
        <v>1819921</v>
      </c>
      <c r="G759" s="55">
        <v>1767896</v>
      </c>
      <c r="H759" s="55">
        <v>1850274</v>
      </c>
      <c r="I759" s="55">
        <v>1929456</v>
      </c>
      <c r="J759" s="55">
        <v>2078556</v>
      </c>
      <c r="K759" s="55">
        <v>2266664</v>
      </c>
      <c r="L759" s="55">
        <v>2349827</v>
      </c>
      <c r="M759" s="55">
        <v>2494835</v>
      </c>
    </row>
    <row r="760" spans="1:13">
      <c r="A760" s="55" t="s">
        <v>429</v>
      </c>
      <c r="B760" s="55" t="s">
        <v>337</v>
      </c>
      <c r="C760" s="55">
        <v>779281</v>
      </c>
      <c r="D760" s="55">
        <v>855420</v>
      </c>
      <c r="E760" s="55">
        <v>886509</v>
      </c>
      <c r="F760" s="55">
        <v>892170</v>
      </c>
      <c r="G760" s="55">
        <v>851573</v>
      </c>
      <c r="H760" s="55">
        <v>916819</v>
      </c>
      <c r="I760" s="55">
        <v>982793</v>
      </c>
      <c r="J760" s="55">
        <v>1093921</v>
      </c>
      <c r="K760" s="55">
        <v>1208203</v>
      </c>
      <c r="L760" s="55">
        <v>1254871</v>
      </c>
      <c r="M760" s="55">
        <v>1359306</v>
      </c>
    </row>
    <row r="761" spans="1:13">
      <c r="A761" s="55" t="s">
        <v>429</v>
      </c>
      <c r="B761" s="55" t="s">
        <v>338</v>
      </c>
      <c r="C761" s="55">
        <v>34676</v>
      </c>
      <c r="D761" s="55">
        <v>36184</v>
      </c>
      <c r="E761" s="55">
        <v>36793</v>
      </c>
      <c r="F761" s="55">
        <v>37161</v>
      </c>
      <c r="G761" s="55">
        <v>34931</v>
      </c>
      <c r="H761" s="55">
        <v>41924</v>
      </c>
      <c r="I761" s="55">
        <v>49767</v>
      </c>
      <c r="J761" s="55">
        <v>54999</v>
      </c>
      <c r="K761" s="55">
        <v>55255</v>
      </c>
      <c r="L761" s="55">
        <v>57607</v>
      </c>
      <c r="M761" s="55">
        <v>61568</v>
      </c>
    </row>
    <row r="762" spans="1:13">
      <c r="A762" s="55" t="s">
        <v>429</v>
      </c>
      <c r="B762" s="55" t="s">
        <v>339</v>
      </c>
      <c r="C762" s="55">
        <v>36259</v>
      </c>
      <c r="D762" s="55">
        <v>36152</v>
      </c>
      <c r="E762" s="55">
        <v>35869</v>
      </c>
      <c r="F762" s="55">
        <v>36528</v>
      </c>
      <c r="G762" s="55">
        <v>34552</v>
      </c>
      <c r="H762" s="55">
        <v>33687</v>
      </c>
      <c r="I762" s="55">
        <v>35939</v>
      </c>
      <c r="J762" s="55">
        <v>37371</v>
      </c>
      <c r="K762" s="55">
        <v>40529</v>
      </c>
      <c r="L762" s="55">
        <v>46335</v>
      </c>
      <c r="M762" s="55">
        <v>44809</v>
      </c>
    </row>
    <row r="763" spans="1:13">
      <c r="A763" s="55" t="s">
        <v>429</v>
      </c>
      <c r="B763" s="55" t="s">
        <v>340</v>
      </c>
      <c r="C763" s="55">
        <v>77515</v>
      </c>
      <c r="D763" s="55">
        <v>97003</v>
      </c>
      <c r="E763" s="55">
        <v>98669</v>
      </c>
      <c r="F763" s="55">
        <v>95777</v>
      </c>
      <c r="G763" s="55">
        <v>86930</v>
      </c>
      <c r="H763" s="55">
        <v>88068</v>
      </c>
      <c r="I763" s="55">
        <v>90792</v>
      </c>
      <c r="J763" s="55">
        <v>102053</v>
      </c>
      <c r="K763" s="55">
        <v>114557</v>
      </c>
      <c r="L763" s="55">
        <v>114330</v>
      </c>
      <c r="M763" s="55">
        <v>119000</v>
      </c>
    </row>
    <row r="764" spans="1:13">
      <c r="A764" s="55" t="s">
        <v>429</v>
      </c>
      <c r="B764" s="55" t="s">
        <v>341</v>
      </c>
      <c r="C764" s="55">
        <v>78383</v>
      </c>
      <c r="D764" s="55">
        <v>87916</v>
      </c>
      <c r="E764" s="55">
        <v>90269</v>
      </c>
      <c r="F764" s="55">
        <v>91459</v>
      </c>
      <c r="G764" s="55">
        <v>88955</v>
      </c>
      <c r="H764" s="55">
        <v>91867</v>
      </c>
      <c r="I764" s="55">
        <v>95091</v>
      </c>
      <c r="J764" s="55">
        <v>103144</v>
      </c>
      <c r="K764" s="55">
        <v>116216</v>
      </c>
      <c r="L764" s="55">
        <v>120194</v>
      </c>
      <c r="M764" s="55">
        <v>128879</v>
      </c>
    </row>
    <row r="765" spans="1:13">
      <c r="A765" s="55" t="s">
        <v>429</v>
      </c>
      <c r="B765" s="55" t="s">
        <v>342</v>
      </c>
      <c r="C765" s="55">
        <v>81836</v>
      </c>
      <c r="D765" s="55">
        <v>88451</v>
      </c>
      <c r="E765" s="55">
        <v>95998</v>
      </c>
      <c r="F765" s="55">
        <v>94788</v>
      </c>
      <c r="G765" s="55">
        <v>94478</v>
      </c>
      <c r="H765" s="55">
        <v>94876</v>
      </c>
      <c r="I765" s="55">
        <v>108697</v>
      </c>
      <c r="J765" s="55">
        <v>126665</v>
      </c>
      <c r="K765" s="55">
        <v>143853</v>
      </c>
      <c r="L765" s="55">
        <v>152367</v>
      </c>
      <c r="M765" s="55">
        <v>161314</v>
      </c>
    </row>
    <row r="766" spans="1:13">
      <c r="A766" s="55" t="s">
        <v>429</v>
      </c>
      <c r="B766" s="55" t="s">
        <v>343</v>
      </c>
      <c r="C766" s="55">
        <v>131366</v>
      </c>
      <c r="D766" s="55">
        <v>143184</v>
      </c>
      <c r="E766" s="55">
        <v>143745</v>
      </c>
      <c r="F766" s="55">
        <v>149984</v>
      </c>
      <c r="G766" s="55">
        <v>150083</v>
      </c>
      <c r="H766" s="55">
        <v>163270</v>
      </c>
      <c r="I766" s="55">
        <v>173133</v>
      </c>
      <c r="J766" s="55">
        <v>195324</v>
      </c>
      <c r="K766" s="55">
        <v>232189</v>
      </c>
      <c r="L766" s="55">
        <v>251489</v>
      </c>
      <c r="M766" s="55">
        <v>274497</v>
      </c>
    </row>
    <row r="767" spans="1:13">
      <c r="A767" s="55" t="s">
        <v>429</v>
      </c>
      <c r="B767" s="55" t="s">
        <v>344</v>
      </c>
      <c r="C767" s="55">
        <v>36877</v>
      </c>
      <c r="D767" s="55">
        <v>40758</v>
      </c>
      <c r="E767" s="55">
        <v>41475</v>
      </c>
      <c r="F767" s="55">
        <v>40238</v>
      </c>
      <c r="G767" s="55">
        <v>37543</v>
      </c>
      <c r="H767" s="55">
        <v>42627</v>
      </c>
      <c r="I767" s="55">
        <v>46571</v>
      </c>
      <c r="J767" s="55">
        <v>51630</v>
      </c>
      <c r="K767" s="55">
        <v>58487</v>
      </c>
      <c r="L767" s="55">
        <v>61729</v>
      </c>
      <c r="M767" s="55">
        <v>63584</v>
      </c>
    </row>
    <row r="768" spans="1:13">
      <c r="A768" s="55" t="s">
        <v>429</v>
      </c>
      <c r="B768" s="55" t="s">
        <v>345</v>
      </c>
      <c r="C768" s="55">
        <v>177288</v>
      </c>
      <c r="D768" s="55">
        <v>192767</v>
      </c>
      <c r="E768" s="55">
        <v>204455</v>
      </c>
      <c r="F768" s="55">
        <v>195192</v>
      </c>
      <c r="G768" s="55">
        <v>183267</v>
      </c>
      <c r="H768" s="55">
        <v>204627</v>
      </c>
      <c r="I768" s="55">
        <v>226992</v>
      </c>
      <c r="J768" s="55">
        <v>263309</v>
      </c>
      <c r="K768" s="55">
        <v>284703</v>
      </c>
      <c r="L768" s="55">
        <v>289479</v>
      </c>
      <c r="M768" s="55">
        <v>320044</v>
      </c>
    </row>
    <row r="769" spans="1:13">
      <c r="A769" s="55" t="s">
        <v>429</v>
      </c>
      <c r="B769" s="55" t="s">
        <v>346</v>
      </c>
      <c r="C769" s="55">
        <v>66827</v>
      </c>
      <c r="D769" s="55">
        <v>74769</v>
      </c>
      <c r="E769" s="55">
        <v>78544</v>
      </c>
      <c r="F769" s="55">
        <v>88495</v>
      </c>
      <c r="G769" s="55">
        <v>79317</v>
      </c>
      <c r="H769" s="55">
        <v>90339</v>
      </c>
      <c r="I769" s="55">
        <v>83914</v>
      </c>
      <c r="J769" s="55">
        <v>82475</v>
      </c>
      <c r="K769" s="55">
        <v>79299</v>
      </c>
      <c r="L769" s="55">
        <v>78836</v>
      </c>
      <c r="M769" s="55">
        <v>96371</v>
      </c>
    </row>
    <row r="770" spans="1:13">
      <c r="A770" s="55" t="s">
        <v>429</v>
      </c>
      <c r="B770" s="55" t="s">
        <v>347</v>
      </c>
      <c r="C770" s="55">
        <v>23608</v>
      </c>
      <c r="D770" s="55">
        <v>24103</v>
      </c>
      <c r="E770" s="55">
        <v>24888</v>
      </c>
      <c r="F770" s="55">
        <v>25672</v>
      </c>
      <c r="G770" s="55">
        <v>23834</v>
      </c>
      <c r="H770" s="55">
        <v>25789</v>
      </c>
      <c r="I770" s="55">
        <v>26923</v>
      </c>
      <c r="J770" s="55">
        <v>29789</v>
      </c>
      <c r="K770" s="55">
        <v>31549</v>
      </c>
      <c r="L770" s="55">
        <v>31475</v>
      </c>
      <c r="M770" s="55">
        <v>35502</v>
      </c>
    </row>
    <row r="771" spans="1:13">
      <c r="A771" s="55" t="s">
        <v>429</v>
      </c>
      <c r="B771" s="55" t="s">
        <v>348</v>
      </c>
      <c r="C771" s="55">
        <v>34646</v>
      </c>
      <c r="D771" s="55">
        <v>34134</v>
      </c>
      <c r="E771" s="55">
        <v>35804</v>
      </c>
      <c r="F771" s="55">
        <v>36876</v>
      </c>
      <c r="G771" s="55">
        <v>37684</v>
      </c>
      <c r="H771" s="55">
        <v>39745</v>
      </c>
      <c r="I771" s="55">
        <v>44974</v>
      </c>
      <c r="J771" s="55">
        <v>47162</v>
      </c>
      <c r="K771" s="55">
        <v>51566</v>
      </c>
      <c r="L771" s="55">
        <v>51029</v>
      </c>
      <c r="M771" s="55">
        <v>53738</v>
      </c>
    </row>
    <row r="772" spans="1:13">
      <c r="A772" s="55" t="s">
        <v>429</v>
      </c>
      <c r="B772" s="55" t="s">
        <v>349</v>
      </c>
      <c r="C772" s="55">
        <v>774026</v>
      </c>
      <c r="D772" s="55">
        <v>833233</v>
      </c>
      <c r="E772" s="55">
        <v>893626</v>
      </c>
      <c r="F772" s="55">
        <v>927751</v>
      </c>
      <c r="G772" s="55">
        <v>916322</v>
      </c>
      <c r="H772" s="55">
        <v>933455</v>
      </c>
      <c r="I772" s="55">
        <v>946663</v>
      </c>
      <c r="J772" s="55">
        <v>984635</v>
      </c>
      <c r="K772" s="55">
        <v>1058461</v>
      </c>
      <c r="L772" s="55">
        <v>1094956</v>
      </c>
      <c r="M772" s="55">
        <v>1135529</v>
      </c>
    </row>
    <row r="773" spans="1:13">
      <c r="A773" s="55" t="s">
        <v>429</v>
      </c>
      <c r="B773" s="55" t="s">
        <v>350</v>
      </c>
      <c r="C773" s="55">
        <v>257802</v>
      </c>
      <c r="D773" s="55">
        <v>280950</v>
      </c>
      <c r="E773" s="55">
        <v>304946</v>
      </c>
      <c r="F773" s="55">
        <v>309427</v>
      </c>
      <c r="G773" s="55">
        <v>313338</v>
      </c>
      <c r="H773" s="55">
        <v>322062</v>
      </c>
      <c r="I773" s="55">
        <v>330378</v>
      </c>
      <c r="J773" s="55">
        <v>340116</v>
      </c>
      <c r="K773" s="55">
        <v>346410</v>
      </c>
      <c r="L773" s="55">
        <v>367165</v>
      </c>
      <c r="M773" s="55">
        <v>382248</v>
      </c>
    </row>
    <row r="774" spans="1:13">
      <c r="A774" s="55" t="s">
        <v>429</v>
      </c>
      <c r="B774" s="55" t="s">
        <v>351</v>
      </c>
      <c r="C774" s="55">
        <v>46593</v>
      </c>
      <c r="D774" s="55">
        <v>48792</v>
      </c>
      <c r="E774" s="55">
        <v>50538</v>
      </c>
      <c r="F774" s="55">
        <v>48256</v>
      </c>
      <c r="G774" s="55">
        <v>47880</v>
      </c>
      <c r="H774" s="55">
        <v>49947</v>
      </c>
      <c r="I774" s="55">
        <v>53358</v>
      </c>
      <c r="J774" s="55">
        <v>57965</v>
      </c>
      <c r="K774" s="55">
        <v>60381</v>
      </c>
      <c r="L774" s="55">
        <v>59786</v>
      </c>
      <c r="M774" s="55">
        <v>62385</v>
      </c>
    </row>
    <row r="775" spans="1:13">
      <c r="A775" s="55" t="s">
        <v>429</v>
      </c>
      <c r="B775" s="55" t="s">
        <v>352</v>
      </c>
      <c r="C775" s="55">
        <v>43843</v>
      </c>
      <c r="D775" s="55">
        <v>45197</v>
      </c>
      <c r="E775" s="55">
        <v>42819</v>
      </c>
      <c r="F775" s="55">
        <v>43249</v>
      </c>
      <c r="G775" s="55">
        <v>43586</v>
      </c>
      <c r="H775" s="55">
        <v>46624</v>
      </c>
      <c r="I775" s="55">
        <v>48302</v>
      </c>
      <c r="J775" s="55">
        <v>49921</v>
      </c>
      <c r="K775" s="55">
        <v>50736</v>
      </c>
      <c r="L775" s="55">
        <v>50951</v>
      </c>
      <c r="M775" s="55">
        <v>53466</v>
      </c>
    </row>
    <row r="776" spans="1:13">
      <c r="A776" s="55" t="s">
        <v>429</v>
      </c>
      <c r="B776" s="55" t="s">
        <v>353</v>
      </c>
      <c r="C776" s="55">
        <v>64991</v>
      </c>
      <c r="D776" s="55">
        <v>72409</v>
      </c>
      <c r="E776" s="55">
        <v>78534</v>
      </c>
      <c r="F776" s="55">
        <v>79683</v>
      </c>
      <c r="G776" s="55">
        <v>78336</v>
      </c>
      <c r="H776" s="55">
        <v>79500</v>
      </c>
      <c r="I776" s="55">
        <v>78112</v>
      </c>
      <c r="J776" s="55">
        <v>84541</v>
      </c>
      <c r="K776" s="55">
        <v>104276</v>
      </c>
      <c r="L776" s="55">
        <v>95355</v>
      </c>
      <c r="M776" s="55">
        <v>94750</v>
      </c>
    </row>
    <row r="777" spans="1:13">
      <c r="A777" s="55" t="s">
        <v>429</v>
      </c>
      <c r="B777" s="55" t="s">
        <v>354</v>
      </c>
      <c r="C777" s="55">
        <v>40202</v>
      </c>
      <c r="D777" s="55">
        <v>42513</v>
      </c>
      <c r="E777" s="55">
        <v>44372</v>
      </c>
      <c r="F777" s="55">
        <v>46942</v>
      </c>
      <c r="G777" s="55">
        <v>45365</v>
      </c>
      <c r="H777" s="55">
        <v>47886</v>
      </c>
      <c r="I777" s="55">
        <v>49558</v>
      </c>
      <c r="J777" s="55">
        <v>50311</v>
      </c>
      <c r="K777" s="55">
        <v>56574</v>
      </c>
      <c r="L777" s="55">
        <v>58032</v>
      </c>
      <c r="M777" s="55">
        <v>60125</v>
      </c>
    </row>
    <row r="778" spans="1:13">
      <c r="A778" s="55" t="s">
        <v>429</v>
      </c>
      <c r="B778" s="55" t="s">
        <v>355</v>
      </c>
      <c r="C778" s="55">
        <v>109830</v>
      </c>
      <c r="D778" s="55">
        <v>101558</v>
      </c>
      <c r="E778" s="55">
        <v>114139</v>
      </c>
      <c r="F778" s="55">
        <v>136811</v>
      </c>
      <c r="G778" s="55">
        <v>125108</v>
      </c>
      <c r="H778" s="55">
        <v>116143</v>
      </c>
      <c r="I778" s="55">
        <v>105995</v>
      </c>
      <c r="J778" s="55">
        <v>107198</v>
      </c>
      <c r="K778" s="55">
        <v>117751</v>
      </c>
      <c r="L778" s="55">
        <v>137132</v>
      </c>
      <c r="M778" s="55">
        <v>130964</v>
      </c>
    </row>
    <row r="779" spans="1:13">
      <c r="A779" s="55" t="s">
        <v>429</v>
      </c>
      <c r="B779" s="55" t="s">
        <v>356</v>
      </c>
      <c r="C779" s="55">
        <v>154703</v>
      </c>
      <c r="D779" s="55">
        <v>178649</v>
      </c>
      <c r="E779" s="55">
        <v>192914</v>
      </c>
      <c r="F779" s="55">
        <v>193827</v>
      </c>
      <c r="G779" s="55">
        <v>195685</v>
      </c>
      <c r="H779" s="55">
        <v>199794</v>
      </c>
      <c r="I779" s="55">
        <v>204851</v>
      </c>
      <c r="J779" s="55">
        <v>210056</v>
      </c>
      <c r="K779" s="55">
        <v>228253</v>
      </c>
      <c r="L779" s="55">
        <v>231994</v>
      </c>
      <c r="M779" s="55">
        <v>251798</v>
      </c>
    </row>
    <row r="780" spans="1:13">
      <c r="A780" s="55" t="s">
        <v>429</v>
      </c>
      <c r="B780" s="55" t="s">
        <v>357</v>
      </c>
      <c r="C780" s="55">
        <v>56061</v>
      </c>
      <c r="D780" s="55">
        <v>63165</v>
      </c>
      <c r="E780" s="55">
        <v>65363</v>
      </c>
      <c r="F780" s="55">
        <v>69555</v>
      </c>
      <c r="G780" s="55">
        <v>67023</v>
      </c>
      <c r="H780" s="55">
        <v>71500</v>
      </c>
      <c r="I780" s="55">
        <v>76109</v>
      </c>
      <c r="J780" s="55">
        <v>84527</v>
      </c>
      <c r="K780" s="55">
        <v>94079</v>
      </c>
      <c r="L780" s="55">
        <v>94541</v>
      </c>
      <c r="M780" s="55">
        <v>99793</v>
      </c>
    </row>
    <row r="781" spans="1:13">
      <c r="A781" s="55" t="s">
        <v>429</v>
      </c>
      <c r="B781" s="55" t="s">
        <v>358</v>
      </c>
      <c r="C781" s="55">
        <v>124995</v>
      </c>
      <c r="D781" s="55">
        <v>138791</v>
      </c>
      <c r="E781" s="55">
        <v>141086</v>
      </c>
      <c r="F781" s="55">
        <v>159370</v>
      </c>
      <c r="G781" s="55">
        <v>150034</v>
      </c>
      <c r="H781" s="55">
        <v>153819</v>
      </c>
      <c r="I781" s="55">
        <v>173564</v>
      </c>
      <c r="J781" s="55">
        <v>187648</v>
      </c>
      <c r="K781" s="55">
        <v>228480</v>
      </c>
      <c r="L781" s="55">
        <v>219119</v>
      </c>
      <c r="M781" s="55">
        <v>221812</v>
      </c>
    </row>
    <row r="782" spans="1:13">
      <c r="A782" s="55" t="s">
        <v>429</v>
      </c>
      <c r="B782" s="55" t="s">
        <v>359</v>
      </c>
      <c r="C782" s="55">
        <v>168410</v>
      </c>
      <c r="D782" s="55">
        <v>169102</v>
      </c>
      <c r="E782" s="55">
        <v>175557</v>
      </c>
      <c r="F782" s="55">
        <v>188257</v>
      </c>
      <c r="G782" s="55">
        <v>188386</v>
      </c>
      <c r="H782" s="55">
        <v>199457</v>
      </c>
      <c r="I782" s="55">
        <v>213534</v>
      </c>
      <c r="J782" s="55">
        <v>235324</v>
      </c>
      <c r="K782" s="55">
        <v>253258</v>
      </c>
      <c r="L782" s="55">
        <v>256948</v>
      </c>
      <c r="M782" s="55">
        <v>253699</v>
      </c>
    </row>
    <row r="783" spans="1:13">
      <c r="A783" s="55" t="s">
        <v>429</v>
      </c>
      <c r="B783" s="55" t="s">
        <v>360</v>
      </c>
      <c r="C783" s="55">
        <v>133724</v>
      </c>
      <c r="D783" s="55">
        <v>154541</v>
      </c>
      <c r="E783" s="55">
        <v>166355</v>
      </c>
      <c r="F783" s="55">
        <v>181471</v>
      </c>
      <c r="G783" s="55">
        <v>176720</v>
      </c>
      <c r="H783" s="55">
        <v>185462</v>
      </c>
      <c r="I783" s="55">
        <v>191003</v>
      </c>
      <c r="J783" s="55">
        <v>200963</v>
      </c>
      <c r="K783" s="55">
        <v>215385</v>
      </c>
      <c r="L783" s="55">
        <v>230478</v>
      </c>
      <c r="M783" s="55">
        <v>240226</v>
      </c>
    </row>
    <row r="784" spans="1:13">
      <c r="A784" s="55" t="s">
        <v>429</v>
      </c>
      <c r="B784" s="55" t="s">
        <v>361</v>
      </c>
      <c r="C784" s="55">
        <v>43201</v>
      </c>
      <c r="D784" s="55">
        <v>45130</v>
      </c>
      <c r="E784" s="55">
        <v>47338</v>
      </c>
      <c r="F784" s="55">
        <v>49233</v>
      </c>
      <c r="G784" s="55">
        <v>48713</v>
      </c>
      <c r="H784" s="55">
        <v>47988</v>
      </c>
      <c r="I784" s="55">
        <v>49132</v>
      </c>
      <c r="J784" s="55">
        <v>48978</v>
      </c>
      <c r="K784" s="55">
        <v>52713</v>
      </c>
      <c r="L784" s="55">
        <v>56975</v>
      </c>
      <c r="M784" s="55">
        <v>59538</v>
      </c>
    </row>
    <row r="785" spans="1:13">
      <c r="A785" s="55" t="s">
        <v>429</v>
      </c>
      <c r="B785" s="55" t="s">
        <v>362</v>
      </c>
      <c r="C785" s="55">
        <v>11769</v>
      </c>
      <c r="D785" s="55">
        <v>13364</v>
      </c>
      <c r="E785" s="55">
        <v>16429</v>
      </c>
      <c r="F785" s="55">
        <v>17223</v>
      </c>
      <c r="G785" s="55">
        <v>15194</v>
      </c>
      <c r="H785" s="55">
        <v>16324</v>
      </c>
      <c r="I785" s="55">
        <v>16792</v>
      </c>
      <c r="J785" s="55">
        <v>18207</v>
      </c>
      <c r="K785" s="55">
        <v>20251</v>
      </c>
      <c r="L785" s="55">
        <v>21056</v>
      </c>
      <c r="M785" s="55">
        <v>22756</v>
      </c>
    </row>
    <row r="786" spans="1:13">
      <c r="A786" s="55" t="s">
        <v>429</v>
      </c>
      <c r="B786" s="55" t="s">
        <v>363</v>
      </c>
      <c r="C786" s="55">
        <v>11525</v>
      </c>
      <c r="D786" s="55">
        <v>12834</v>
      </c>
      <c r="E786" s="55">
        <v>12863</v>
      </c>
      <c r="F786" s="55">
        <v>13363</v>
      </c>
      <c r="G786" s="55">
        <v>13275</v>
      </c>
      <c r="H786" s="55">
        <v>13331</v>
      </c>
      <c r="I786" s="55">
        <v>13963</v>
      </c>
      <c r="J786" s="55">
        <v>14068</v>
      </c>
      <c r="K786" s="55">
        <v>15751</v>
      </c>
      <c r="L786" s="55">
        <v>17248</v>
      </c>
      <c r="M786" s="55">
        <v>17584</v>
      </c>
    </row>
    <row r="787" spans="1:13">
      <c r="A787" s="55" t="s">
        <v>429</v>
      </c>
      <c r="B787" s="55" t="s">
        <v>364</v>
      </c>
      <c r="C787" s="55">
        <v>35832</v>
      </c>
      <c r="D787" s="55">
        <v>45871</v>
      </c>
      <c r="E787" s="55">
        <v>50395</v>
      </c>
      <c r="F787" s="55">
        <v>59133</v>
      </c>
      <c r="G787" s="55">
        <v>57659</v>
      </c>
      <c r="H787" s="55">
        <v>63202</v>
      </c>
      <c r="I787" s="55">
        <v>65348</v>
      </c>
      <c r="J787" s="55">
        <v>71737</v>
      </c>
      <c r="K787" s="55">
        <v>75203</v>
      </c>
      <c r="L787" s="55">
        <v>80159</v>
      </c>
      <c r="M787" s="55">
        <v>83880</v>
      </c>
    </row>
    <row r="788" spans="1:13">
      <c r="A788" s="55" t="s">
        <v>429</v>
      </c>
      <c r="B788" s="55" t="s">
        <v>365</v>
      </c>
      <c r="C788" s="55">
        <v>8067</v>
      </c>
      <c r="D788" s="55">
        <v>8417</v>
      </c>
      <c r="E788" s="55">
        <v>8938</v>
      </c>
      <c r="F788" s="55">
        <v>9545</v>
      </c>
      <c r="G788" s="55">
        <v>9782</v>
      </c>
      <c r="H788" s="55">
        <v>9852</v>
      </c>
      <c r="I788" s="55">
        <v>9683</v>
      </c>
      <c r="J788" s="55">
        <v>9563</v>
      </c>
      <c r="K788" s="55">
        <v>10046</v>
      </c>
      <c r="L788" s="55">
        <v>10127</v>
      </c>
      <c r="M788" s="55">
        <v>9351</v>
      </c>
    </row>
    <row r="789" spans="1:13">
      <c r="A789" s="55" t="s">
        <v>429</v>
      </c>
      <c r="B789" s="55" t="s">
        <v>366</v>
      </c>
      <c r="C789" s="55">
        <v>12593</v>
      </c>
      <c r="D789" s="55">
        <v>13338</v>
      </c>
      <c r="E789" s="55">
        <v>13406</v>
      </c>
      <c r="F789" s="55">
        <v>13432</v>
      </c>
      <c r="G789" s="55">
        <v>13128</v>
      </c>
      <c r="H789" s="55">
        <v>13949</v>
      </c>
      <c r="I789" s="55">
        <v>14890</v>
      </c>
      <c r="J789" s="55">
        <v>15418</v>
      </c>
      <c r="K789" s="55">
        <v>14982</v>
      </c>
      <c r="L789" s="55">
        <v>16812</v>
      </c>
      <c r="M789" s="55">
        <v>17526</v>
      </c>
    </row>
    <row r="790" spans="1:13">
      <c r="A790" s="55" t="s">
        <v>429</v>
      </c>
      <c r="B790" s="55" t="s">
        <v>367</v>
      </c>
      <c r="C790" s="55">
        <v>9667</v>
      </c>
      <c r="D790" s="55">
        <v>13863</v>
      </c>
      <c r="E790" s="55">
        <v>15059</v>
      </c>
      <c r="F790" s="55">
        <v>17171</v>
      </c>
      <c r="G790" s="55">
        <v>16858</v>
      </c>
      <c r="H790" s="55">
        <v>18440</v>
      </c>
      <c r="I790" s="55">
        <v>18613</v>
      </c>
      <c r="J790" s="55">
        <v>20094</v>
      </c>
      <c r="K790" s="55">
        <v>22769</v>
      </c>
      <c r="L790" s="55">
        <v>24083</v>
      </c>
      <c r="M790" s="55">
        <v>25193</v>
      </c>
    </row>
    <row r="791" spans="1:13">
      <c r="A791" s="55" t="s">
        <v>429</v>
      </c>
      <c r="B791" s="55" t="s">
        <v>368</v>
      </c>
      <c r="C791" s="55">
        <v>1070</v>
      </c>
      <c r="D791" s="55">
        <v>1725</v>
      </c>
      <c r="E791" s="55">
        <v>1927</v>
      </c>
      <c r="F791" s="55">
        <v>2370</v>
      </c>
      <c r="G791" s="55">
        <v>2110</v>
      </c>
      <c r="H791" s="55">
        <v>2375</v>
      </c>
      <c r="I791" s="55">
        <v>2580</v>
      </c>
      <c r="J791" s="55">
        <v>2898</v>
      </c>
      <c r="K791" s="55">
        <v>3670</v>
      </c>
      <c r="L791" s="55">
        <v>4018</v>
      </c>
      <c r="M791" s="55">
        <v>4398</v>
      </c>
    </row>
    <row r="792" spans="1:13">
      <c r="A792" s="55" t="s">
        <v>429</v>
      </c>
      <c r="B792" s="55" t="s">
        <v>369</v>
      </c>
      <c r="C792" s="55">
        <v>130902</v>
      </c>
      <c r="D792" s="55">
        <v>146480</v>
      </c>
      <c r="E792" s="55">
        <v>148964</v>
      </c>
      <c r="F792" s="55">
        <v>158014</v>
      </c>
      <c r="G792" s="55">
        <v>164597</v>
      </c>
      <c r="H792" s="55">
        <v>170615</v>
      </c>
      <c r="I792" s="55">
        <v>185127</v>
      </c>
      <c r="J792" s="55">
        <v>202115</v>
      </c>
      <c r="K792" s="55">
        <v>237532</v>
      </c>
      <c r="L792" s="55">
        <v>268104</v>
      </c>
      <c r="M792" s="55">
        <v>322214</v>
      </c>
    </row>
    <row r="793" spans="1:13">
      <c r="A793" s="55" t="s">
        <v>429</v>
      </c>
      <c r="B793" s="55" t="s">
        <v>370</v>
      </c>
      <c r="C793" s="55">
        <v>43953</v>
      </c>
      <c r="D793" s="55">
        <v>49578</v>
      </c>
      <c r="E793" s="55">
        <v>51282</v>
      </c>
      <c r="F793" s="55">
        <v>55477</v>
      </c>
      <c r="G793" s="55">
        <v>57230</v>
      </c>
      <c r="H793" s="55">
        <v>58184</v>
      </c>
      <c r="I793" s="55">
        <v>66183</v>
      </c>
      <c r="J793" s="55">
        <v>70301</v>
      </c>
      <c r="K793" s="55">
        <v>83215</v>
      </c>
      <c r="L793" s="55">
        <v>90539</v>
      </c>
      <c r="M793" s="55">
        <v>103388</v>
      </c>
    </row>
    <row r="794" spans="1:13">
      <c r="A794" s="55" t="s">
        <v>429</v>
      </c>
      <c r="B794" s="55" t="s">
        <v>371</v>
      </c>
      <c r="C794" s="55">
        <v>10697</v>
      </c>
      <c r="D794" s="55">
        <v>13602</v>
      </c>
      <c r="E794" s="55">
        <v>12992</v>
      </c>
      <c r="F794" s="55">
        <v>16131</v>
      </c>
      <c r="G794" s="55">
        <v>18337</v>
      </c>
      <c r="H794" s="55">
        <v>19826</v>
      </c>
      <c r="I794" s="55">
        <v>21232</v>
      </c>
      <c r="J794" s="55">
        <v>24857</v>
      </c>
      <c r="K794" s="55">
        <v>26152</v>
      </c>
      <c r="L794" s="55">
        <v>28758</v>
      </c>
      <c r="M794" s="55">
        <v>29013</v>
      </c>
    </row>
    <row r="795" spans="1:13">
      <c r="A795" s="55" t="s">
        <v>429</v>
      </c>
      <c r="B795" s="55" t="s">
        <v>372</v>
      </c>
      <c r="C795" s="55">
        <v>71450</v>
      </c>
      <c r="D795" s="55">
        <v>76462</v>
      </c>
      <c r="E795" s="55">
        <v>76535</v>
      </c>
      <c r="F795" s="55">
        <v>77284</v>
      </c>
      <c r="G795" s="55">
        <v>79002</v>
      </c>
      <c r="H795" s="55">
        <v>82185</v>
      </c>
      <c r="I795" s="55">
        <v>85895</v>
      </c>
      <c r="J795" s="55">
        <v>92612</v>
      </c>
      <c r="K795" s="55">
        <v>110577</v>
      </c>
      <c r="L795" s="55">
        <v>129550</v>
      </c>
      <c r="M795" s="55">
        <v>170298</v>
      </c>
    </row>
    <row r="796" spans="1:13">
      <c r="A796" s="55" t="s">
        <v>429</v>
      </c>
      <c r="B796" s="55" t="s">
        <v>373</v>
      </c>
      <c r="C796" s="55">
        <v>4801</v>
      </c>
      <c r="D796" s="55">
        <v>6838</v>
      </c>
      <c r="E796" s="55">
        <v>8155</v>
      </c>
      <c r="F796" s="55">
        <v>9123</v>
      </c>
      <c r="G796" s="55">
        <v>10028</v>
      </c>
      <c r="H796" s="55">
        <v>10421</v>
      </c>
      <c r="I796" s="55">
        <v>11817</v>
      </c>
      <c r="J796" s="55">
        <v>14344</v>
      </c>
      <c r="K796" s="55">
        <v>17589</v>
      </c>
      <c r="L796" s="55">
        <v>19258</v>
      </c>
      <c r="M796" s="55">
        <v>19514</v>
      </c>
    </row>
    <row r="797" spans="1:13">
      <c r="A797" s="55" t="s">
        <v>429</v>
      </c>
      <c r="B797" s="55" t="s">
        <v>374</v>
      </c>
      <c r="C797" s="55">
        <v>407391</v>
      </c>
      <c r="D797" s="55">
        <v>457436</v>
      </c>
      <c r="E797" s="55">
        <v>488391</v>
      </c>
      <c r="F797" s="55">
        <v>518524</v>
      </c>
      <c r="G797" s="55">
        <v>523946</v>
      </c>
      <c r="H797" s="55">
        <v>534878</v>
      </c>
      <c r="I797" s="55">
        <v>593857</v>
      </c>
      <c r="J797" s="55">
        <v>647377</v>
      </c>
      <c r="K797" s="55">
        <v>689483</v>
      </c>
      <c r="L797" s="55">
        <v>781775</v>
      </c>
      <c r="M797" s="55">
        <v>829590</v>
      </c>
    </row>
    <row r="798" spans="1:13">
      <c r="A798" s="55" t="s">
        <v>429</v>
      </c>
      <c r="B798" s="55" t="s">
        <v>375</v>
      </c>
      <c r="C798" s="55">
        <v>244493</v>
      </c>
      <c r="D798" s="55">
        <v>254884</v>
      </c>
      <c r="E798" s="55">
        <v>269483</v>
      </c>
      <c r="F798" s="55">
        <v>266175</v>
      </c>
      <c r="G798" s="55">
        <v>266223</v>
      </c>
      <c r="H798" s="55">
        <v>269592</v>
      </c>
      <c r="I798" s="55">
        <v>311593</v>
      </c>
      <c r="J798" s="55">
        <v>334552</v>
      </c>
      <c r="K798" s="55">
        <v>370645</v>
      </c>
      <c r="L798" s="55">
        <v>420592</v>
      </c>
      <c r="M798" s="55">
        <v>460877</v>
      </c>
    </row>
    <row r="799" spans="1:13">
      <c r="A799" s="55" t="s">
        <v>429</v>
      </c>
      <c r="B799" s="55" t="s">
        <v>376</v>
      </c>
      <c r="C799" s="55">
        <v>79329</v>
      </c>
      <c r="D799" s="55">
        <v>90669</v>
      </c>
      <c r="E799" s="55">
        <v>86259</v>
      </c>
      <c r="F799" s="55">
        <v>81930</v>
      </c>
      <c r="G799" s="55">
        <v>76897</v>
      </c>
      <c r="H799" s="55">
        <v>79117</v>
      </c>
      <c r="I799" s="55">
        <v>91661</v>
      </c>
      <c r="J799" s="55">
        <v>105531</v>
      </c>
      <c r="K799" s="55">
        <v>127055</v>
      </c>
      <c r="L799" s="55">
        <v>155275</v>
      </c>
      <c r="M799" s="55">
        <v>180780</v>
      </c>
    </row>
    <row r="800" spans="1:13">
      <c r="A800" s="55" t="s">
        <v>429</v>
      </c>
      <c r="B800" s="55" t="s">
        <v>377</v>
      </c>
      <c r="C800" s="55">
        <v>23027</v>
      </c>
      <c r="D800" s="55">
        <v>18852</v>
      </c>
      <c r="E800" s="55">
        <v>26343</v>
      </c>
      <c r="F800" s="55">
        <v>24588</v>
      </c>
      <c r="G800" s="55">
        <v>34188</v>
      </c>
      <c r="H800" s="55">
        <v>38590</v>
      </c>
      <c r="I800" s="55">
        <v>43740</v>
      </c>
      <c r="J800" s="55">
        <v>44291</v>
      </c>
      <c r="K800" s="55">
        <v>59272</v>
      </c>
      <c r="L800" s="55">
        <v>72818</v>
      </c>
      <c r="M800" s="55">
        <v>81125</v>
      </c>
    </row>
    <row r="801" spans="1:13">
      <c r="A801" s="55" t="s">
        <v>429</v>
      </c>
      <c r="B801" s="55" t="s">
        <v>378</v>
      </c>
      <c r="C801" s="55">
        <v>114116</v>
      </c>
      <c r="D801" s="55">
        <v>120007</v>
      </c>
      <c r="E801" s="55">
        <v>128928</v>
      </c>
      <c r="F801" s="55">
        <v>133125</v>
      </c>
      <c r="G801" s="55">
        <v>130941</v>
      </c>
      <c r="H801" s="55">
        <v>127944</v>
      </c>
      <c r="I801" s="55">
        <v>146964</v>
      </c>
      <c r="J801" s="55">
        <v>154395</v>
      </c>
      <c r="K801" s="55">
        <v>148113</v>
      </c>
      <c r="L801" s="55">
        <v>149186</v>
      </c>
      <c r="M801" s="55">
        <v>146902</v>
      </c>
    </row>
    <row r="802" spans="1:13">
      <c r="A802" s="55" t="s">
        <v>429</v>
      </c>
      <c r="B802" s="55" t="s">
        <v>379</v>
      </c>
      <c r="C802" s="55">
        <v>28022</v>
      </c>
      <c r="D802" s="55">
        <v>25356</v>
      </c>
      <c r="E802" s="55">
        <v>27953</v>
      </c>
      <c r="F802" s="55">
        <v>26531</v>
      </c>
      <c r="G802" s="55">
        <v>24197</v>
      </c>
      <c r="H802" s="55">
        <v>23941</v>
      </c>
      <c r="I802" s="55">
        <v>29229</v>
      </c>
      <c r="J802" s="55">
        <v>30335</v>
      </c>
      <c r="K802" s="55">
        <v>36205</v>
      </c>
      <c r="L802" s="55">
        <v>43313</v>
      </c>
      <c r="M802" s="55">
        <v>52069</v>
      </c>
    </row>
    <row r="803" spans="1:13">
      <c r="A803" s="55" t="s">
        <v>429</v>
      </c>
      <c r="B803" s="55" t="s">
        <v>380</v>
      </c>
      <c r="C803" s="55">
        <v>162897</v>
      </c>
      <c r="D803" s="55">
        <v>202552</v>
      </c>
      <c r="E803" s="55">
        <v>218908</v>
      </c>
      <c r="F803" s="55">
        <v>252349</v>
      </c>
      <c r="G803" s="55">
        <v>257723</v>
      </c>
      <c r="H803" s="55">
        <v>265286</v>
      </c>
      <c r="I803" s="55">
        <v>282264</v>
      </c>
      <c r="J803" s="55">
        <v>312825</v>
      </c>
      <c r="K803" s="55">
        <v>318838</v>
      </c>
      <c r="L803" s="55">
        <v>361183</v>
      </c>
      <c r="M803" s="55">
        <v>368713</v>
      </c>
    </row>
    <row r="804" spans="1:13">
      <c r="A804" s="55" t="s">
        <v>429</v>
      </c>
      <c r="B804" s="55" t="s">
        <v>381</v>
      </c>
      <c r="C804" s="55">
        <v>148644</v>
      </c>
      <c r="D804" s="55">
        <v>182915</v>
      </c>
      <c r="E804" s="55">
        <v>197287</v>
      </c>
      <c r="F804" s="55">
        <v>228525</v>
      </c>
      <c r="G804" s="55">
        <v>234410</v>
      </c>
      <c r="H804" s="55">
        <v>241262</v>
      </c>
      <c r="I804" s="55">
        <v>255360</v>
      </c>
      <c r="J804" s="55">
        <v>282055</v>
      </c>
      <c r="K804" s="55">
        <v>284797</v>
      </c>
      <c r="L804" s="55">
        <v>322400</v>
      </c>
      <c r="M804" s="55">
        <v>327909</v>
      </c>
    </row>
    <row r="805" spans="1:13">
      <c r="A805" s="55" t="s">
        <v>429</v>
      </c>
      <c r="B805" s="55" t="s">
        <v>382</v>
      </c>
      <c r="C805" s="55">
        <v>14253</v>
      </c>
      <c r="D805" s="55">
        <v>19637</v>
      </c>
      <c r="E805" s="55">
        <v>21621</v>
      </c>
      <c r="F805" s="55">
        <v>23825</v>
      </c>
      <c r="G805" s="55">
        <v>23312</v>
      </c>
      <c r="H805" s="55">
        <v>24025</v>
      </c>
      <c r="I805" s="55">
        <v>26904</v>
      </c>
      <c r="J805" s="55">
        <v>30771</v>
      </c>
      <c r="K805" s="55">
        <v>34041</v>
      </c>
      <c r="L805" s="55">
        <v>38783</v>
      </c>
      <c r="M805" s="55">
        <v>40804</v>
      </c>
    </row>
    <row r="806" spans="1:13">
      <c r="A806" s="55" t="s">
        <v>429</v>
      </c>
      <c r="B806" s="55" t="s">
        <v>383</v>
      </c>
      <c r="C806" s="55">
        <v>164766</v>
      </c>
      <c r="D806" s="55">
        <v>200278</v>
      </c>
      <c r="E806" s="55">
        <v>225196</v>
      </c>
      <c r="F806" s="55">
        <v>243959</v>
      </c>
      <c r="G806" s="55">
        <v>255135</v>
      </c>
      <c r="H806" s="55">
        <v>268766</v>
      </c>
      <c r="I806" s="55">
        <v>283764</v>
      </c>
      <c r="J806" s="55">
        <v>313003</v>
      </c>
      <c r="K806" s="55">
        <v>354085</v>
      </c>
      <c r="L806" s="55">
        <v>397949</v>
      </c>
      <c r="M806" s="55">
        <v>446371</v>
      </c>
    </row>
    <row r="807" spans="1:13">
      <c r="A807" s="55" t="s">
        <v>429</v>
      </c>
      <c r="B807" s="55" t="s">
        <v>384</v>
      </c>
      <c r="C807" s="55">
        <v>94479</v>
      </c>
      <c r="D807" s="55">
        <v>106822</v>
      </c>
      <c r="E807" s="55">
        <v>120911</v>
      </c>
      <c r="F807" s="55">
        <v>127920</v>
      </c>
      <c r="G807" s="55">
        <v>133119</v>
      </c>
      <c r="H807" s="55">
        <v>139435</v>
      </c>
      <c r="I807" s="55">
        <v>147476</v>
      </c>
      <c r="J807" s="55">
        <v>158613</v>
      </c>
      <c r="K807" s="55">
        <v>181812</v>
      </c>
      <c r="L807" s="55">
        <v>209086</v>
      </c>
      <c r="M807" s="55">
        <v>241253</v>
      </c>
    </row>
    <row r="808" spans="1:13">
      <c r="A808" s="55" t="s">
        <v>429</v>
      </c>
      <c r="B808" s="55" t="s">
        <v>385</v>
      </c>
      <c r="C808" s="55">
        <v>21683</v>
      </c>
      <c r="D808" s="55">
        <v>22488</v>
      </c>
      <c r="E808" s="55">
        <v>25223</v>
      </c>
      <c r="F808" s="55">
        <v>27920</v>
      </c>
      <c r="G808" s="55">
        <v>28311</v>
      </c>
      <c r="H808" s="55">
        <v>30962</v>
      </c>
      <c r="I808" s="55">
        <v>33317</v>
      </c>
      <c r="J808" s="55">
        <v>35144</v>
      </c>
      <c r="K808" s="55">
        <v>35199</v>
      </c>
      <c r="L808" s="55">
        <v>38953</v>
      </c>
      <c r="M808" s="55">
        <v>43835</v>
      </c>
    </row>
    <row r="809" spans="1:13">
      <c r="A809" s="55" t="s">
        <v>429</v>
      </c>
      <c r="B809" s="55" t="s">
        <v>386</v>
      </c>
      <c r="C809" s="55">
        <v>3551</v>
      </c>
      <c r="D809" s="55">
        <v>5135</v>
      </c>
      <c r="E809" s="55">
        <v>6321</v>
      </c>
      <c r="F809" s="55">
        <v>7261</v>
      </c>
      <c r="G809" s="55">
        <v>8441</v>
      </c>
      <c r="H809" s="55">
        <v>8615</v>
      </c>
      <c r="I809" s="55">
        <v>10553</v>
      </c>
      <c r="J809" s="55">
        <v>13350</v>
      </c>
      <c r="K809" s="55">
        <v>16463</v>
      </c>
      <c r="L809" s="55">
        <v>20704</v>
      </c>
      <c r="M809" s="55">
        <v>27809</v>
      </c>
    </row>
    <row r="810" spans="1:13">
      <c r="A810" s="55" t="s">
        <v>429</v>
      </c>
      <c r="B810" s="55" t="s">
        <v>387</v>
      </c>
      <c r="C810" s="55">
        <v>69246</v>
      </c>
      <c r="D810" s="55">
        <v>79199</v>
      </c>
      <c r="E810" s="55">
        <v>89367</v>
      </c>
      <c r="F810" s="55">
        <v>92739</v>
      </c>
      <c r="G810" s="55">
        <v>96367</v>
      </c>
      <c r="H810" s="55">
        <v>99857</v>
      </c>
      <c r="I810" s="55">
        <v>103605</v>
      </c>
      <c r="J810" s="55">
        <v>110119</v>
      </c>
      <c r="K810" s="55">
        <v>130151</v>
      </c>
      <c r="L810" s="55">
        <v>149429</v>
      </c>
      <c r="M810" s="55">
        <v>169610</v>
      </c>
    </row>
    <row r="811" spans="1:13">
      <c r="A811" s="55" t="s">
        <v>429</v>
      </c>
      <c r="B811" s="55" t="s">
        <v>388</v>
      </c>
      <c r="C811" s="55">
        <v>27772</v>
      </c>
      <c r="D811" s="55">
        <v>37713</v>
      </c>
      <c r="E811" s="55">
        <v>40623</v>
      </c>
      <c r="F811" s="55">
        <v>45073</v>
      </c>
      <c r="G811" s="55">
        <v>48786</v>
      </c>
      <c r="H811" s="55">
        <v>52719</v>
      </c>
      <c r="I811" s="55">
        <v>54894</v>
      </c>
      <c r="J811" s="55">
        <v>61997</v>
      </c>
      <c r="K811" s="55">
        <v>65587</v>
      </c>
      <c r="L811" s="55">
        <v>69004</v>
      </c>
      <c r="M811" s="55">
        <v>71635</v>
      </c>
    </row>
    <row r="812" spans="1:13">
      <c r="A812" s="55" t="s">
        <v>429</v>
      </c>
      <c r="B812" s="55" t="s">
        <v>389</v>
      </c>
      <c r="C812" s="55">
        <v>42515</v>
      </c>
      <c r="D812" s="55">
        <v>55743</v>
      </c>
      <c r="E812" s="55">
        <v>63661</v>
      </c>
      <c r="F812" s="55">
        <v>70966</v>
      </c>
      <c r="G812" s="55">
        <v>73230</v>
      </c>
      <c r="H812" s="55">
        <v>76612</v>
      </c>
      <c r="I812" s="55">
        <v>81395</v>
      </c>
      <c r="J812" s="55">
        <v>92393</v>
      </c>
      <c r="K812" s="55">
        <v>106686</v>
      </c>
      <c r="L812" s="55">
        <v>119859</v>
      </c>
      <c r="M812" s="55">
        <v>133483</v>
      </c>
    </row>
    <row r="813" spans="1:13">
      <c r="A813" s="55" t="s">
        <v>429</v>
      </c>
      <c r="B813" s="55" t="s">
        <v>390</v>
      </c>
      <c r="C813" s="55">
        <v>33573</v>
      </c>
      <c r="D813" s="55">
        <v>44636</v>
      </c>
      <c r="E813" s="55">
        <v>51502</v>
      </c>
      <c r="F813" s="55">
        <v>57380</v>
      </c>
      <c r="G813" s="55">
        <v>59948</v>
      </c>
      <c r="H813" s="55">
        <v>62047</v>
      </c>
      <c r="I813" s="55">
        <v>65961</v>
      </c>
      <c r="J813" s="55">
        <v>75583</v>
      </c>
      <c r="K813" s="55">
        <v>88889</v>
      </c>
      <c r="L813" s="55">
        <v>100427</v>
      </c>
      <c r="M813" s="55">
        <v>113193</v>
      </c>
    </row>
    <row r="814" spans="1:13">
      <c r="A814" s="55" t="s">
        <v>429</v>
      </c>
      <c r="B814" s="55" t="s">
        <v>391</v>
      </c>
      <c r="C814" s="55">
        <v>8942</v>
      </c>
      <c r="D814" s="55">
        <v>11107</v>
      </c>
      <c r="E814" s="55">
        <v>12160</v>
      </c>
      <c r="F814" s="55">
        <v>13587</v>
      </c>
      <c r="G814" s="55">
        <v>13282</v>
      </c>
      <c r="H814" s="55">
        <v>14565</v>
      </c>
      <c r="I814" s="55">
        <v>15433</v>
      </c>
      <c r="J814" s="55">
        <v>16809</v>
      </c>
      <c r="K814" s="55">
        <v>17797</v>
      </c>
      <c r="L814" s="55">
        <v>19432</v>
      </c>
      <c r="M814" s="55">
        <v>20290</v>
      </c>
    </row>
    <row r="815" spans="1:13">
      <c r="A815" s="55" t="s">
        <v>429</v>
      </c>
      <c r="B815" s="55" t="s">
        <v>392</v>
      </c>
      <c r="C815" s="55">
        <v>157893</v>
      </c>
      <c r="D815" s="55">
        <v>190095</v>
      </c>
      <c r="E815" s="55">
        <v>203440</v>
      </c>
      <c r="F815" s="55">
        <v>225265</v>
      </c>
      <c r="G815" s="55">
        <v>240130</v>
      </c>
      <c r="H815" s="55">
        <v>260894</v>
      </c>
      <c r="I815" s="55">
        <v>278138</v>
      </c>
      <c r="J815" s="55">
        <v>291171</v>
      </c>
      <c r="K815" s="55">
        <v>315421</v>
      </c>
      <c r="L815" s="55">
        <v>338990</v>
      </c>
      <c r="M815" s="55">
        <v>360215</v>
      </c>
    </row>
    <row r="816" spans="1:13">
      <c r="A816" s="55" t="s">
        <v>429</v>
      </c>
      <c r="B816" s="55" t="s">
        <v>393</v>
      </c>
      <c r="C816" s="55">
        <v>23491</v>
      </c>
      <c r="D816" s="55">
        <v>27608</v>
      </c>
      <c r="E816" s="55">
        <v>30454</v>
      </c>
      <c r="F816" s="55">
        <v>33614</v>
      </c>
      <c r="G816" s="55">
        <v>34142</v>
      </c>
      <c r="H816" s="55">
        <v>35861</v>
      </c>
      <c r="I816" s="55">
        <v>37622</v>
      </c>
      <c r="J816" s="55">
        <v>38795</v>
      </c>
      <c r="K816" s="55">
        <v>41696</v>
      </c>
      <c r="L816" s="55">
        <v>45655</v>
      </c>
      <c r="M816" s="55">
        <v>45782</v>
      </c>
    </row>
    <row r="817" spans="1:13">
      <c r="A817" s="55" t="s">
        <v>429</v>
      </c>
      <c r="B817" s="55" t="s">
        <v>394</v>
      </c>
      <c r="C817" s="55">
        <v>134402</v>
      </c>
      <c r="D817" s="55">
        <v>162487</v>
      </c>
      <c r="E817" s="55">
        <v>172986</v>
      </c>
      <c r="F817" s="55">
        <v>191651</v>
      </c>
      <c r="G817" s="55">
        <v>205988</v>
      </c>
      <c r="H817" s="55">
        <v>225033</v>
      </c>
      <c r="I817" s="55">
        <v>240515</v>
      </c>
      <c r="J817" s="55">
        <v>252376</v>
      </c>
      <c r="K817" s="55">
        <v>273725</v>
      </c>
      <c r="L817" s="55">
        <v>293335</v>
      </c>
      <c r="M817" s="55">
        <v>314433</v>
      </c>
    </row>
    <row r="818" spans="1:13">
      <c r="A818" s="55" t="s">
        <v>429</v>
      </c>
      <c r="B818" s="55" t="s">
        <v>395</v>
      </c>
      <c r="C818" s="55">
        <v>49937</v>
      </c>
      <c r="D818" s="55">
        <v>62644</v>
      </c>
      <c r="E818" s="55">
        <v>65561</v>
      </c>
      <c r="F818" s="55">
        <v>73253</v>
      </c>
      <c r="G818" s="55">
        <v>79481</v>
      </c>
      <c r="H818" s="55">
        <v>90767</v>
      </c>
      <c r="I818" s="55">
        <v>97728</v>
      </c>
      <c r="J818" s="55">
        <v>104173</v>
      </c>
      <c r="K818" s="55">
        <v>116725</v>
      </c>
      <c r="L818" s="55">
        <v>125498</v>
      </c>
      <c r="M818" s="55">
        <v>135197</v>
      </c>
    </row>
    <row r="819" spans="1:13">
      <c r="A819" s="55" t="s">
        <v>429</v>
      </c>
      <c r="B819" s="55" t="s">
        <v>396</v>
      </c>
      <c r="C819" s="55">
        <v>73776</v>
      </c>
      <c r="D819" s="55">
        <v>85176</v>
      </c>
      <c r="E819" s="55">
        <v>92490</v>
      </c>
      <c r="F819" s="55">
        <v>102013</v>
      </c>
      <c r="G819" s="55">
        <v>110795</v>
      </c>
      <c r="H819" s="55">
        <v>119405</v>
      </c>
      <c r="I819" s="55">
        <v>126153</v>
      </c>
      <c r="J819" s="55">
        <v>130583</v>
      </c>
      <c r="K819" s="55">
        <v>137936</v>
      </c>
      <c r="L819" s="55">
        <v>147216</v>
      </c>
      <c r="M819" s="55">
        <v>155633</v>
      </c>
    </row>
    <row r="820" spans="1:13">
      <c r="A820" s="55" t="s">
        <v>429</v>
      </c>
      <c r="B820" s="55" t="s">
        <v>397</v>
      </c>
      <c r="C820" s="55">
        <v>10690</v>
      </c>
      <c r="D820" s="55">
        <v>14667</v>
      </c>
      <c r="E820" s="55">
        <v>14935</v>
      </c>
      <c r="F820" s="55">
        <v>16385</v>
      </c>
      <c r="G820" s="55">
        <v>15712</v>
      </c>
      <c r="H820" s="55">
        <v>14861</v>
      </c>
      <c r="I820" s="55">
        <v>16635</v>
      </c>
      <c r="J820" s="55">
        <v>17620</v>
      </c>
      <c r="K820" s="55">
        <v>19064</v>
      </c>
      <c r="L820" s="55">
        <v>20620</v>
      </c>
      <c r="M820" s="55">
        <v>23603</v>
      </c>
    </row>
    <row r="821" spans="1:13">
      <c r="A821" s="55" t="s">
        <v>429</v>
      </c>
      <c r="B821" s="55" t="s">
        <v>398</v>
      </c>
      <c r="C821" s="55">
        <v>133266</v>
      </c>
      <c r="D821" s="55">
        <v>148697</v>
      </c>
      <c r="E821" s="55">
        <v>154312</v>
      </c>
      <c r="F821" s="55">
        <v>166985</v>
      </c>
      <c r="G821" s="55">
        <v>170229</v>
      </c>
      <c r="H821" s="55">
        <v>179642</v>
      </c>
      <c r="I821" s="55">
        <v>194262</v>
      </c>
      <c r="J821" s="55">
        <v>208667</v>
      </c>
      <c r="K821" s="55">
        <v>222138</v>
      </c>
      <c r="L821" s="55">
        <v>233833</v>
      </c>
      <c r="M821" s="55">
        <v>240714</v>
      </c>
    </row>
    <row r="822" spans="1:13">
      <c r="A822" s="55" t="s">
        <v>429</v>
      </c>
      <c r="B822" s="55" t="s">
        <v>399</v>
      </c>
      <c r="C822" s="55">
        <v>15607</v>
      </c>
      <c r="D822" s="55">
        <v>19317</v>
      </c>
      <c r="E822" s="55">
        <v>18993</v>
      </c>
      <c r="F822" s="55">
        <v>20438</v>
      </c>
      <c r="G822" s="55">
        <v>21804</v>
      </c>
      <c r="H822" s="55">
        <v>23398</v>
      </c>
      <c r="I822" s="55">
        <v>29771</v>
      </c>
      <c r="J822" s="55">
        <v>34264</v>
      </c>
      <c r="K822" s="55">
        <v>40317</v>
      </c>
      <c r="L822" s="55">
        <v>45006</v>
      </c>
      <c r="M822" s="55">
        <v>44435</v>
      </c>
    </row>
    <row r="823" spans="1:13">
      <c r="A823" s="55" t="s">
        <v>429</v>
      </c>
      <c r="B823" s="55" t="s">
        <v>400</v>
      </c>
      <c r="C823" s="55">
        <v>6946</v>
      </c>
      <c r="D823" s="55">
        <v>8438</v>
      </c>
      <c r="E823" s="55">
        <v>7780</v>
      </c>
      <c r="F823" s="55">
        <v>8860</v>
      </c>
      <c r="G823" s="55">
        <v>9729</v>
      </c>
      <c r="H823" s="55">
        <v>10219</v>
      </c>
      <c r="I823" s="55">
        <v>12953</v>
      </c>
      <c r="J823" s="55">
        <v>15047</v>
      </c>
      <c r="K823" s="55">
        <v>17593</v>
      </c>
      <c r="L823" s="55">
        <v>19870</v>
      </c>
      <c r="M823" s="55">
        <v>19501</v>
      </c>
    </row>
    <row r="824" spans="1:13">
      <c r="A824" s="55" t="s">
        <v>429</v>
      </c>
      <c r="B824" s="55" t="s">
        <v>401</v>
      </c>
      <c r="C824" s="55">
        <v>8661</v>
      </c>
      <c r="D824" s="55">
        <v>10879</v>
      </c>
      <c r="E824" s="55">
        <v>11213</v>
      </c>
      <c r="F824" s="55">
        <v>11578</v>
      </c>
      <c r="G824" s="55">
        <v>12074</v>
      </c>
      <c r="H824" s="55">
        <v>13179</v>
      </c>
      <c r="I824" s="55">
        <v>16818</v>
      </c>
      <c r="J824" s="55">
        <v>19217</v>
      </c>
      <c r="K824" s="55">
        <v>22724</v>
      </c>
      <c r="L824" s="55">
        <v>25136</v>
      </c>
      <c r="M824" s="55">
        <v>24934</v>
      </c>
    </row>
    <row r="825" spans="1:13">
      <c r="A825" s="55" t="s">
        <v>429</v>
      </c>
      <c r="B825" s="55" t="s">
        <v>402</v>
      </c>
      <c r="C825" s="55">
        <v>117659</v>
      </c>
      <c r="D825" s="55">
        <v>129380</v>
      </c>
      <c r="E825" s="55">
        <v>135319</v>
      </c>
      <c r="F825" s="55">
        <v>146547</v>
      </c>
      <c r="G825" s="55">
        <v>148425</v>
      </c>
      <c r="H825" s="55">
        <v>156244</v>
      </c>
      <c r="I825" s="55">
        <v>164491</v>
      </c>
      <c r="J825" s="55">
        <v>174404</v>
      </c>
      <c r="K825" s="55">
        <v>181821</v>
      </c>
      <c r="L825" s="55">
        <v>188827</v>
      </c>
      <c r="M825" s="55">
        <v>196279</v>
      </c>
    </row>
    <row r="826" spans="1:13">
      <c r="A826" s="55" t="s">
        <v>429</v>
      </c>
      <c r="B826" s="55" t="s">
        <v>403</v>
      </c>
      <c r="C826" s="55">
        <v>24996</v>
      </c>
      <c r="D826" s="55">
        <v>28581</v>
      </c>
      <c r="E826" s="55">
        <v>28945</v>
      </c>
      <c r="F826" s="55">
        <v>30244</v>
      </c>
      <c r="G826" s="55">
        <v>29765</v>
      </c>
      <c r="H826" s="55">
        <v>33457</v>
      </c>
      <c r="I826" s="55">
        <v>34382</v>
      </c>
      <c r="J826" s="55">
        <v>37476</v>
      </c>
      <c r="K826" s="55">
        <v>39552</v>
      </c>
      <c r="L826" s="55">
        <v>41870</v>
      </c>
      <c r="M826" s="55">
        <v>42972</v>
      </c>
    </row>
    <row r="827" spans="1:13">
      <c r="A827" s="55" t="s">
        <v>429</v>
      </c>
      <c r="B827" s="55" t="s">
        <v>404</v>
      </c>
      <c r="C827" s="55">
        <v>92662</v>
      </c>
      <c r="D827" s="55">
        <v>100799</v>
      </c>
      <c r="E827" s="55">
        <v>106374</v>
      </c>
      <c r="F827" s="55">
        <v>116303</v>
      </c>
      <c r="G827" s="55">
        <v>118660</v>
      </c>
      <c r="H827" s="55">
        <v>122787</v>
      </c>
      <c r="I827" s="55">
        <v>130109</v>
      </c>
      <c r="J827" s="55">
        <v>136928</v>
      </c>
      <c r="K827" s="55">
        <v>142268</v>
      </c>
      <c r="L827" s="55">
        <v>146957</v>
      </c>
      <c r="M827" s="55">
        <v>153307</v>
      </c>
    </row>
    <row r="828" spans="1:13">
      <c r="A828" s="55" t="s">
        <v>429</v>
      </c>
      <c r="B828" s="55" t="s">
        <v>405</v>
      </c>
      <c r="C828" s="55">
        <v>69017</v>
      </c>
      <c r="D828" s="55">
        <v>77969</v>
      </c>
      <c r="E828" s="55">
        <v>84300</v>
      </c>
      <c r="F828" s="55">
        <v>88829</v>
      </c>
      <c r="G828" s="55">
        <v>86527</v>
      </c>
      <c r="H828" s="55">
        <v>99828</v>
      </c>
      <c r="I828" s="55">
        <v>100852</v>
      </c>
      <c r="J828" s="55">
        <v>110087</v>
      </c>
      <c r="K828" s="55">
        <v>124352</v>
      </c>
      <c r="L828" s="55">
        <v>133754</v>
      </c>
      <c r="M828" s="55">
        <v>134986</v>
      </c>
    </row>
    <row r="829" spans="1:13">
      <c r="A829" s="55" t="s">
        <v>429</v>
      </c>
      <c r="B829" s="55" t="s">
        <v>174</v>
      </c>
      <c r="C829" s="55">
        <v>361789</v>
      </c>
      <c r="D829" s="55">
        <v>370024</v>
      </c>
      <c r="E829" s="55">
        <v>392908</v>
      </c>
      <c r="F829" s="55">
        <v>421384</v>
      </c>
      <c r="G829" s="55">
        <v>440747</v>
      </c>
      <c r="H829" s="55">
        <v>454144</v>
      </c>
      <c r="I829" s="55">
        <v>470593</v>
      </c>
      <c r="J829" s="55">
        <v>493884</v>
      </c>
      <c r="K829" s="55">
        <v>517456</v>
      </c>
      <c r="L829" s="55">
        <v>539286</v>
      </c>
      <c r="M829" s="55">
        <v>566061</v>
      </c>
    </row>
    <row r="830" spans="1:13">
      <c r="A830" s="55" t="s">
        <v>429</v>
      </c>
      <c r="B830" s="55" t="s">
        <v>219</v>
      </c>
      <c r="C830" s="55">
        <v>169599</v>
      </c>
      <c r="D830" s="55">
        <v>166987</v>
      </c>
      <c r="E830" s="55">
        <v>173551</v>
      </c>
      <c r="F830" s="55">
        <v>185088</v>
      </c>
      <c r="G830" s="55">
        <v>187602</v>
      </c>
      <c r="H830" s="55">
        <v>183371</v>
      </c>
      <c r="I830" s="55">
        <v>179640</v>
      </c>
      <c r="J830" s="55">
        <v>181036</v>
      </c>
      <c r="K830" s="55">
        <v>182450</v>
      </c>
      <c r="L830" s="55">
        <v>186855</v>
      </c>
      <c r="M830" s="55">
        <v>192383</v>
      </c>
    </row>
    <row r="831" spans="1:13">
      <c r="A831" s="55" t="s">
        <v>429</v>
      </c>
      <c r="B831" s="55" t="s">
        <v>406</v>
      </c>
      <c r="C831" s="55">
        <v>158260</v>
      </c>
      <c r="D831" s="55">
        <v>155771</v>
      </c>
      <c r="E831" s="55">
        <v>161465</v>
      </c>
      <c r="F831" s="55">
        <v>170525</v>
      </c>
      <c r="G831" s="55">
        <v>174811</v>
      </c>
      <c r="H831" s="55">
        <v>173438</v>
      </c>
      <c r="I831" s="55">
        <v>167029</v>
      </c>
      <c r="J831" s="55">
        <v>168563</v>
      </c>
      <c r="K831" s="55">
        <v>167194</v>
      </c>
      <c r="L831" s="55">
        <v>170148</v>
      </c>
      <c r="M831" s="55">
        <v>176596</v>
      </c>
    </row>
    <row r="832" spans="1:13">
      <c r="A832" s="55" t="s">
        <v>429</v>
      </c>
      <c r="B832" s="55" t="s">
        <v>407</v>
      </c>
      <c r="C832" s="55">
        <v>11339</v>
      </c>
      <c r="D832" s="55">
        <v>11216</v>
      </c>
      <c r="E832" s="55">
        <v>12086</v>
      </c>
      <c r="F832" s="55">
        <v>14563</v>
      </c>
      <c r="G832" s="55">
        <v>12791</v>
      </c>
      <c r="H832" s="55">
        <v>9933</v>
      </c>
      <c r="I832" s="55">
        <v>12611</v>
      </c>
      <c r="J832" s="55">
        <v>12473</v>
      </c>
      <c r="K832" s="55">
        <v>15256</v>
      </c>
      <c r="L832" s="55">
        <v>16707</v>
      </c>
      <c r="M832" s="55">
        <v>15787</v>
      </c>
    </row>
    <row r="833" spans="1:20">
      <c r="A833" s="55" t="s">
        <v>429</v>
      </c>
      <c r="B833" s="55" t="s">
        <v>221</v>
      </c>
      <c r="C833" s="55">
        <v>192191</v>
      </c>
      <c r="D833" s="55">
        <v>203037</v>
      </c>
      <c r="E833" s="55">
        <v>219357</v>
      </c>
      <c r="F833" s="55">
        <v>236296</v>
      </c>
      <c r="G833" s="55">
        <v>253145</v>
      </c>
      <c r="H833" s="55">
        <v>270773</v>
      </c>
      <c r="I833" s="55">
        <v>290953</v>
      </c>
      <c r="J833" s="55">
        <v>312848</v>
      </c>
      <c r="K833" s="55">
        <v>335006</v>
      </c>
      <c r="L833" s="55">
        <v>352431</v>
      </c>
      <c r="M833" s="55">
        <v>373678</v>
      </c>
    </row>
    <row r="834" spans="1:20">
      <c r="A834" s="55" t="s">
        <v>429</v>
      </c>
      <c r="B834" s="55" t="s">
        <v>406</v>
      </c>
      <c r="C834" s="55">
        <v>156209</v>
      </c>
      <c r="D834" s="55">
        <v>165964</v>
      </c>
      <c r="E834" s="55">
        <v>180233</v>
      </c>
      <c r="F834" s="55">
        <v>195168</v>
      </c>
      <c r="G834" s="55">
        <v>209419</v>
      </c>
      <c r="H834" s="55">
        <v>224916</v>
      </c>
      <c r="I834" s="55">
        <v>240602</v>
      </c>
      <c r="J834" s="55">
        <v>256848</v>
      </c>
      <c r="K834" s="55">
        <v>275780</v>
      </c>
      <c r="L834" s="55">
        <v>290584</v>
      </c>
      <c r="M834" s="55">
        <v>309621</v>
      </c>
    </row>
    <row r="835" spans="1:20">
      <c r="A835" s="55" t="s">
        <v>429</v>
      </c>
      <c r="B835" s="55" t="s">
        <v>407</v>
      </c>
      <c r="C835" s="55">
        <v>35981</v>
      </c>
      <c r="D835" s="55">
        <v>37073</v>
      </c>
      <c r="E835" s="55">
        <v>39124</v>
      </c>
      <c r="F835" s="55">
        <v>41129</v>
      </c>
      <c r="G835" s="55">
        <v>43725</v>
      </c>
      <c r="H835" s="55">
        <v>45857</v>
      </c>
      <c r="I835" s="55">
        <v>50351</v>
      </c>
      <c r="J835" s="55">
        <v>56000</v>
      </c>
      <c r="K835" s="55">
        <v>59226</v>
      </c>
      <c r="L835" s="55">
        <v>61848</v>
      </c>
      <c r="M835" s="55">
        <v>64057</v>
      </c>
    </row>
    <row r="836" spans="1:20">
      <c r="A836" s="55" t="s">
        <v>429</v>
      </c>
      <c r="B836" s="55" t="s">
        <v>408</v>
      </c>
      <c r="C836" s="55">
        <v>1989091</v>
      </c>
      <c r="D836" s="55">
        <v>2133301</v>
      </c>
      <c r="E836" s="55">
        <v>2234249</v>
      </c>
      <c r="F836" s="55">
        <v>2287928</v>
      </c>
      <c r="G836" s="55">
        <v>2213498</v>
      </c>
      <c r="H836" s="55">
        <v>2315080</v>
      </c>
      <c r="I836" s="55">
        <v>2420887</v>
      </c>
      <c r="J836" s="55">
        <v>2591442</v>
      </c>
      <c r="K836" s="55">
        <v>2802104</v>
      </c>
      <c r="L836" s="55">
        <v>2930864</v>
      </c>
      <c r="M836" s="55">
        <v>3112747</v>
      </c>
    </row>
    <row r="837" spans="1:20">
      <c r="A837" s="55" t="s">
        <v>429</v>
      </c>
      <c r="B837" s="55" t="s">
        <v>409</v>
      </c>
      <c r="C837" s="55">
        <v>1552689</v>
      </c>
      <c r="D837" s="55">
        <v>1755769</v>
      </c>
      <c r="E837" s="55">
        <v>1860263</v>
      </c>
      <c r="F837" s="55">
        <v>2001275</v>
      </c>
      <c r="G837" s="55">
        <v>2030133</v>
      </c>
      <c r="H837" s="55">
        <v>2130896</v>
      </c>
      <c r="I837" s="55">
        <v>2298789</v>
      </c>
      <c r="J837" s="55">
        <v>2476713</v>
      </c>
      <c r="K837" s="55">
        <v>2717379</v>
      </c>
      <c r="L837" s="55">
        <v>2951293</v>
      </c>
      <c r="M837" s="55">
        <v>3149363</v>
      </c>
    </row>
    <row r="838" spans="1:20">
      <c r="A838" s="55" t="s">
        <v>429</v>
      </c>
      <c r="B838" s="55" t="s">
        <v>410</v>
      </c>
      <c r="C838" s="55">
        <v>183671</v>
      </c>
      <c r="D838" s="55">
        <v>204734</v>
      </c>
      <c r="E838" s="55">
        <v>209504</v>
      </c>
      <c r="F838" s="55">
        <v>221845</v>
      </c>
      <c r="G838" s="55">
        <v>225782</v>
      </c>
      <c r="H838" s="55">
        <v>240490</v>
      </c>
      <c r="I838" s="55">
        <v>261686</v>
      </c>
      <c r="J838" s="55">
        <v>293319</v>
      </c>
      <c r="K838" s="55">
        <v>349455</v>
      </c>
      <c r="L838" s="55">
        <v>381990</v>
      </c>
      <c r="M838" s="55">
        <v>425208</v>
      </c>
    </row>
    <row r="840" spans="1:20">
      <c r="A840" s="60" t="s">
        <v>430</v>
      </c>
      <c r="O840" s="57"/>
      <c r="P840" s="57"/>
      <c r="Q840" s="57"/>
      <c r="R840" s="57"/>
      <c r="S840" s="57"/>
      <c r="T840" s="57"/>
    </row>
    <row r="841" spans="1:20">
      <c r="A841" s="58" t="s">
        <v>431</v>
      </c>
      <c r="B841" s="55" t="s">
        <v>423</v>
      </c>
      <c r="C841" s="57">
        <v>55.573999999999998</v>
      </c>
      <c r="D841" s="57">
        <v>58.38</v>
      </c>
      <c r="E841" s="57">
        <v>59.170999999999999</v>
      </c>
      <c r="F841" s="57">
        <v>60.186999999999998</v>
      </c>
      <c r="G841" s="57">
        <v>59.252000000000002</v>
      </c>
      <c r="H841" s="57">
        <v>61.146000000000001</v>
      </c>
      <c r="I841" s="57">
        <v>63.685000000000002</v>
      </c>
      <c r="J841" s="57">
        <v>67.069000000000003</v>
      </c>
      <c r="K841" s="57">
        <v>70.515000000000001</v>
      </c>
      <c r="L841" s="57">
        <v>73.896000000000001</v>
      </c>
      <c r="M841" s="57">
        <v>78.185000000000002</v>
      </c>
      <c r="N841" s="57"/>
      <c r="O841" s="57"/>
      <c r="P841" s="57"/>
      <c r="Q841" s="57"/>
      <c r="R841" s="57"/>
      <c r="S841" s="57"/>
      <c r="T841" s="57"/>
    </row>
    <row r="842" spans="1:20">
      <c r="A842" s="58" t="s">
        <v>431</v>
      </c>
      <c r="B842" s="55" t="s">
        <v>326</v>
      </c>
      <c r="C842" s="57">
        <v>55.261000000000003</v>
      </c>
      <c r="D842" s="57">
        <v>58.323</v>
      </c>
      <c r="E842" s="57">
        <v>59.036000000000001</v>
      </c>
      <c r="F842" s="57">
        <v>60.008000000000003</v>
      </c>
      <c r="G842" s="57">
        <v>58.851999999999997</v>
      </c>
      <c r="H842" s="57">
        <v>60.869</v>
      </c>
      <c r="I842" s="57">
        <v>63.548999999999999</v>
      </c>
      <c r="J842" s="57">
        <v>67.061000000000007</v>
      </c>
      <c r="K842" s="57">
        <v>70.721000000000004</v>
      </c>
      <c r="L842" s="57">
        <v>74.319999999999993</v>
      </c>
      <c r="M842" s="57">
        <v>78.802999999999997</v>
      </c>
      <c r="N842" s="57"/>
      <c r="O842" s="57"/>
      <c r="P842" s="57"/>
      <c r="Q842" s="57"/>
      <c r="R842" s="57"/>
      <c r="S842" s="57"/>
      <c r="T842" s="57"/>
    </row>
    <row r="843" spans="1:20">
      <c r="A843" s="58" t="s">
        <v>431</v>
      </c>
      <c r="B843" s="55" t="s">
        <v>327</v>
      </c>
      <c r="C843" s="57">
        <v>89.887</v>
      </c>
      <c r="D843" s="57">
        <v>92.632999999999996</v>
      </c>
      <c r="E843" s="57">
        <v>92.367999999999995</v>
      </c>
      <c r="F843" s="57">
        <v>94.393000000000001</v>
      </c>
      <c r="G843" s="57">
        <v>94.957999999999998</v>
      </c>
      <c r="H843" s="57">
        <v>94.977999999999994</v>
      </c>
      <c r="I843" s="57">
        <v>99.713999999999999</v>
      </c>
      <c r="J843" s="57">
        <v>101.499</v>
      </c>
      <c r="K843" s="57">
        <v>107.97</v>
      </c>
      <c r="L843" s="57">
        <v>102.402</v>
      </c>
      <c r="M843" s="57">
        <v>105.301</v>
      </c>
      <c r="N843" s="57"/>
      <c r="O843" s="57"/>
      <c r="P843" s="57"/>
      <c r="Q843" s="57"/>
      <c r="R843" s="57"/>
      <c r="S843" s="57"/>
      <c r="T843" s="57"/>
    </row>
    <row r="844" spans="1:20">
      <c r="A844" s="58" t="s">
        <v>431</v>
      </c>
      <c r="B844" s="55" t="s">
        <v>328</v>
      </c>
      <c r="C844" s="57">
        <v>92.727999999999994</v>
      </c>
      <c r="D844" s="57">
        <v>93.67</v>
      </c>
      <c r="E844" s="57">
        <v>94.087999999999994</v>
      </c>
      <c r="F844" s="57">
        <v>96.259</v>
      </c>
      <c r="G844" s="57">
        <v>97.415999999999997</v>
      </c>
      <c r="H844" s="57">
        <v>95.274000000000001</v>
      </c>
      <c r="I844" s="57">
        <v>100.768</v>
      </c>
      <c r="J844" s="57">
        <v>102.092</v>
      </c>
      <c r="K844" s="57">
        <v>110.012</v>
      </c>
      <c r="L844" s="57">
        <v>103.342</v>
      </c>
      <c r="M844" s="57">
        <v>107.68</v>
      </c>
      <c r="N844" s="57"/>
      <c r="O844" s="57"/>
      <c r="P844" s="57"/>
      <c r="Q844" s="57"/>
      <c r="R844" s="57"/>
      <c r="S844" s="57"/>
      <c r="T844" s="57"/>
    </row>
    <row r="845" spans="1:20">
      <c r="A845" s="58" t="s">
        <v>431</v>
      </c>
      <c r="B845" s="55" t="s">
        <v>329</v>
      </c>
      <c r="C845" s="57">
        <v>69.75</v>
      </c>
      <c r="D845" s="57">
        <v>85.116</v>
      </c>
      <c r="E845" s="57">
        <v>80.114999999999995</v>
      </c>
      <c r="F845" s="57">
        <v>81.135000000000005</v>
      </c>
      <c r="G845" s="57">
        <v>77.685000000000002</v>
      </c>
      <c r="H845" s="57">
        <v>91.95</v>
      </c>
      <c r="I845" s="57">
        <v>91.96</v>
      </c>
      <c r="J845" s="57">
        <v>96.438999999999993</v>
      </c>
      <c r="K845" s="57">
        <v>94.408000000000001</v>
      </c>
      <c r="L845" s="57">
        <v>95.436999999999998</v>
      </c>
      <c r="M845" s="57">
        <v>89.483999999999995</v>
      </c>
      <c r="N845" s="57"/>
      <c r="O845" s="57"/>
      <c r="P845" s="57"/>
      <c r="Q845" s="57"/>
      <c r="R845" s="57"/>
      <c r="S845" s="57"/>
      <c r="T845" s="57"/>
    </row>
    <row r="846" spans="1:20">
      <c r="A846" s="58" t="s">
        <v>431</v>
      </c>
      <c r="B846" s="55" t="s">
        <v>330</v>
      </c>
      <c r="C846" s="57">
        <v>60.927999999999997</v>
      </c>
      <c r="D846" s="57">
        <v>59.951999999999998</v>
      </c>
      <c r="E846" s="57">
        <v>58.823999999999998</v>
      </c>
      <c r="F846" s="57">
        <v>63.094000000000001</v>
      </c>
      <c r="G846" s="57">
        <v>64.477999999999994</v>
      </c>
      <c r="H846" s="57">
        <v>63.441000000000003</v>
      </c>
      <c r="I846" s="57">
        <v>61.914000000000001</v>
      </c>
      <c r="J846" s="57">
        <v>58.152000000000001</v>
      </c>
      <c r="K846" s="57">
        <v>55.006</v>
      </c>
      <c r="L846" s="57">
        <v>62.636000000000003</v>
      </c>
      <c r="M846" s="57">
        <v>66.311000000000007</v>
      </c>
      <c r="N846" s="57"/>
      <c r="O846" s="57"/>
      <c r="P846" s="57"/>
      <c r="Q846" s="57"/>
      <c r="R846" s="57"/>
      <c r="S846" s="57"/>
      <c r="T846" s="57"/>
    </row>
    <row r="847" spans="1:20">
      <c r="A847" s="58" t="s">
        <v>431</v>
      </c>
      <c r="B847" s="55" t="s">
        <v>331</v>
      </c>
      <c r="C847" s="57">
        <v>71.625</v>
      </c>
      <c r="D847" s="57">
        <v>66.349999999999994</v>
      </c>
      <c r="E847" s="57">
        <v>64.585999999999999</v>
      </c>
      <c r="F847" s="57">
        <v>70.462999999999994</v>
      </c>
      <c r="G847" s="57">
        <v>74.813000000000002</v>
      </c>
      <c r="H847" s="57">
        <v>79.584000000000003</v>
      </c>
      <c r="I847" s="57">
        <v>77.878</v>
      </c>
      <c r="J847" s="57">
        <v>68.039000000000001</v>
      </c>
      <c r="K847" s="57">
        <v>61.125999999999998</v>
      </c>
      <c r="L847" s="57">
        <v>75.844999999999999</v>
      </c>
      <c r="M847" s="57">
        <v>77.049000000000007</v>
      </c>
      <c r="N847" s="57"/>
      <c r="O847" s="57"/>
      <c r="P847" s="57"/>
      <c r="Q847" s="57"/>
      <c r="R847" s="57"/>
      <c r="S847" s="57"/>
      <c r="T847" s="57"/>
    </row>
    <row r="848" spans="1:20">
      <c r="A848" s="58" t="s">
        <v>431</v>
      </c>
      <c r="B848" s="55" t="s">
        <v>332</v>
      </c>
      <c r="C848" s="57">
        <v>103.23399999999999</v>
      </c>
      <c r="D848" s="57">
        <v>105.02</v>
      </c>
      <c r="E848" s="57">
        <v>104.527</v>
      </c>
      <c r="F848" s="57">
        <v>107.691</v>
      </c>
      <c r="G848" s="57">
        <v>106.26900000000001</v>
      </c>
      <c r="H848" s="57">
        <v>99.546000000000006</v>
      </c>
      <c r="I848" s="57">
        <v>92.204999999999998</v>
      </c>
      <c r="J848" s="57">
        <v>95.822999999999993</v>
      </c>
      <c r="K848" s="57">
        <v>95.831999999999994</v>
      </c>
      <c r="L848" s="57">
        <v>94.372</v>
      </c>
      <c r="M848" s="57">
        <v>94.866</v>
      </c>
      <c r="N848" s="57"/>
      <c r="O848" s="57"/>
      <c r="P848" s="57"/>
      <c r="Q848" s="57"/>
      <c r="R848" s="57"/>
      <c r="S848" s="57"/>
      <c r="T848" s="57"/>
    </row>
    <row r="849" spans="1:20">
      <c r="A849" s="58" t="s">
        <v>431</v>
      </c>
      <c r="B849" s="55" t="s">
        <v>333</v>
      </c>
      <c r="C849" s="57">
        <v>14.019</v>
      </c>
      <c r="D849" s="57">
        <v>16.216999999999999</v>
      </c>
      <c r="E849" s="57">
        <v>15.420999999999999</v>
      </c>
      <c r="F849" s="57">
        <v>18.338000000000001</v>
      </c>
      <c r="G849" s="57">
        <v>18.024000000000001</v>
      </c>
      <c r="H849" s="57">
        <v>14.226000000000001</v>
      </c>
      <c r="I849" s="57">
        <v>17.097999999999999</v>
      </c>
      <c r="J849" s="57">
        <v>15.513999999999999</v>
      </c>
      <c r="K849" s="57">
        <v>14.73</v>
      </c>
      <c r="L849" s="57">
        <v>19.567</v>
      </c>
      <c r="M849" s="57">
        <v>27.98</v>
      </c>
      <c r="N849" s="57"/>
      <c r="O849" s="57"/>
      <c r="P849" s="57"/>
      <c r="Q849" s="57"/>
      <c r="R849" s="57"/>
      <c r="S849" s="57"/>
      <c r="T849" s="57"/>
    </row>
    <row r="850" spans="1:20">
      <c r="A850" s="58" t="s">
        <v>431</v>
      </c>
      <c r="B850" s="55" t="s">
        <v>334</v>
      </c>
      <c r="C850" s="57">
        <v>72.774000000000001</v>
      </c>
      <c r="D850" s="57">
        <v>85.847999999999999</v>
      </c>
      <c r="E850" s="57">
        <v>82.286000000000001</v>
      </c>
      <c r="F850" s="57">
        <v>75.325000000000003</v>
      </c>
      <c r="G850" s="57">
        <v>82.344999999999999</v>
      </c>
      <c r="H850" s="57">
        <v>85.492999999999995</v>
      </c>
      <c r="I850" s="57">
        <v>93.491</v>
      </c>
      <c r="J850" s="57">
        <v>89.74</v>
      </c>
      <c r="K850" s="57">
        <v>85.191999999999993</v>
      </c>
      <c r="L850" s="57">
        <v>90.328999999999994</v>
      </c>
      <c r="M850" s="57">
        <v>100.28700000000001</v>
      </c>
      <c r="N850" s="57"/>
      <c r="O850" s="57"/>
      <c r="P850" s="57"/>
      <c r="Q850" s="57"/>
      <c r="R850" s="57"/>
      <c r="S850" s="57"/>
      <c r="T850" s="57"/>
    </row>
    <row r="851" spans="1:20">
      <c r="A851" s="58" t="s">
        <v>431</v>
      </c>
      <c r="B851" s="55" t="s">
        <v>335</v>
      </c>
      <c r="C851" s="57">
        <v>70.465000000000003</v>
      </c>
      <c r="D851" s="57">
        <v>67.563999999999993</v>
      </c>
      <c r="E851" s="57">
        <v>65.656000000000006</v>
      </c>
      <c r="F851" s="57">
        <v>64.099000000000004</v>
      </c>
      <c r="G851" s="57">
        <v>57.756</v>
      </c>
      <c r="H851" s="57">
        <v>60.968000000000004</v>
      </c>
      <c r="I851" s="57">
        <v>63.09</v>
      </c>
      <c r="J851" s="57">
        <v>66.012</v>
      </c>
      <c r="K851" s="57">
        <v>67.061999999999998</v>
      </c>
      <c r="L851" s="57">
        <v>72.736000000000004</v>
      </c>
      <c r="M851" s="57">
        <v>76.721000000000004</v>
      </c>
      <c r="N851" s="57"/>
      <c r="O851" s="57"/>
      <c r="P851" s="57"/>
      <c r="Q851" s="57"/>
      <c r="R851" s="57"/>
      <c r="S851" s="57"/>
      <c r="T851" s="57"/>
    </row>
    <row r="852" spans="1:20">
      <c r="A852" s="58" t="s">
        <v>431</v>
      </c>
      <c r="B852" s="55" t="s">
        <v>336</v>
      </c>
      <c r="C852" s="57">
        <v>69.777000000000001</v>
      </c>
      <c r="D852" s="57">
        <v>72.454999999999998</v>
      </c>
      <c r="E852" s="57">
        <v>73.427000000000007</v>
      </c>
      <c r="F852" s="57">
        <v>73.551000000000002</v>
      </c>
      <c r="G852" s="57">
        <v>71.989000000000004</v>
      </c>
      <c r="H852" s="57">
        <v>75.201999999999998</v>
      </c>
      <c r="I852" s="57">
        <v>77.591999999999999</v>
      </c>
      <c r="J852" s="57">
        <v>82.167000000000002</v>
      </c>
      <c r="K852" s="57">
        <v>86.471999999999994</v>
      </c>
      <c r="L852" s="57">
        <v>89.531000000000006</v>
      </c>
      <c r="M852" s="57">
        <v>96.263000000000005</v>
      </c>
      <c r="N852" s="57"/>
      <c r="O852" s="57"/>
      <c r="P852" s="57"/>
      <c r="Q852" s="57"/>
      <c r="R852" s="57"/>
      <c r="S852" s="57"/>
      <c r="T852" s="57"/>
    </row>
    <row r="853" spans="1:20">
      <c r="A853" s="58" t="s">
        <v>431</v>
      </c>
      <c r="B853" s="55" t="s">
        <v>337</v>
      </c>
      <c r="C853" s="57">
        <v>60.295000000000002</v>
      </c>
      <c r="D853" s="57">
        <v>62.802</v>
      </c>
      <c r="E853" s="57">
        <v>63.218000000000004</v>
      </c>
      <c r="F853" s="57">
        <v>63.183</v>
      </c>
      <c r="G853" s="57">
        <v>60.354999999999997</v>
      </c>
      <c r="H853" s="57">
        <v>65.001000000000005</v>
      </c>
      <c r="I853" s="57">
        <v>69.034999999999997</v>
      </c>
      <c r="J853" s="57">
        <v>75.367000000000004</v>
      </c>
      <c r="K853" s="57">
        <v>81.233999999999995</v>
      </c>
      <c r="L853" s="57">
        <v>86.622</v>
      </c>
      <c r="M853" s="57">
        <v>95.239000000000004</v>
      </c>
      <c r="N853" s="57"/>
      <c r="O853" s="57"/>
      <c r="P853" s="57"/>
      <c r="Q853" s="57"/>
      <c r="R853" s="57"/>
      <c r="S853" s="57"/>
      <c r="T853" s="57"/>
    </row>
    <row r="854" spans="1:20">
      <c r="A854" s="58" t="s">
        <v>431</v>
      </c>
      <c r="B854" s="55" t="s">
        <v>338</v>
      </c>
      <c r="C854" s="57">
        <v>68.649000000000001</v>
      </c>
      <c r="D854" s="57">
        <v>67.867000000000004</v>
      </c>
      <c r="E854" s="57">
        <v>65.341999999999999</v>
      </c>
      <c r="F854" s="57">
        <v>64.018000000000001</v>
      </c>
      <c r="G854" s="57">
        <v>59.49</v>
      </c>
      <c r="H854" s="57">
        <v>67.14</v>
      </c>
      <c r="I854" s="57">
        <v>71.399000000000001</v>
      </c>
      <c r="J854" s="57">
        <v>76.69</v>
      </c>
      <c r="K854" s="57">
        <v>76.453000000000003</v>
      </c>
      <c r="L854" s="57">
        <v>80.03</v>
      </c>
      <c r="M854" s="57">
        <v>84.022999999999996</v>
      </c>
      <c r="N854" s="57"/>
      <c r="O854" s="57"/>
      <c r="P854" s="57"/>
      <c r="Q854" s="57"/>
      <c r="R854" s="57"/>
      <c r="S854" s="57"/>
      <c r="T854" s="57"/>
    </row>
    <row r="855" spans="1:20">
      <c r="A855" s="58" t="s">
        <v>431</v>
      </c>
      <c r="B855" s="55" t="s">
        <v>339</v>
      </c>
      <c r="C855" s="57">
        <v>79.822000000000003</v>
      </c>
      <c r="D855" s="57">
        <v>77.209000000000003</v>
      </c>
      <c r="E855" s="57">
        <v>74.316000000000003</v>
      </c>
      <c r="F855" s="57">
        <v>73.947000000000003</v>
      </c>
      <c r="G855" s="57">
        <v>69.301000000000002</v>
      </c>
      <c r="H855" s="57">
        <v>67.093000000000004</v>
      </c>
      <c r="I855" s="57">
        <v>70.399000000000001</v>
      </c>
      <c r="J855" s="57">
        <v>71.656999999999996</v>
      </c>
      <c r="K855" s="57">
        <v>75.22</v>
      </c>
      <c r="L855" s="57">
        <v>85.317999999999998</v>
      </c>
      <c r="M855" s="57">
        <v>81.772999999999996</v>
      </c>
      <c r="N855" s="57"/>
      <c r="O855" s="57"/>
      <c r="P855" s="57"/>
      <c r="Q855" s="57"/>
      <c r="R855" s="57"/>
      <c r="S855" s="57"/>
      <c r="T855" s="57"/>
    </row>
    <row r="856" spans="1:20">
      <c r="A856" s="58" t="s">
        <v>431</v>
      </c>
      <c r="B856" s="55" t="s">
        <v>340</v>
      </c>
      <c r="C856" s="57">
        <v>80.161000000000001</v>
      </c>
      <c r="D856" s="57">
        <v>90.093000000000004</v>
      </c>
      <c r="E856" s="57">
        <v>87.99</v>
      </c>
      <c r="F856" s="57">
        <v>86.95</v>
      </c>
      <c r="G856" s="57">
        <v>81.367000000000004</v>
      </c>
      <c r="H856" s="57">
        <v>83.186000000000007</v>
      </c>
      <c r="I856" s="57">
        <v>86.554000000000002</v>
      </c>
      <c r="J856" s="57">
        <v>92.468000000000004</v>
      </c>
      <c r="K856" s="57">
        <v>95.641000000000005</v>
      </c>
      <c r="L856" s="57">
        <v>98.340999999999994</v>
      </c>
      <c r="M856" s="57">
        <v>101.65600000000001</v>
      </c>
      <c r="N856" s="57"/>
      <c r="O856" s="57"/>
      <c r="P856" s="57"/>
      <c r="Q856" s="57"/>
      <c r="R856" s="57"/>
      <c r="S856" s="57"/>
      <c r="T856" s="57"/>
    </row>
    <row r="857" spans="1:20">
      <c r="A857" s="58" t="s">
        <v>431</v>
      </c>
      <c r="B857" s="55" t="s">
        <v>341</v>
      </c>
      <c r="C857" s="57">
        <v>69.700999999999993</v>
      </c>
      <c r="D857" s="57">
        <v>72.492999999999995</v>
      </c>
      <c r="E857" s="57">
        <v>71.825999999999993</v>
      </c>
      <c r="F857" s="57">
        <v>72.468000000000004</v>
      </c>
      <c r="G857" s="57">
        <v>71.012</v>
      </c>
      <c r="H857" s="57">
        <v>73.548000000000002</v>
      </c>
      <c r="I857" s="57">
        <v>75.695999999999998</v>
      </c>
      <c r="J857" s="57">
        <v>79.334000000000003</v>
      </c>
      <c r="K857" s="57">
        <v>84.566000000000003</v>
      </c>
      <c r="L857" s="57">
        <v>88.563000000000002</v>
      </c>
      <c r="M857" s="57">
        <v>94.471999999999994</v>
      </c>
      <c r="N857" s="57"/>
      <c r="O857" s="57"/>
      <c r="P857" s="57"/>
      <c r="Q857" s="57"/>
      <c r="R857" s="57"/>
      <c r="S857" s="57"/>
      <c r="T857" s="57"/>
    </row>
    <row r="858" spans="1:20">
      <c r="A858" s="58" t="s">
        <v>431</v>
      </c>
      <c r="B858" s="55" t="s">
        <v>342</v>
      </c>
      <c r="C858" s="57">
        <v>61.448999999999998</v>
      </c>
      <c r="D858" s="57">
        <v>63.107999999999997</v>
      </c>
      <c r="E858" s="57">
        <v>66.194999999999993</v>
      </c>
      <c r="F858" s="57">
        <v>64.027000000000001</v>
      </c>
      <c r="G858" s="57">
        <v>63.170999999999999</v>
      </c>
      <c r="H858" s="57">
        <v>63.128</v>
      </c>
      <c r="I858" s="57">
        <v>71.497</v>
      </c>
      <c r="J858" s="57">
        <v>81.432000000000002</v>
      </c>
      <c r="K858" s="57">
        <v>89.174000000000007</v>
      </c>
      <c r="L858" s="57">
        <v>94.974999999999994</v>
      </c>
      <c r="M858" s="57">
        <v>100.768</v>
      </c>
      <c r="N858" s="57"/>
      <c r="O858" s="57"/>
      <c r="P858" s="57"/>
      <c r="Q858" s="57"/>
      <c r="R858" s="57"/>
      <c r="S858" s="57"/>
      <c r="T858" s="57"/>
    </row>
    <row r="859" spans="1:20">
      <c r="A859" s="58" t="s">
        <v>431</v>
      </c>
      <c r="B859" s="55" t="s">
        <v>343</v>
      </c>
      <c r="C859" s="57">
        <v>41.165999999999997</v>
      </c>
      <c r="D859" s="57">
        <v>43.606000000000002</v>
      </c>
      <c r="E859" s="57">
        <v>43.728999999999999</v>
      </c>
      <c r="F859" s="57">
        <v>46.933999999999997</v>
      </c>
      <c r="G859" s="57">
        <v>48.055</v>
      </c>
      <c r="H859" s="57">
        <v>54.183999999999997</v>
      </c>
      <c r="I859" s="57">
        <v>58.557000000000002</v>
      </c>
      <c r="J859" s="57">
        <v>67.073999999999998</v>
      </c>
      <c r="K859" s="57">
        <v>83.096000000000004</v>
      </c>
      <c r="L859" s="57">
        <v>99.137</v>
      </c>
      <c r="M859" s="57">
        <v>116.628</v>
      </c>
      <c r="N859" s="57"/>
      <c r="O859" s="57"/>
      <c r="P859" s="57"/>
      <c r="Q859" s="57"/>
      <c r="R859" s="57"/>
      <c r="S859" s="57"/>
      <c r="T859" s="57"/>
    </row>
    <row r="860" spans="1:20">
      <c r="A860" s="58" t="s">
        <v>431</v>
      </c>
      <c r="B860" s="55" t="s">
        <v>344</v>
      </c>
      <c r="C860" s="57">
        <v>72.888000000000005</v>
      </c>
      <c r="D860" s="57">
        <v>75.644000000000005</v>
      </c>
      <c r="E860" s="57">
        <v>74.379000000000005</v>
      </c>
      <c r="F860" s="57">
        <v>71.203000000000003</v>
      </c>
      <c r="G860" s="57">
        <v>66.334999999999994</v>
      </c>
      <c r="H860" s="57">
        <v>75.165000000000006</v>
      </c>
      <c r="I860" s="57">
        <v>81.468999999999994</v>
      </c>
      <c r="J860" s="57">
        <v>87.694999999999993</v>
      </c>
      <c r="K860" s="57">
        <v>94.504000000000005</v>
      </c>
      <c r="L860" s="57">
        <v>101.911</v>
      </c>
      <c r="M860" s="57">
        <v>105.703</v>
      </c>
      <c r="N860" s="57"/>
      <c r="O860" s="57"/>
      <c r="P860" s="57"/>
      <c r="Q860" s="57"/>
      <c r="R860" s="57"/>
      <c r="S860" s="57"/>
      <c r="T860" s="57"/>
    </row>
    <row r="861" spans="1:20">
      <c r="A861" s="58" t="s">
        <v>431</v>
      </c>
      <c r="B861" s="55" t="s">
        <v>345</v>
      </c>
      <c r="C861" s="57">
        <v>57.561</v>
      </c>
      <c r="D861" s="57">
        <v>60.034999999999997</v>
      </c>
      <c r="E861" s="57">
        <v>61.786000000000001</v>
      </c>
      <c r="F861" s="57">
        <v>57.798999999999999</v>
      </c>
      <c r="G861" s="57">
        <v>53.646000000000001</v>
      </c>
      <c r="H861" s="57">
        <v>59.579000000000001</v>
      </c>
      <c r="I861" s="57">
        <v>65.406000000000006</v>
      </c>
      <c r="J861" s="57">
        <v>74.447999999999993</v>
      </c>
      <c r="K861" s="57">
        <v>78.33</v>
      </c>
      <c r="L861" s="57">
        <v>79.981999999999999</v>
      </c>
      <c r="M861" s="57">
        <v>88.912999999999997</v>
      </c>
      <c r="N861" s="57"/>
      <c r="O861" s="57"/>
      <c r="P861" s="57"/>
      <c r="Q861" s="57"/>
      <c r="R861" s="57"/>
      <c r="S861" s="57"/>
      <c r="T861" s="57"/>
    </row>
    <row r="862" spans="1:20">
      <c r="A862" s="58" t="s">
        <v>431</v>
      </c>
      <c r="B862" s="55" t="s">
        <v>346</v>
      </c>
      <c r="C862" s="57">
        <v>77.757000000000005</v>
      </c>
      <c r="D862" s="57">
        <v>83.712999999999994</v>
      </c>
      <c r="E862" s="57">
        <v>85.242000000000004</v>
      </c>
      <c r="F862" s="57">
        <v>93.736000000000004</v>
      </c>
      <c r="G862" s="57">
        <v>82.248000000000005</v>
      </c>
      <c r="H862" s="57">
        <v>92.058000000000007</v>
      </c>
      <c r="I862" s="57">
        <v>84.141000000000005</v>
      </c>
      <c r="J862" s="57">
        <v>80.986000000000004</v>
      </c>
      <c r="K862" s="57">
        <v>75.915000000000006</v>
      </c>
      <c r="L862" s="57">
        <v>75.733000000000004</v>
      </c>
      <c r="M862" s="57">
        <v>92.83</v>
      </c>
      <c r="N862" s="57"/>
      <c r="O862" s="57"/>
      <c r="P862" s="57"/>
      <c r="Q862" s="57"/>
      <c r="R862" s="57"/>
      <c r="S862" s="57"/>
      <c r="T862" s="57"/>
    </row>
    <row r="863" spans="1:20">
      <c r="A863" s="58" t="s">
        <v>431</v>
      </c>
      <c r="B863" s="55" t="s">
        <v>347</v>
      </c>
      <c r="C863" s="57">
        <v>68.984999999999999</v>
      </c>
      <c r="D863" s="57">
        <v>67.308999999999997</v>
      </c>
      <c r="E863" s="57">
        <v>67.049000000000007</v>
      </c>
      <c r="F863" s="57">
        <v>67.878</v>
      </c>
      <c r="G863" s="57">
        <v>62.292999999999999</v>
      </c>
      <c r="H863" s="57">
        <v>66.176000000000002</v>
      </c>
      <c r="I863" s="57">
        <v>66.772999999999996</v>
      </c>
      <c r="J863" s="57">
        <v>72.204999999999998</v>
      </c>
      <c r="K863" s="57">
        <v>74.262</v>
      </c>
      <c r="L863" s="57">
        <v>74.046000000000006</v>
      </c>
      <c r="M863" s="57">
        <v>82.962000000000003</v>
      </c>
      <c r="N863" s="57"/>
      <c r="O863" s="57"/>
      <c r="P863" s="57"/>
      <c r="Q863" s="57"/>
      <c r="R863" s="57"/>
      <c r="S863" s="57"/>
      <c r="T863" s="57"/>
    </row>
    <row r="864" spans="1:20">
      <c r="A864" s="58" t="s">
        <v>431</v>
      </c>
      <c r="B864" s="55" t="s">
        <v>348</v>
      </c>
      <c r="C864" s="57">
        <v>65.400999999999996</v>
      </c>
      <c r="D864" s="57">
        <v>60.744</v>
      </c>
      <c r="E864" s="57">
        <v>61.673999999999999</v>
      </c>
      <c r="F864" s="57">
        <v>62.402999999999999</v>
      </c>
      <c r="G864" s="57">
        <v>63.35</v>
      </c>
      <c r="H864" s="57">
        <v>66.344999999999999</v>
      </c>
      <c r="I864" s="57">
        <v>74.034000000000006</v>
      </c>
      <c r="J864" s="57">
        <v>75.671999999999997</v>
      </c>
      <c r="K864" s="57">
        <v>79.042000000000002</v>
      </c>
      <c r="L864" s="57">
        <v>78.971999999999994</v>
      </c>
      <c r="M864" s="57">
        <v>83.335999999999999</v>
      </c>
      <c r="N864" s="57"/>
      <c r="O864" s="57"/>
      <c r="P864" s="57"/>
      <c r="Q864" s="57"/>
      <c r="R864" s="57"/>
      <c r="S864" s="57"/>
      <c r="T864" s="57"/>
    </row>
    <row r="865" spans="1:20">
      <c r="A865" s="58" t="s">
        <v>431</v>
      </c>
      <c r="B865" s="55" t="s">
        <v>349</v>
      </c>
      <c r="C865" s="57">
        <v>82.481999999999999</v>
      </c>
      <c r="D865" s="57">
        <v>85.38</v>
      </c>
      <c r="E865" s="57">
        <v>87.111999999999995</v>
      </c>
      <c r="F865" s="57">
        <v>87.450999999999993</v>
      </c>
      <c r="G865" s="57">
        <v>87.585999999999999</v>
      </c>
      <c r="H865" s="57">
        <v>88.867000000000004</v>
      </c>
      <c r="I865" s="57">
        <v>89.051000000000002</v>
      </c>
      <c r="J865" s="57">
        <v>91.266000000000005</v>
      </c>
      <c r="K865" s="57">
        <v>93.494</v>
      </c>
      <c r="L865" s="57">
        <v>93.585999999999999</v>
      </c>
      <c r="M865" s="57">
        <v>98.021000000000001</v>
      </c>
      <c r="N865" s="57"/>
      <c r="O865" s="57"/>
      <c r="P865" s="57"/>
      <c r="Q865" s="57"/>
      <c r="R865" s="57"/>
      <c r="S865" s="57"/>
      <c r="T865" s="57"/>
    </row>
    <row r="866" spans="1:20">
      <c r="A866" s="58" t="s">
        <v>431</v>
      </c>
      <c r="B866" s="55" t="s">
        <v>350</v>
      </c>
      <c r="C866" s="57">
        <v>75.254000000000005</v>
      </c>
      <c r="D866" s="57">
        <v>77.63</v>
      </c>
      <c r="E866" s="57">
        <v>80.427000000000007</v>
      </c>
      <c r="F866" s="57">
        <v>80.131</v>
      </c>
      <c r="G866" s="57">
        <v>81.885999999999996</v>
      </c>
      <c r="H866" s="57">
        <v>83.284999999999997</v>
      </c>
      <c r="I866" s="57">
        <v>84.23</v>
      </c>
      <c r="J866" s="57">
        <v>84.953000000000003</v>
      </c>
      <c r="K866" s="57">
        <v>84.308999999999997</v>
      </c>
      <c r="L866" s="57">
        <v>85.334000000000003</v>
      </c>
      <c r="M866" s="57">
        <v>90.066999999999993</v>
      </c>
      <c r="N866" s="57"/>
      <c r="O866" s="57"/>
      <c r="P866" s="57"/>
      <c r="Q866" s="57"/>
      <c r="R866" s="57"/>
      <c r="S866" s="57"/>
      <c r="T866" s="57"/>
    </row>
    <row r="867" spans="1:20">
      <c r="A867" s="58" t="s">
        <v>431</v>
      </c>
      <c r="B867" s="55" t="s">
        <v>351</v>
      </c>
      <c r="C867" s="57">
        <v>109.45399999999999</v>
      </c>
      <c r="D867" s="57">
        <v>106.986</v>
      </c>
      <c r="E867" s="57">
        <v>107.85299999999999</v>
      </c>
      <c r="F867" s="57">
        <v>101.98699999999999</v>
      </c>
      <c r="G867" s="57">
        <v>100.786</v>
      </c>
      <c r="H867" s="57">
        <v>104.768</v>
      </c>
      <c r="I867" s="57">
        <v>111.069</v>
      </c>
      <c r="J867" s="57">
        <v>118.68300000000001</v>
      </c>
      <c r="K867" s="57">
        <v>117.383</v>
      </c>
      <c r="L867" s="57">
        <v>116.255</v>
      </c>
      <c r="M867" s="57">
        <v>121.384</v>
      </c>
      <c r="N867" s="57"/>
      <c r="O867" s="57"/>
      <c r="P867" s="57"/>
      <c r="Q867" s="57"/>
      <c r="R867" s="57"/>
      <c r="S867" s="57"/>
      <c r="T867" s="57"/>
    </row>
    <row r="868" spans="1:20">
      <c r="A868" s="58" t="s">
        <v>431</v>
      </c>
      <c r="B868" s="55" t="s">
        <v>352</v>
      </c>
      <c r="C868" s="57">
        <v>269.36099999999999</v>
      </c>
      <c r="D868" s="57">
        <v>265.505</v>
      </c>
      <c r="E868" s="57">
        <v>244.80199999999999</v>
      </c>
      <c r="F868" s="57">
        <v>240.33500000000001</v>
      </c>
      <c r="G868" s="57">
        <v>238.88</v>
      </c>
      <c r="H868" s="57">
        <v>252.035</v>
      </c>
      <c r="I868" s="57">
        <v>259.04300000000001</v>
      </c>
      <c r="J868" s="57">
        <v>265.59199999999998</v>
      </c>
      <c r="K868" s="57">
        <v>262.214</v>
      </c>
      <c r="L868" s="57">
        <v>261.62799999999999</v>
      </c>
      <c r="M868" s="57">
        <v>273.654</v>
      </c>
      <c r="N868" s="57"/>
      <c r="O868" s="57"/>
      <c r="P868" s="57"/>
      <c r="Q868" s="57"/>
      <c r="R868" s="57"/>
      <c r="S868" s="57"/>
      <c r="T868" s="57"/>
    </row>
    <row r="869" spans="1:20">
      <c r="A869" s="58" t="s">
        <v>431</v>
      </c>
      <c r="B869" s="55" t="s">
        <v>353</v>
      </c>
      <c r="C869" s="57">
        <v>90.277000000000001</v>
      </c>
      <c r="D869" s="57">
        <v>93.756</v>
      </c>
      <c r="E869" s="57">
        <v>97.225999999999999</v>
      </c>
      <c r="F869" s="57">
        <v>97.531999999999996</v>
      </c>
      <c r="G869" s="57">
        <v>96.745000000000005</v>
      </c>
      <c r="H869" s="57">
        <v>98.242999999999995</v>
      </c>
      <c r="I869" s="57">
        <v>94.585999999999999</v>
      </c>
      <c r="J869" s="57">
        <v>100.04</v>
      </c>
      <c r="K869" s="57">
        <v>111.164</v>
      </c>
      <c r="L869" s="57">
        <v>104.648</v>
      </c>
      <c r="M869" s="57">
        <v>105.256</v>
      </c>
      <c r="N869" s="57"/>
      <c r="O869" s="57"/>
      <c r="P869" s="57"/>
      <c r="Q869" s="57"/>
      <c r="R869" s="57"/>
      <c r="S869" s="57"/>
      <c r="T869" s="57"/>
    </row>
    <row r="870" spans="1:20">
      <c r="A870" s="58" t="s">
        <v>431</v>
      </c>
      <c r="B870" s="55" t="s">
        <v>354</v>
      </c>
      <c r="C870" s="57">
        <v>85.266999999999996</v>
      </c>
      <c r="D870" s="57">
        <v>84.350999999999999</v>
      </c>
      <c r="E870" s="57">
        <v>84.222999999999999</v>
      </c>
      <c r="F870" s="57">
        <v>87.766000000000005</v>
      </c>
      <c r="G870" s="57">
        <v>85.265000000000001</v>
      </c>
      <c r="H870" s="57">
        <v>90.513999999999996</v>
      </c>
      <c r="I870" s="57">
        <v>92.963999999999999</v>
      </c>
      <c r="J870" s="57">
        <v>92.484999999999999</v>
      </c>
      <c r="K870" s="57">
        <v>92.953999999999994</v>
      </c>
      <c r="L870" s="57">
        <v>97.965999999999994</v>
      </c>
      <c r="M870" s="57">
        <v>103.209</v>
      </c>
      <c r="N870" s="57"/>
      <c r="O870" s="57"/>
      <c r="P870" s="57"/>
      <c r="Q870" s="57"/>
      <c r="R870" s="57"/>
      <c r="S870" s="57"/>
      <c r="T870" s="57"/>
    </row>
    <row r="871" spans="1:20">
      <c r="A871" s="58" t="s">
        <v>431</v>
      </c>
      <c r="B871" s="55" t="s">
        <v>355</v>
      </c>
      <c r="C871" s="57">
        <v>106.10299999999999</v>
      </c>
      <c r="D871" s="57">
        <v>106.761</v>
      </c>
      <c r="E871" s="57">
        <v>107.63800000000001</v>
      </c>
      <c r="F871" s="57">
        <v>113.065</v>
      </c>
      <c r="G871" s="57">
        <v>113.7</v>
      </c>
      <c r="H871" s="57">
        <v>106.74299999999999</v>
      </c>
      <c r="I871" s="57">
        <v>98.105999999999995</v>
      </c>
      <c r="J871" s="57">
        <v>102.5</v>
      </c>
      <c r="K871" s="57">
        <v>109.545</v>
      </c>
      <c r="L871" s="57">
        <v>107.387</v>
      </c>
      <c r="M871" s="57">
        <v>106.181</v>
      </c>
      <c r="N871" s="57"/>
      <c r="O871" s="57"/>
      <c r="P871" s="57"/>
      <c r="Q871" s="57"/>
      <c r="R871" s="57"/>
      <c r="S871" s="57"/>
      <c r="T871" s="57"/>
    </row>
    <row r="872" spans="1:20">
      <c r="A872" s="58" t="s">
        <v>431</v>
      </c>
      <c r="B872" s="55" t="s">
        <v>356</v>
      </c>
      <c r="C872" s="57">
        <v>70.025999999999996</v>
      </c>
      <c r="D872" s="57">
        <v>76.775999999999996</v>
      </c>
      <c r="E872" s="57">
        <v>79.448999999999998</v>
      </c>
      <c r="F872" s="57">
        <v>77.878</v>
      </c>
      <c r="G872" s="57">
        <v>77.653999999999996</v>
      </c>
      <c r="H872" s="57">
        <v>78.751999999999995</v>
      </c>
      <c r="I872" s="57">
        <v>79.344999999999999</v>
      </c>
      <c r="J872" s="57">
        <v>79.486999999999995</v>
      </c>
      <c r="K872" s="57">
        <v>82.141000000000005</v>
      </c>
      <c r="L872" s="57">
        <v>82.537000000000006</v>
      </c>
      <c r="M872" s="57">
        <v>89.356999999999999</v>
      </c>
      <c r="N872" s="57"/>
      <c r="O872" s="57"/>
      <c r="P872" s="57"/>
      <c r="Q872" s="57"/>
      <c r="R872" s="57"/>
      <c r="S872" s="57"/>
      <c r="T872" s="57"/>
    </row>
    <row r="873" spans="1:20">
      <c r="A873" s="58" t="s">
        <v>431</v>
      </c>
      <c r="B873" s="55" t="s">
        <v>357</v>
      </c>
      <c r="C873" s="57">
        <v>63.825000000000003</v>
      </c>
      <c r="D873" s="57">
        <v>67.094999999999999</v>
      </c>
      <c r="E873" s="57">
        <v>67.350999999999999</v>
      </c>
      <c r="F873" s="57">
        <v>71.263999999999996</v>
      </c>
      <c r="G873" s="57">
        <v>68.497</v>
      </c>
      <c r="H873" s="57">
        <v>73.182000000000002</v>
      </c>
      <c r="I873" s="57">
        <v>76.727000000000004</v>
      </c>
      <c r="J873" s="57">
        <v>83.313000000000002</v>
      </c>
      <c r="K873" s="57">
        <v>86.837999999999994</v>
      </c>
      <c r="L873" s="57">
        <v>88.620999999999995</v>
      </c>
      <c r="M873" s="57">
        <v>93.42</v>
      </c>
      <c r="N873" s="57"/>
      <c r="O873" s="57"/>
      <c r="P873" s="57"/>
      <c r="Q873" s="57"/>
      <c r="R873" s="57"/>
      <c r="S873" s="57"/>
      <c r="T873" s="57"/>
    </row>
    <row r="874" spans="1:20">
      <c r="A874" s="58" t="s">
        <v>431</v>
      </c>
      <c r="B874" s="55" t="s">
        <v>358</v>
      </c>
      <c r="C874" s="57">
        <v>53.066000000000003</v>
      </c>
      <c r="D874" s="57">
        <v>56.905999999999999</v>
      </c>
      <c r="E874" s="57">
        <v>55.854999999999997</v>
      </c>
      <c r="F874" s="57">
        <v>60.878</v>
      </c>
      <c r="G874" s="57">
        <v>55.99</v>
      </c>
      <c r="H874" s="57">
        <v>56.331000000000003</v>
      </c>
      <c r="I874" s="57">
        <v>62.313000000000002</v>
      </c>
      <c r="J874" s="57">
        <v>66.007000000000005</v>
      </c>
      <c r="K874" s="57">
        <v>77.97</v>
      </c>
      <c r="L874" s="57">
        <v>74.198999999999998</v>
      </c>
      <c r="M874" s="57">
        <v>74.566000000000003</v>
      </c>
      <c r="N874" s="57"/>
      <c r="O874" s="57"/>
      <c r="P874" s="57"/>
      <c r="Q874" s="57"/>
      <c r="R874" s="57"/>
      <c r="S874" s="57"/>
      <c r="T874" s="57"/>
    </row>
    <row r="875" spans="1:20">
      <c r="A875" s="58" t="s">
        <v>431</v>
      </c>
      <c r="B875" s="55" t="s">
        <v>359</v>
      </c>
      <c r="C875" s="57">
        <v>68.442999999999998</v>
      </c>
      <c r="D875" s="57">
        <v>66.343000000000004</v>
      </c>
      <c r="E875" s="57">
        <v>66.299000000000007</v>
      </c>
      <c r="F875" s="57">
        <v>68.483000000000004</v>
      </c>
      <c r="G875" s="57">
        <v>66.625</v>
      </c>
      <c r="H875" s="57">
        <v>68.876999999999995</v>
      </c>
      <c r="I875" s="57">
        <v>72.069000000000003</v>
      </c>
      <c r="J875" s="57">
        <v>77.563999999999993</v>
      </c>
      <c r="K875" s="57">
        <v>80.569000000000003</v>
      </c>
      <c r="L875" s="57">
        <v>80.376000000000005</v>
      </c>
      <c r="M875" s="57">
        <v>78.025999999999996</v>
      </c>
      <c r="N875" s="57"/>
      <c r="O875" s="57"/>
      <c r="P875" s="57"/>
      <c r="Q875" s="57"/>
      <c r="R875" s="57"/>
      <c r="S875" s="57"/>
      <c r="T875" s="57"/>
    </row>
    <row r="876" spans="1:20">
      <c r="A876" s="58" t="s">
        <v>431</v>
      </c>
      <c r="B876" s="55" t="s">
        <v>360</v>
      </c>
      <c r="C876" s="57">
        <v>68.817999999999998</v>
      </c>
      <c r="D876" s="57">
        <v>78.510999999999996</v>
      </c>
      <c r="E876" s="57">
        <v>80.88</v>
      </c>
      <c r="F876" s="57">
        <v>82.929000000000002</v>
      </c>
      <c r="G876" s="57">
        <v>80.504999999999995</v>
      </c>
      <c r="H876" s="57">
        <v>83.477000000000004</v>
      </c>
      <c r="I876" s="57">
        <v>85.141999999999996</v>
      </c>
      <c r="J876" s="57">
        <v>88.722999999999999</v>
      </c>
      <c r="K876" s="57">
        <v>92.673000000000002</v>
      </c>
      <c r="L876" s="57">
        <v>96.331999999999994</v>
      </c>
      <c r="M876" s="57">
        <v>99.266999999999996</v>
      </c>
      <c r="N876" s="57"/>
      <c r="O876" s="57"/>
      <c r="P876" s="57"/>
      <c r="Q876" s="57"/>
      <c r="R876" s="57"/>
      <c r="S876" s="57"/>
      <c r="T876" s="57"/>
    </row>
    <row r="877" spans="1:20">
      <c r="A877" s="58" t="s">
        <v>431</v>
      </c>
      <c r="B877" s="55" t="s">
        <v>361</v>
      </c>
      <c r="C877" s="57">
        <v>106.627</v>
      </c>
      <c r="D877" s="57">
        <v>109.523</v>
      </c>
      <c r="E877" s="57">
        <v>109.898</v>
      </c>
      <c r="F877" s="57">
        <v>105.94</v>
      </c>
      <c r="G877" s="57">
        <v>104.08</v>
      </c>
      <c r="H877" s="57">
        <v>101.371</v>
      </c>
      <c r="I877" s="57">
        <v>103.64</v>
      </c>
      <c r="J877" s="57">
        <v>102.833</v>
      </c>
      <c r="K877" s="57">
        <v>108.53</v>
      </c>
      <c r="L877" s="57">
        <v>113.38200000000001</v>
      </c>
      <c r="M877" s="57">
        <v>117.03100000000001</v>
      </c>
      <c r="N877" s="57"/>
      <c r="O877" s="57"/>
      <c r="P877" s="57"/>
      <c r="Q877" s="57"/>
      <c r="R877" s="57"/>
      <c r="S877" s="57"/>
      <c r="T877" s="57"/>
    </row>
    <row r="878" spans="1:20">
      <c r="A878" s="58" t="s">
        <v>431</v>
      </c>
      <c r="B878" s="55" t="s">
        <v>362</v>
      </c>
      <c r="C878" s="57">
        <v>57.335000000000001</v>
      </c>
      <c r="D878" s="57">
        <v>64.028000000000006</v>
      </c>
      <c r="E878" s="57">
        <v>75.682000000000002</v>
      </c>
      <c r="F878" s="57">
        <v>75.388999999999996</v>
      </c>
      <c r="G878" s="57">
        <v>66.507999999999996</v>
      </c>
      <c r="H878" s="57">
        <v>70.47</v>
      </c>
      <c r="I878" s="57">
        <v>71.503</v>
      </c>
      <c r="J878" s="57">
        <v>76.578000000000003</v>
      </c>
      <c r="K878" s="57">
        <v>82.995000000000005</v>
      </c>
      <c r="L878" s="57">
        <v>84.58</v>
      </c>
      <c r="M878" s="57">
        <v>90.594999999999999</v>
      </c>
      <c r="N878" s="57"/>
      <c r="O878" s="57"/>
      <c r="P878" s="57"/>
      <c r="Q878" s="57"/>
      <c r="R878" s="57"/>
      <c r="S878" s="57"/>
      <c r="T878" s="57"/>
    </row>
    <row r="879" spans="1:20">
      <c r="A879" s="58" t="s">
        <v>431</v>
      </c>
      <c r="B879" s="55" t="s">
        <v>363</v>
      </c>
      <c r="C879" s="57">
        <v>104.512</v>
      </c>
      <c r="D879" s="57">
        <v>112.90600000000001</v>
      </c>
      <c r="E879" s="57">
        <v>109.773</v>
      </c>
      <c r="F879" s="57">
        <v>108.857</v>
      </c>
      <c r="G879" s="57">
        <v>104.822</v>
      </c>
      <c r="H879" s="57">
        <v>102.584</v>
      </c>
      <c r="I879" s="57">
        <v>106.148</v>
      </c>
      <c r="J879" s="57">
        <v>105.136</v>
      </c>
      <c r="K879" s="57">
        <v>114.306</v>
      </c>
      <c r="L879" s="57">
        <v>122.185</v>
      </c>
      <c r="M879" s="57">
        <v>122.577</v>
      </c>
      <c r="N879" s="57"/>
      <c r="O879" s="57"/>
      <c r="P879" s="57"/>
      <c r="Q879" s="57"/>
      <c r="R879" s="57"/>
      <c r="S879" s="57"/>
      <c r="T879" s="57"/>
    </row>
    <row r="880" spans="1:20">
      <c r="A880" s="58" t="s">
        <v>431</v>
      </c>
      <c r="B880" s="55" t="s">
        <v>364</v>
      </c>
      <c r="C880" s="57">
        <v>44.238999999999997</v>
      </c>
      <c r="D880" s="57">
        <v>55.945</v>
      </c>
      <c r="E880" s="57">
        <v>58.823999999999998</v>
      </c>
      <c r="F880" s="57">
        <v>65.325000000000003</v>
      </c>
      <c r="G880" s="57">
        <v>63.7</v>
      </c>
      <c r="H880" s="57">
        <v>69.191000000000003</v>
      </c>
      <c r="I880" s="57">
        <v>70.516999999999996</v>
      </c>
      <c r="J880" s="57">
        <v>76.364000000000004</v>
      </c>
      <c r="K880" s="57">
        <v>77.882999999999996</v>
      </c>
      <c r="L880" s="57">
        <v>81.361999999999995</v>
      </c>
      <c r="M880" s="57">
        <v>84.203000000000003</v>
      </c>
      <c r="N880" s="57"/>
      <c r="O880" s="57"/>
      <c r="P880" s="57"/>
      <c r="Q880" s="57"/>
      <c r="R880" s="57"/>
      <c r="S880" s="57"/>
      <c r="T880" s="57"/>
    </row>
    <row r="881" spans="1:20">
      <c r="A881" s="58" t="s">
        <v>431</v>
      </c>
      <c r="B881" s="55" t="s">
        <v>365</v>
      </c>
      <c r="C881" s="57">
        <v>157.25299999999999</v>
      </c>
      <c r="D881" s="57">
        <v>159.55099999999999</v>
      </c>
      <c r="E881" s="57">
        <v>161.613</v>
      </c>
      <c r="F881" s="57">
        <v>162.251</v>
      </c>
      <c r="G881" s="57">
        <v>165.685</v>
      </c>
      <c r="H881" s="57">
        <v>165.994</v>
      </c>
      <c r="I881" s="57">
        <v>161.63900000000001</v>
      </c>
      <c r="J881" s="57">
        <v>157.82900000000001</v>
      </c>
      <c r="K881" s="57">
        <v>160.65700000000001</v>
      </c>
      <c r="L881" s="57">
        <v>157.69800000000001</v>
      </c>
      <c r="M881" s="57">
        <v>144.53899999999999</v>
      </c>
      <c r="N881" s="57"/>
      <c r="O881" s="57"/>
      <c r="P881" s="57"/>
      <c r="Q881" s="57"/>
      <c r="R881" s="57"/>
      <c r="S881" s="57"/>
      <c r="T881" s="57"/>
    </row>
    <row r="882" spans="1:20">
      <c r="A882" s="58" t="s">
        <v>431</v>
      </c>
      <c r="B882" s="55" t="s">
        <v>366</v>
      </c>
      <c r="C882" s="57">
        <v>162.24600000000001</v>
      </c>
      <c r="D882" s="57">
        <v>178.95699999999999</v>
      </c>
      <c r="E882" s="57">
        <v>168.53700000000001</v>
      </c>
      <c r="F882" s="57">
        <v>156.02600000000001</v>
      </c>
      <c r="G882" s="57">
        <v>159.46899999999999</v>
      </c>
      <c r="H882" s="57">
        <v>168.233</v>
      </c>
      <c r="I882" s="57">
        <v>178.35900000000001</v>
      </c>
      <c r="J882" s="57">
        <v>186.102</v>
      </c>
      <c r="K882" s="57">
        <v>175.97300000000001</v>
      </c>
      <c r="L882" s="57">
        <v>182.52799999999999</v>
      </c>
      <c r="M882" s="57">
        <v>189.53100000000001</v>
      </c>
      <c r="N882" s="57"/>
      <c r="O882" s="57"/>
      <c r="P882" s="57"/>
      <c r="Q882" s="57"/>
      <c r="R882" s="57"/>
      <c r="S882" s="57"/>
      <c r="T882" s="57"/>
    </row>
    <row r="883" spans="1:20">
      <c r="A883" s="58" t="s">
        <v>431</v>
      </c>
      <c r="B883" s="55" t="s">
        <v>367</v>
      </c>
      <c r="C883" s="57">
        <v>44.146999999999998</v>
      </c>
      <c r="D883" s="57">
        <v>61.670999999999999</v>
      </c>
      <c r="E883" s="57">
        <v>64.466999999999999</v>
      </c>
      <c r="F883" s="57">
        <v>69.588999999999999</v>
      </c>
      <c r="G883" s="57">
        <v>67.009</v>
      </c>
      <c r="H883" s="57">
        <v>71.978999999999999</v>
      </c>
      <c r="I883" s="57">
        <v>71.888999999999996</v>
      </c>
      <c r="J883" s="57">
        <v>76.709000000000003</v>
      </c>
      <c r="K883" s="57">
        <v>84.563999999999993</v>
      </c>
      <c r="L883" s="57">
        <v>87.168000000000006</v>
      </c>
      <c r="M883" s="57">
        <v>89.831999999999994</v>
      </c>
      <c r="N883" s="57"/>
      <c r="O883" s="57"/>
      <c r="P883" s="57"/>
      <c r="Q883" s="57"/>
      <c r="R883" s="57"/>
      <c r="S883" s="57"/>
      <c r="T883" s="57"/>
    </row>
    <row r="884" spans="1:20">
      <c r="A884" s="58" t="s">
        <v>431</v>
      </c>
      <c r="B884" s="55" t="s">
        <v>368</v>
      </c>
      <c r="C884" s="57">
        <v>17.100000000000001</v>
      </c>
      <c r="D884" s="57">
        <v>27.125</v>
      </c>
      <c r="E884" s="57">
        <v>29.074000000000002</v>
      </c>
      <c r="F884" s="57">
        <v>34.063000000000002</v>
      </c>
      <c r="G884" s="57">
        <v>29.873999999999999</v>
      </c>
      <c r="H884" s="57">
        <v>32.941000000000003</v>
      </c>
      <c r="I884" s="57">
        <v>35.079000000000001</v>
      </c>
      <c r="J884" s="57">
        <v>38.637</v>
      </c>
      <c r="K884" s="57">
        <v>47.512</v>
      </c>
      <c r="L884" s="57">
        <v>50.694000000000003</v>
      </c>
      <c r="M884" s="57">
        <v>54.484000000000002</v>
      </c>
      <c r="N884" s="57"/>
      <c r="O884" s="57"/>
      <c r="P884" s="57"/>
      <c r="Q884" s="57"/>
      <c r="R884" s="57"/>
      <c r="S884" s="57"/>
      <c r="T884" s="57"/>
    </row>
    <row r="885" spans="1:20">
      <c r="A885" s="58" t="s">
        <v>431</v>
      </c>
      <c r="B885" s="55" t="s">
        <v>369</v>
      </c>
      <c r="C885" s="57">
        <v>35.570999999999998</v>
      </c>
      <c r="D885" s="57">
        <v>38.451000000000001</v>
      </c>
      <c r="E885" s="57">
        <v>37.911999999999999</v>
      </c>
      <c r="F885" s="57">
        <v>39.173999999999999</v>
      </c>
      <c r="G885" s="57">
        <v>39.942</v>
      </c>
      <c r="H885" s="57">
        <v>40.957999999999998</v>
      </c>
      <c r="I885" s="57">
        <v>43.929000000000002</v>
      </c>
      <c r="J885" s="57">
        <v>47.243000000000002</v>
      </c>
      <c r="K885" s="57">
        <v>54.01</v>
      </c>
      <c r="L885" s="57">
        <v>60.625</v>
      </c>
      <c r="M885" s="57">
        <v>72.254000000000005</v>
      </c>
      <c r="N885" s="57"/>
      <c r="O885" s="57"/>
      <c r="P885" s="57"/>
      <c r="Q885" s="57"/>
      <c r="R885" s="57"/>
      <c r="S885" s="57"/>
      <c r="T885" s="57"/>
    </row>
    <row r="886" spans="1:20">
      <c r="A886" s="58" t="s">
        <v>431</v>
      </c>
      <c r="B886" s="55" t="s">
        <v>370</v>
      </c>
      <c r="C886" s="57">
        <v>43.408999999999999</v>
      </c>
      <c r="D886" s="57">
        <v>46.573999999999998</v>
      </c>
      <c r="E886" s="57">
        <v>46.447000000000003</v>
      </c>
      <c r="F886" s="57">
        <v>49.122</v>
      </c>
      <c r="G886" s="57">
        <v>50.029000000000003</v>
      </c>
      <c r="H886" s="57">
        <v>50.628</v>
      </c>
      <c r="I886" s="57">
        <v>56.905999999999999</v>
      </c>
      <c r="J886" s="57">
        <v>59.631</v>
      </c>
      <c r="K886" s="57">
        <v>67.314999999999998</v>
      </c>
      <c r="L886" s="57">
        <v>73.272999999999996</v>
      </c>
      <c r="M886" s="57">
        <v>83.498999999999995</v>
      </c>
      <c r="N886" s="57"/>
      <c r="O886" s="57"/>
      <c r="P886" s="57"/>
      <c r="Q886" s="57"/>
      <c r="R886" s="57"/>
      <c r="S886" s="57"/>
      <c r="T886" s="57"/>
    </row>
    <row r="887" spans="1:20">
      <c r="A887" s="58" t="s">
        <v>431</v>
      </c>
      <c r="B887" s="55" t="s">
        <v>371</v>
      </c>
      <c r="C887" s="57">
        <v>44.119</v>
      </c>
      <c r="D887" s="57">
        <v>53.908999999999999</v>
      </c>
      <c r="E887" s="57">
        <v>49.012</v>
      </c>
      <c r="F887" s="57">
        <v>58.11</v>
      </c>
      <c r="G887" s="57">
        <v>63.694000000000003</v>
      </c>
      <c r="H887" s="57">
        <v>67.790000000000006</v>
      </c>
      <c r="I887" s="57">
        <v>71.284999999999997</v>
      </c>
      <c r="J887" s="57">
        <v>81.248000000000005</v>
      </c>
      <c r="K887" s="57">
        <v>82.611999999999995</v>
      </c>
      <c r="L887" s="57">
        <v>88.382999999999996</v>
      </c>
      <c r="M887" s="57">
        <v>87.320999999999998</v>
      </c>
      <c r="N887" s="57"/>
      <c r="O887" s="57"/>
      <c r="P887" s="57"/>
      <c r="Q887" s="57"/>
      <c r="R887" s="57"/>
      <c r="S887" s="57"/>
      <c r="T887" s="57"/>
    </row>
    <row r="888" spans="1:20">
      <c r="A888" s="58" t="s">
        <v>431</v>
      </c>
      <c r="B888" s="55" t="s">
        <v>372</v>
      </c>
      <c r="C888" s="57">
        <v>33.44</v>
      </c>
      <c r="D888" s="57">
        <v>34.932000000000002</v>
      </c>
      <c r="E888" s="57">
        <v>34.101999999999997</v>
      </c>
      <c r="F888" s="57">
        <v>33.543999999999997</v>
      </c>
      <c r="G888" s="57">
        <v>33.415999999999997</v>
      </c>
      <c r="H888" s="57">
        <v>34.206000000000003</v>
      </c>
      <c r="I888" s="57">
        <v>35.32</v>
      </c>
      <c r="J888" s="57">
        <v>37.484000000000002</v>
      </c>
      <c r="K888" s="57">
        <v>44.081000000000003</v>
      </c>
      <c r="L888" s="57">
        <v>51.201000000000001</v>
      </c>
      <c r="M888" s="57">
        <v>66.465000000000003</v>
      </c>
      <c r="N888" s="57"/>
      <c r="O888" s="57"/>
      <c r="P888" s="57"/>
      <c r="Q888" s="57"/>
      <c r="R888" s="57"/>
      <c r="S888" s="57"/>
      <c r="T888" s="57"/>
    </row>
    <row r="889" spans="1:20">
      <c r="A889" s="58" t="s">
        <v>431</v>
      </c>
      <c r="B889" s="55" t="s">
        <v>373</v>
      </c>
      <c r="C889" s="57">
        <v>14.916</v>
      </c>
      <c r="D889" s="57">
        <v>20.568999999999999</v>
      </c>
      <c r="E889" s="57">
        <v>24.013000000000002</v>
      </c>
      <c r="F889" s="57">
        <v>26.460999999999999</v>
      </c>
      <c r="G889" s="57">
        <v>28.824999999999999</v>
      </c>
      <c r="H889" s="57">
        <v>30.117999999999999</v>
      </c>
      <c r="I889" s="57">
        <v>34.369999999999997</v>
      </c>
      <c r="J889" s="57">
        <v>41.862000000000002</v>
      </c>
      <c r="K889" s="57">
        <v>51.295999999999999</v>
      </c>
      <c r="L889" s="57">
        <v>57.243000000000002</v>
      </c>
      <c r="M889" s="57">
        <v>58.665999999999997</v>
      </c>
      <c r="N889" s="57"/>
      <c r="O889" s="57"/>
      <c r="P889" s="57"/>
      <c r="Q889" s="57"/>
      <c r="R889" s="57"/>
      <c r="S889" s="57"/>
      <c r="T889" s="57"/>
    </row>
    <row r="890" spans="1:20">
      <c r="A890" s="58" t="s">
        <v>431</v>
      </c>
      <c r="B890" s="55" t="s">
        <v>374</v>
      </c>
      <c r="C890" s="57">
        <v>36.64</v>
      </c>
      <c r="D890" s="57">
        <v>39.67</v>
      </c>
      <c r="E890" s="57">
        <v>40.606999999999999</v>
      </c>
      <c r="F890" s="57">
        <v>41.350999999999999</v>
      </c>
      <c r="G890" s="57">
        <v>40.331000000000003</v>
      </c>
      <c r="H890" s="57">
        <v>39.61</v>
      </c>
      <c r="I890" s="57">
        <v>42.822000000000003</v>
      </c>
      <c r="J890" s="57">
        <v>45.866999999999997</v>
      </c>
      <c r="K890" s="57">
        <v>47.14</v>
      </c>
      <c r="L890" s="57">
        <v>52.005000000000003</v>
      </c>
      <c r="M890" s="57">
        <v>53.826000000000001</v>
      </c>
      <c r="N890" s="57"/>
      <c r="O890" s="57"/>
      <c r="P890" s="57"/>
      <c r="Q890" s="57"/>
      <c r="R890" s="57"/>
      <c r="S890" s="57"/>
      <c r="T890" s="57"/>
    </row>
    <row r="891" spans="1:20">
      <c r="A891" s="58" t="s">
        <v>431</v>
      </c>
      <c r="B891" s="55" t="s">
        <v>375</v>
      </c>
      <c r="C891" s="57">
        <v>39.768999999999998</v>
      </c>
      <c r="D891" s="57">
        <v>40.045999999999999</v>
      </c>
      <c r="E891" s="57">
        <v>40.481999999999999</v>
      </c>
      <c r="F891" s="57">
        <v>38.247</v>
      </c>
      <c r="G891" s="57">
        <v>36.878</v>
      </c>
      <c r="H891" s="57">
        <v>35.664999999999999</v>
      </c>
      <c r="I891" s="57">
        <v>40.106000000000002</v>
      </c>
      <c r="J891" s="57">
        <v>42.555</v>
      </c>
      <c r="K891" s="57">
        <v>45.381</v>
      </c>
      <c r="L891" s="57">
        <v>50.042999999999999</v>
      </c>
      <c r="M891" s="57">
        <v>53.573999999999998</v>
      </c>
      <c r="N891" s="57"/>
      <c r="O891" s="57"/>
      <c r="P891" s="57"/>
      <c r="Q891" s="57"/>
      <c r="R891" s="57"/>
      <c r="S891" s="57"/>
      <c r="T891" s="57"/>
    </row>
    <row r="892" spans="1:20">
      <c r="A892" s="58" t="s">
        <v>431</v>
      </c>
      <c r="B892" s="55" t="s">
        <v>376</v>
      </c>
      <c r="C892" s="57">
        <v>32.506</v>
      </c>
      <c r="D892" s="57">
        <v>36.154000000000003</v>
      </c>
      <c r="E892" s="57">
        <v>33.393999999999998</v>
      </c>
      <c r="F892" s="57">
        <v>30.798999999999999</v>
      </c>
      <c r="G892" s="57">
        <v>27.945</v>
      </c>
      <c r="H892" s="57">
        <v>27.754999999999999</v>
      </c>
      <c r="I892" s="57">
        <v>31.695</v>
      </c>
      <c r="J892" s="57">
        <v>36.33</v>
      </c>
      <c r="K892" s="57">
        <v>42.356999999999999</v>
      </c>
      <c r="L892" s="57">
        <v>50.790999999999997</v>
      </c>
      <c r="M892" s="57">
        <v>57.982999999999997</v>
      </c>
      <c r="N892" s="57"/>
      <c r="O892" s="57"/>
      <c r="P892" s="57"/>
      <c r="Q892" s="57"/>
      <c r="R892" s="57"/>
      <c r="S892" s="57"/>
      <c r="T892" s="57"/>
    </row>
    <row r="893" spans="1:20">
      <c r="A893" s="58" t="s">
        <v>431</v>
      </c>
      <c r="B893" s="55" t="s">
        <v>377</v>
      </c>
      <c r="C893" s="57">
        <v>10.624000000000001</v>
      </c>
      <c r="D893" s="57">
        <v>8.5190000000000001</v>
      </c>
      <c r="E893" s="57">
        <v>11.597</v>
      </c>
      <c r="F893" s="57">
        <v>10.5</v>
      </c>
      <c r="G893" s="57">
        <v>14.202</v>
      </c>
      <c r="H893" s="57">
        <v>15.318</v>
      </c>
      <c r="I893" s="57">
        <v>17.189</v>
      </c>
      <c r="J893" s="57">
        <v>17.635000000000002</v>
      </c>
      <c r="K893" s="57">
        <v>23.05</v>
      </c>
      <c r="L893" s="57">
        <v>27.902999999999999</v>
      </c>
      <c r="M893" s="57">
        <v>30.88</v>
      </c>
      <c r="N893" s="57"/>
      <c r="O893" s="57"/>
      <c r="P893" s="57"/>
      <c r="Q893" s="57"/>
      <c r="R893" s="57"/>
      <c r="S893" s="57"/>
      <c r="T893" s="57"/>
    </row>
    <row r="894" spans="1:20">
      <c r="A894" s="58" t="s">
        <v>431</v>
      </c>
      <c r="B894" s="55" t="s">
        <v>378</v>
      </c>
      <c r="C894" s="57">
        <v>80.909000000000006</v>
      </c>
      <c r="D894" s="57">
        <v>80.957999999999998</v>
      </c>
      <c r="E894" s="57">
        <v>81.671000000000006</v>
      </c>
      <c r="F894" s="57">
        <v>79.275000000000006</v>
      </c>
      <c r="G894" s="57">
        <v>74.665000000000006</v>
      </c>
      <c r="H894" s="57">
        <v>69.378</v>
      </c>
      <c r="I894" s="57">
        <v>76.215999999999994</v>
      </c>
      <c r="J894" s="57">
        <v>77.363</v>
      </c>
      <c r="K894" s="57">
        <v>70.411000000000001</v>
      </c>
      <c r="L894" s="57">
        <v>67.456999999999994</v>
      </c>
      <c r="M894" s="57">
        <v>63.265999999999998</v>
      </c>
      <c r="N894" s="57"/>
      <c r="O894" s="57"/>
      <c r="P894" s="57"/>
      <c r="Q894" s="57"/>
      <c r="R894" s="57"/>
      <c r="S894" s="57"/>
      <c r="T894" s="57"/>
    </row>
    <row r="895" spans="1:20">
      <c r="A895" s="58" t="s">
        <v>431</v>
      </c>
      <c r="B895" s="55" t="s">
        <v>379</v>
      </c>
      <c r="C895" s="57">
        <v>55.351999999999997</v>
      </c>
      <c r="D895" s="57">
        <v>49.94</v>
      </c>
      <c r="E895" s="57">
        <v>53.581000000000003</v>
      </c>
      <c r="F895" s="57">
        <v>49.825000000000003</v>
      </c>
      <c r="G895" s="57">
        <v>44.505000000000003</v>
      </c>
      <c r="H895" s="57">
        <v>41.521999999999998</v>
      </c>
      <c r="I895" s="57">
        <v>50.323</v>
      </c>
      <c r="J895" s="57">
        <v>54.402999999999999</v>
      </c>
      <c r="K895" s="57">
        <v>63.901000000000003</v>
      </c>
      <c r="L895" s="57">
        <v>76</v>
      </c>
      <c r="M895" s="57">
        <v>92.858000000000004</v>
      </c>
      <c r="N895" s="57"/>
      <c r="O895" s="57"/>
      <c r="P895" s="57"/>
      <c r="Q895" s="57"/>
      <c r="R895" s="57"/>
      <c r="S895" s="57"/>
      <c r="T895" s="57"/>
    </row>
    <row r="896" spans="1:20">
      <c r="A896" s="58" t="s">
        <v>431</v>
      </c>
      <c r="B896" s="55" t="s">
        <v>380</v>
      </c>
      <c r="C896" s="57">
        <v>32.985999999999997</v>
      </c>
      <c r="D896" s="57">
        <v>39.457000000000001</v>
      </c>
      <c r="E896" s="57">
        <v>41.021999999999998</v>
      </c>
      <c r="F896" s="57">
        <v>45.497999999999998</v>
      </c>
      <c r="G896" s="57">
        <v>44.91</v>
      </c>
      <c r="H896" s="57">
        <v>44.811</v>
      </c>
      <c r="I896" s="57">
        <v>46.463999999999999</v>
      </c>
      <c r="J896" s="57">
        <v>50.281999999999996</v>
      </c>
      <c r="K896" s="57">
        <v>49.591000000000001</v>
      </c>
      <c r="L896" s="57">
        <v>54.737000000000002</v>
      </c>
      <c r="M896" s="57">
        <v>54.392000000000003</v>
      </c>
      <c r="N896" s="57"/>
      <c r="O896" s="57"/>
      <c r="P896" s="57"/>
      <c r="Q896" s="57"/>
      <c r="R896" s="57"/>
      <c r="S896" s="57"/>
      <c r="T896" s="57"/>
    </row>
    <row r="897" spans="1:20">
      <c r="A897" s="58" t="s">
        <v>431</v>
      </c>
      <c r="B897" s="55" t="s">
        <v>381</v>
      </c>
      <c r="C897" s="57">
        <v>34.722000000000001</v>
      </c>
      <c r="D897" s="57">
        <v>41.081000000000003</v>
      </c>
      <c r="E897" s="57">
        <v>42.63</v>
      </c>
      <c r="F897" s="57">
        <v>47.536000000000001</v>
      </c>
      <c r="G897" s="57">
        <v>47.076000000000001</v>
      </c>
      <c r="H897" s="57">
        <v>46.917999999999999</v>
      </c>
      <c r="I897" s="57">
        <v>48.357999999999997</v>
      </c>
      <c r="J897" s="57">
        <v>52.122</v>
      </c>
      <c r="K897" s="57">
        <v>50.914000000000001</v>
      </c>
      <c r="L897" s="57">
        <v>56.125999999999998</v>
      </c>
      <c r="M897" s="57">
        <v>55.542000000000002</v>
      </c>
      <c r="N897" s="57"/>
      <c r="O897" s="57"/>
      <c r="P897" s="57"/>
      <c r="Q897" s="57"/>
      <c r="R897" s="57"/>
      <c r="S897" s="57"/>
      <c r="T897" s="57"/>
    </row>
    <row r="898" spans="1:20">
      <c r="A898" s="58" t="s">
        <v>431</v>
      </c>
      <c r="B898" s="55" t="s">
        <v>382</v>
      </c>
      <c r="C898" s="57">
        <v>21.369</v>
      </c>
      <c r="D898" s="57">
        <v>28.466000000000001</v>
      </c>
      <c r="E898" s="57">
        <v>30.114999999999998</v>
      </c>
      <c r="F898" s="57">
        <v>31.766999999999999</v>
      </c>
      <c r="G898" s="57">
        <v>30.364000000000001</v>
      </c>
      <c r="H898" s="57">
        <v>30.654</v>
      </c>
      <c r="I898" s="57">
        <v>33.692</v>
      </c>
      <c r="J898" s="57">
        <v>37.853999999999999</v>
      </c>
      <c r="K898" s="57">
        <v>40.61</v>
      </c>
      <c r="L898" s="57">
        <v>45.3</v>
      </c>
      <c r="M898" s="57">
        <v>46.567</v>
      </c>
      <c r="N898" s="57"/>
      <c r="O898" s="57"/>
      <c r="P898" s="57"/>
      <c r="Q898" s="57"/>
      <c r="R898" s="57"/>
      <c r="S898" s="57"/>
      <c r="T898" s="57"/>
    </row>
    <row r="899" spans="1:20">
      <c r="A899" s="58" t="s">
        <v>431</v>
      </c>
      <c r="B899" s="55" t="s">
        <v>383</v>
      </c>
      <c r="C899" s="57">
        <v>34.430999999999997</v>
      </c>
      <c r="D899" s="57">
        <v>40.234999999999999</v>
      </c>
      <c r="E899" s="57">
        <v>43.716000000000001</v>
      </c>
      <c r="F899" s="57">
        <v>45.837000000000003</v>
      </c>
      <c r="G899" s="57">
        <v>46.756</v>
      </c>
      <c r="H899" s="57">
        <v>48.225999999999999</v>
      </c>
      <c r="I899" s="57">
        <v>49.926000000000002</v>
      </c>
      <c r="J899" s="57">
        <v>53.978000000000002</v>
      </c>
      <c r="K899" s="57">
        <v>59.225999999999999</v>
      </c>
      <c r="L899" s="57">
        <v>65.566000000000003</v>
      </c>
      <c r="M899" s="57">
        <v>72.438000000000002</v>
      </c>
      <c r="N899" s="57"/>
      <c r="O899" s="57"/>
      <c r="P899" s="57"/>
      <c r="Q899" s="57"/>
      <c r="R899" s="57"/>
      <c r="S899" s="57"/>
      <c r="T899" s="57"/>
    </row>
    <row r="900" spans="1:20">
      <c r="A900" s="58" t="s">
        <v>431</v>
      </c>
      <c r="B900" s="55" t="s">
        <v>384</v>
      </c>
      <c r="C900" s="57">
        <v>34.923999999999999</v>
      </c>
      <c r="D900" s="57">
        <v>37.869</v>
      </c>
      <c r="E900" s="57">
        <v>41.481000000000002</v>
      </c>
      <c r="F900" s="57">
        <v>42.500999999999998</v>
      </c>
      <c r="G900" s="57">
        <v>42.978000000000002</v>
      </c>
      <c r="H900" s="57">
        <v>44.002000000000002</v>
      </c>
      <c r="I900" s="57">
        <v>45.682000000000002</v>
      </c>
      <c r="J900" s="57">
        <v>48.264000000000003</v>
      </c>
      <c r="K900" s="57">
        <v>53.786999999999999</v>
      </c>
      <c r="L900" s="57">
        <v>61.076999999999998</v>
      </c>
      <c r="M900" s="57">
        <v>69.364000000000004</v>
      </c>
      <c r="N900" s="57"/>
      <c r="O900" s="57"/>
      <c r="P900" s="57"/>
      <c r="Q900" s="57"/>
      <c r="R900" s="57"/>
      <c r="S900" s="57"/>
      <c r="T900" s="57"/>
    </row>
    <row r="901" spans="1:20">
      <c r="A901" s="58" t="s">
        <v>431</v>
      </c>
      <c r="B901" s="55" t="s">
        <v>385</v>
      </c>
      <c r="C901" s="57">
        <v>64.789000000000001</v>
      </c>
      <c r="D901" s="57">
        <v>64.647999999999996</v>
      </c>
      <c r="E901" s="57">
        <v>69.863</v>
      </c>
      <c r="F901" s="57">
        <v>74.478999999999999</v>
      </c>
      <c r="G901" s="57">
        <v>72.989000000000004</v>
      </c>
      <c r="H901" s="57">
        <v>77.938999999999993</v>
      </c>
      <c r="I901" s="57">
        <v>82.040999999999997</v>
      </c>
      <c r="J901" s="57">
        <v>84.745000000000005</v>
      </c>
      <c r="K901" s="57">
        <v>82.146000000000001</v>
      </c>
      <c r="L901" s="57">
        <v>89.096999999999994</v>
      </c>
      <c r="M901" s="57">
        <v>97.775999999999996</v>
      </c>
      <c r="N901" s="57"/>
      <c r="O901" s="57"/>
      <c r="P901" s="57"/>
      <c r="Q901" s="57"/>
      <c r="R901" s="57"/>
      <c r="S901" s="57"/>
      <c r="T901" s="57"/>
    </row>
    <row r="902" spans="1:20">
      <c r="A902" s="58" t="s">
        <v>431</v>
      </c>
      <c r="B902" s="55" t="s">
        <v>386</v>
      </c>
      <c r="C902" s="57">
        <v>6.6790000000000003</v>
      </c>
      <c r="D902" s="57">
        <v>9.4009999999999998</v>
      </c>
      <c r="E902" s="57">
        <v>11.394</v>
      </c>
      <c r="F902" s="57">
        <v>12.926</v>
      </c>
      <c r="G902" s="57">
        <v>14.867000000000001</v>
      </c>
      <c r="H902" s="57">
        <v>15.116</v>
      </c>
      <c r="I902" s="57">
        <v>18.562000000000001</v>
      </c>
      <c r="J902" s="57">
        <v>23.443999999999999</v>
      </c>
      <c r="K902" s="57">
        <v>29.023</v>
      </c>
      <c r="L902" s="57">
        <v>37.521999999999998</v>
      </c>
      <c r="M902" s="57">
        <v>51.328000000000003</v>
      </c>
      <c r="N902" s="57"/>
      <c r="O902" s="57"/>
      <c r="P902" s="57"/>
      <c r="Q902" s="57"/>
      <c r="R902" s="57"/>
      <c r="S902" s="57"/>
      <c r="T902" s="57"/>
    </row>
    <row r="903" spans="1:20">
      <c r="A903" s="58" t="s">
        <v>431</v>
      </c>
      <c r="B903" s="55" t="s">
        <v>387</v>
      </c>
      <c r="C903" s="57">
        <v>36.344999999999999</v>
      </c>
      <c r="D903" s="57">
        <v>39.795000000000002</v>
      </c>
      <c r="E903" s="57">
        <v>43.459000000000003</v>
      </c>
      <c r="F903" s="57">
        <v>43.683</v>
      </c>
      <c r="G903" s="57">
        <v>44.113</v>
      </c>
      <c r="H903" s="57">
        <v>44.621000000000002</v>
      </c>
      <c r="I903" s="57">
        <v>45.401000000000003</v>
      </c>
      <c r="J903" s="57">
        <v>47.363999999999997</v>
      </c>
      <c r="K903" s="57">
        <v>54.281999999999996</v>
      </c>
      <c r="L903" s="57">
        <v>61.326999999999998</v>
      </c>
      <c r="M903" s="57">
        <v>68.319000000000003</v>
      </c>
      <c r="N903" s="57"/>
      <c r="O903" s="57"/>
      <c r="P903" s="57"/>
      <c r="Q903" s="57"/>
      <c r="R903" s="57"/>
      <c r="S903" s="57"/>
      <c r="T903" s="57"/>
    </row>
    <row r="904" spans="1:20">
      <c r="A904" s="58" t="s">
        <v>431</v>
      </c>
      <c r="B904" s="55" t="s">
        <v>388</v>
      </c>
      <c r="C904" s="57">
        <v>34.466999999999999</v>
      </c>
      <c r="D904" s="57">
        <v>45.088000000000001</v>
      </c>
      <c r="E904" s="57">
        <v>46.715000000000003</v>
      </c>
      <c r="F904" s="57">
        <v>50.018999999999998</v>
      </c>
      <c r="G904" s="57">
        <v>52.878999999999998</v>
      </c>
      <c r="H904" s="57">
        <v>55.85</v>
      </c>
      <c r="I904" s="57">
        <v>56.677999999999997</v>
      </c>
      <c r="J904" s="57">
        <v>62.274000000000001</v>
      </c>
      <c r="K904" s="57">
        <v>63.491999999999997</v>
      </c>
      <c r="L904" s="57">
        <v>65.561000000000007</v>
      </c>
      <c r="M904" s="57">
        <v>66.686999999999998</v>
      </c>
      <c r="N904" s="57"/>
      <c r="O904" s="57"/>
      <c r="P904" s="57"/>
      <c r="Q904" s="57"/>
      <c r="R904" s="57"/>
      <c r="S904" s="57"/>
      <c r="T904" s="57"/>
    </row>
    <row r="905" spans="1:20">
      <c r="A905" s="58" t="s">
        <v>431</v>
      </c>
      <c r="B905" s="55" t="s">
        <v>389</v>
      </c>
      <c r="C905" s="57">
        <v>33.064999999999998</v>
      </c>
      <c r="D905" s="57">
        <v>41.831000000000003</v>
      </c>
      <c r="E905" s="57">
        <v>46.167999999999999</v>
      </c>
      <c r="F905" s="57">
        <v>49.853000000000002</v>
      </c>
      <c r="G905" s="57">
        <v>50.472000000000001</v>
      </c>
      <c r="H905" s="57">
        <v>51.926000000000002</v>
      </c>
      <c r="I905" s="57">
        <v>54.209000000000003</v>
      </c>
      <c r="J905" s="57">
        <v>60.386000000000003</v>
      </c>
      <c r="K905" s="57">
        <v>67.628</v>
      </c>
      <c r="L905" s="57">
        <v>74.688000000000002</v>
      </c>
      <c r="M905" s="57">
        <v>82.269000000000005</v>
      </c>
      <c r="N905" s="57"/>
      <c r="O905" s="57"/>
      <c r="P905" s="57"/>
      <c r="Q905" s="57"/>
      <c r="R905" s="57"/>
      <c r="S905" s="57"/>
      <c r="T905" s="57"/>
    </row>
    <row r="906" spans="1:20">
      <c r="A906" s="58" t="s">
        <v>431</v>
      </c>
      <c r="B906" s="55" t="s">
        <v>390</v>
      </c>
      <c r="C906" s="57">
        <v>30.745000000000001</v>
      </c>
      <c r="D906" s="57">
        <v>39.332000000000001</v>
      </c>
      <c r="E906" s="57">
        <v>43.962000000000003</v>
      </c>
      <c r="F906" s="57">
        <v>47.646999999999998</v>
      </c>
      <c r="G906" s="57">
        <v>48.683</v>
      </c>
      <c r="H906" s="57">
        <v>49.508000000000003</v>
      </c>
      <c r="I906" s="57">
        <v>51.713999999999999</v>
      </c>
      <c r="J906" s="57">
        <v>58.106999999999999</v>
      </c>
      <c r="K906" s="57">
        <v>66.195999999999998</v>
      </c>
      <c r="L906" s="57">
        <v>73.733000000000004</v>
      </c>
      <c r="M906" s="57">
        <v>82.299000000000007</v>
      </c>
      <c r="N906" s="57"/>
      <c r="O906" s="57"/>
      <c r="P906" s="57"/>
      <c r="Q906" s="57"/>
      <c r="R906" s="57"/>
      <c r="S906" s="57"/>
      <c r="T906" s="57"/>
    </row>
    <row r="907" spans="1:20">
      <c r="A907" s="58" t="s">
        <v>431</v>
      </c>
      <c r="B907" s="55" t="s">
        <v>391</v>
      </c>
      <c r="C907" s="57">
        <v>46.17</v>
      </c>
      <c r="D907" s="57">
        <v>55.932000000000002</v>
      </c>
      <c r="E907" s="57">
        <v>58.597999999999999</v>
      </c>
      <c r="F907" s="57">
        <v>62.295000000000002</v>
      </c>
      <c r="G907" s="57">
        <v>60.593000000000004</v>
      </c>
      <c r="H907" s="57">
        <v>65.588999999999999</v>
      </c>
      <c r="I907" s="57">
        <v>68.31</v>
      </c>
      <c r="J907" s="57">
        <v>73.263000000000005</v>
      </c>
      <c r="K907" s="57">
        <v>75.674999999999997</v>
      </c>
      <c r="L907" s="57">
        <v>80.027000000000001</v>
      </c>
      <c r="M907" s="57">
        <v>82.097999999999999</v>
      </c>
      <c r="N907" s="57"/>
      <c r="O907" s="57"/>
      <c r="P907" s="57"/>
      <c r="Q907" s="57"/>
      <c r="R907" s="57"/>
      <c r="S907" s="57"/>
      <c r="T907" s="57"/>
    </row>
    <row r="908" spans="1:20">
      <c r="A908" s="58" t="s">
        <v>431</v>
      </c>
      <c r="B908" s="55" t="s">
        <v>392</v>
      </c>
      <c r="C908" s="57">
        <v>40.396999999999998</v>
      </c>
      <c r="D908" s="57">
        <v>46.695999999999998</v>
      </c>
      <c r="E908" s="57">
        <v>48.094000000000001</v>
      </c>
      <c r="F908" s="57">
        <v>51.383000000000003</v>
      </c>
      <c r="G908" s="57">
        <v>53.222000000000001</v>
      </c>
      <c r="H908" s="57">
        <v>56.585000000000001</v>
      </c>
      <c r="I908" s="57">
        <v>58.957000000000001</v>
      </c>
      <c r="J908" s="57">
        <v>60.45</v>
      </c>
      <c r="K908" s="57">
        <v>63.32</v>
      </c>
      <c r="L908" s="57">
        <v>66.888000000000005</v>
      </c>
      <c r="M908" s="57">
        <v>70.010000000000005</v>
      </c>
      <c r="N908" s="57"/>
      <c r="O908" s="57"/>
      <c r="P908" s="57"/>
      <c r="Q908" s="57"/>
      <c r="R908" s="57"/>
      <c r="S908" s="57"/>
      <c r="T908" s="57"/>
    </row>
    <row r="909" spans="1:20">
      <c r="A909" s="58" t="s">
        <v>431</v>
      </c>
      <c r="B909" s="55" t="s">
        <v>393</v>
      </c>
      <c r="C909" s="57">
        <v>55.863999999999997</v>
      </c>
      <c r="D909" s="57">
        <v>63.216999999999999</v>
      </c>
      <c r="E909" s="57">
        <v>67.191999999999993</v>
      </c>
      <c r="F909" s="57">
        <v>71.53</v>
      </c>
      <c r="G909" s="57">
        <v>70.825000000000003</v>
      </c>
      <c r="H909" s="57">
        <v>72.923000000000002</v>
      </c>
      <c r="I909" s="57">
        <v>74.879000000000005</v>
      </c>
      <c r="J909" s="57">
        <v>75.697000000000003</v>
      </c>
      <c r="K909" s="57">
        <v>78.741</v>
      </c>
      <c r="L909" s="57">
        <v>84.427999999999997</v>
      </c>
      <c r="M909" s="57">
        <v>83</v>
      </c>
      <c r="N909" s="57"/>
      <c r="O909" s="57"/>
      <c r="P909" s="57"/>
      <c r="Q909" s="57"/>
      <c r="R909" s="57"/>
      <c r="S909" s="57"/>
      <c r="T909" s="57"/>
    </row>
    <row r="910" spans="1:20">
      <c r="A910" s="58" t="s">
        <v>431</v>
      </c>
      <c r="B910" s="55" t="s">
        <v>394</v>
      </c>
      <c r="C910" s="57">
        <v>38.549999999999997</v>
      </c>
      <c r="D910" s="57">
        <v>44.723999999999997</v>
      </c>
      <c r="E910" s="57">
        <v>45.814</v>
      </c>
      <c r="F910" s="57">
        <v>48.978000000000002</v>
      </c>
      <c r="G910" s="57">
        <v>51.122</v>
      </c>
      <c r="H910" s="57">
        <v>54.637</v>
      </c>
      <c r="I910" s="57">
        <v>57.058999999999997</v>
      </c>
      <c r="J910" s="57">
        <v>58.631999999999998</v>
      </c>
      <c r="K910" s="57">
        <v>61.48</v>
      </c>
      <c r="L910" s="57">
        <v>64.796000000000006</v>
      </c>
      <c r="M910" s="57">
        <v>68.462999999999994</v>
      </c>
      <c r="N910" s="57"/>
      <c r="O910" s="57"/>
      <c r="P910" s="57"/>
      <c r="Q910" s="57"/>
      <c r="R910" s="57"/>
      <c r="S910" s="57"/>
      <c r="T910" s="57"/>
    </row>
    <row r="911" spans="1:20">
      <c r="A911" s="58" t="s">
        <v>431</v>
      </c>
      <c r="B911" s="55" t="s">
        <v>395</v>
      </c>
      <c r="C911" s="57">
        <v>33.289000000000001</v>
      </c>
      <c r="D911" s="57">
        <v>40.009</v>
      </c>
      <c r="E911" s="57">
        <v>40.231000000000002</v>
      </c>
      <c r="F911" s="57">
        <v>43.241</v>
      </c>
      <c r="G911" s="57">
        <v>45.406999999999996</v>
      </c>
      <c r="H911" s="57">
        <v>50.618000000000002</v>
      </c>
      <c r="I911" s="57">
        <v>53.197000000000003</v>
      </c>
      <c r="J911" s="57">
        <v>55.401000000000003</v>
      </c>
      <c r="K911" s="57">
        <v>59.938000000000002</v>
      </c>
      <c r="L911" s="57">
        <v>63.411999999999999</v>
      </c>
      <c r="M911" s="57">
        <v>67.215999999999994</v>
      </c>
      <c r="N911" s="57"/>
      <c r="O911" s="57"/>
      <c r="P911" s="57"/>
      <c r="Q911" s="57"/>
      <c r="R911" s="57"/>
      <c r="S911" s="57"/>
      <c r="T911" s="57"/>
    </row>
    <row r="912" spans="1:20">
      <c r="A912" s="58" t="s">
        <v>431</v>
      </c>
      <c r="B912" s="55" t="s">
        <v>396</v>
      </c>
      <c r="C912" s="57">
        <v>42.92</v>
      </c>
      <c r="D912" s="57">
        <v>47.59</v>
      </c>
      <c r="E912" s="57">
        <v>49.767000000000003</v>
      </c>
      <c r="F912" s="57">
        <v>53.063000000000002</v>
      </c>
      <c r="G912" s="57">
        <v>56.076000000000001</v>
      </c>
      <c r="H912" s="57">
        <v>59.21</v>
      </c>
      <c r="I912" s="57">
        <v>61.162999999999997</v>
      </c>
      <c r="J912" s="57">
        <v>62.103999999999999</v>
      </c>
      <c r="K912" s="57">
        <v>63.494999999999997</v>
      </c>
      <c r="L912" s="57">
        <v>66.668999999999997</v>
      </c>
      <c r="M912" s="57">
        <v>69.582999999999998</v>
      </c>
      <c r="N912" s="57"/>
      <c r="O912" s="57"/>
      <c r="P912" s="57"/>
      <c r="Q912" s="57"/>
      <c r="R912" s="57"/>
      <c r="S912" s="57"/>
      <c r="T912" s="57"/>
    </row>
    <row r="913" spans="1:20">
      <c r="A913" s="58" t="s">
        <v>431</v>
      </c>
      <c r="B913" s="55" t="s">
        <v>397</v>
      </c>
      <c r="C913" s="57">
        <v>40.512</v>
      </c>
      <c r="D913" s="57">
        <v>53.451999999999998</v>
      </c>
      <c r="E913" s="57">
        <v>52.421999999999997</v>
      </c>
      <c r="F913" s="57">
        <v>55.624000000000002</v>
      </c>
      <c r="G913" s="57">
        <v>51.985999999999997</v>
      </c>
      <c r="H913" s="57">
        <v>48.152999999999999</v>
      </c>
      <c r="I913" s="57">
        <v>52.728000000000002</v>
      </c>
      <c r="J913" s="57">
        <v>54.753999999999998</v>
      </c>
      <c r="K913" s="57">
        <v>57.241</v>
      </c>
      <c r="L913" s="57">
        <v>60.546999999999997</v>
      </c>
      <c r="M913" s="57">
        <v>68.293999999999997</v>
      </c>
      <c r="N913" s="57"/>
      <c r="O913" s="57"/>
      <c r="P913" s="57"/>
      <c r="Q913" s="57"/>
      <c r="R913" s="57"/>
      <c r="S913" s="57"/>
      <c r="T913" s="57"/>
    </row>
    <row r="914" spans="1:20">
      <c r="A914" s="58" t="s">
        <v>431</v>
      </c>
      <c r="B914" s="55" t="s">
        <v>398</v>
      </c>
      <c r="C914" s="57">
        <v>55.706000000000003</v>
      </c>
      <c r="D914" s="57">
        <v>59.808</v>
      </c>
      <c r="E914" s="57">
        <v>59.795999999999999</v>
      </c>
      <c r="F914" s="57">
        <v>62.527000000000001</v>
      </c>
      <c r="G914" s="57">
        <v>62.484999999999999</v>
      </c>
      <c r="H914" s="57">
        <v>64.980999999999995</v>
      </c>
      <c r="I914" s="57">
        <v>68.888000000000005</v>
      </c>
      <c r="J914" s="57">
        <v>72.396000000000001</v>
      </c>
      <c r="K914" s="57">
        <v>74.968999999999994</v>
      </c>
      <c r="L914" s="57">
        <v>76.869</v>
      </c>
      <c r="M914" s="57">
        <v>77.965000000000003</v>
      </c>
      <c r="N914" s="57"/>
      <c r="O914" s="57"/>
      <c r="P914" s="57"/>
      <c r="Q914" s="57"/>
      <c r="R914" s="57"/>
      <c r="S914" s="57"/>
      <c r="T914" s="57"/>
    </row>
    <row r="915" spans="1:20">
      <c r="A915" s="58" t="s">
        <v>431</v>
      </c>
      <c r="B915" s="55" t="s">
        <v>399</v>
      </c>
      <c r="C915" s="57">
        <v>37.152999999999999</v>
      </c>
      <c r="D915" s="57">
        <v>44.210999999999999</v>
      </c>
      <c r="E915" s="57">
        <v>41.866999999999997</v>
      </c>
      <c r="F915" s="57">
        <v>43.35</v>
      </c>
      <c r="G915" s="57">
        <v>44.805</v>
      </c>
      <c r="H915" s="57">
        <v>46.969000000000001</v>
      </c>
      <c r="I915" s="57">
        <v>58.503</v>
      </c>
      <c r="J915" s="57">
        <v>65.772000000000006</v>
      </c>
      <c r="K915" s="57">
        <v>74.838999999999999</v>
      </c>
      <c r="L915" s="57">
        <v>81.436999999999998</v>
      </c>
      <c r="M915" s="57">
        <v>78.611000000000004</v>
      </c>
      <c r="N915" s="57"/>
      <c r="O915" s="57"/>
      <c r="P915" s="57"/>
      <c r="Q915" s="57"/>
      <c r="R915" s="57"/>
      <c r="S915" s="57"/>
      <c r="T915" s="57"/>
    </row>
    <row r="916" spans="1:20">
      <c r="A916" s="58" t="s">
        <v>431</v>
      </c>
      <c r="B916" s="55" t="s">
        <v>400</v>
      </c>
      <c r="C916" s="57">
        <v>30.187000000000001</v>
      </c>
      <c r="D916" s="57">
        <v>35.137</v>
      </c>
      <c r="E916" s="57">
        <v>31.114000000000001</v>
      </c>
      <c r="F916" s="57">
        <v>33.981999999999999</v>
      </c>
      <c r="G916" s="57">
        <v>35.970999999999997</v>
      </c>
      <c r="H916" s="57">
        <v>36.875</v>
      </c>
      <c r="I916" s="57">
        <v>45.756999999999998</v>
      </c>
      <c r="J916" s="57">
        <v>51.853999999999999</v>
      </c>
      <c r="K916" s="57">
        <v>58.570999999999998</v>
      </c>
      <c r="L916" s="57">
        <v>64.245999999999995</v>
      </c>
      <c r="M916" s="57">
        <v>61.469000000000001</v>
      </c>
      <c r="N916" s="57"/>
      <c r="O916" s="57"/>
      <c r="P916" s="57"/>
      <c r="Q916" s="57"/>
      <c r="R916" s="57"/>
      <c r="S916" s="57"/>
      <c r="T916" s="57"/>
    </row>
    <row r="917" spans="1:20">
      <c r="A917" s="58" t="s">
        <v>431</v>
      </c>
      <c r="B917" s="55" t="s">
        <v>401</v>
      </c>
      <c r="C917" s="57">
        <v>46.390999999999998</v>
      </c>
      <c r="D917" s="57">
        <v>56.173999999999999</v>
      </c>
      <c r="E917" s="57">
        <v>55.878999999999998</v>
      </c>
      <c r="F917" s="57">
        <v>55.654000000000003</v>
      </c>
      <c r="G917" s="57">
        <v>56.454000000000001</v>
      </c>
      <c r="H917" s="57">
        <v>60.234000000000002</v>
      </c>
      <c r="I917" s="57">
        <v>75.245000000000005</v>
      </c>
      <c r="J917" s="57">
        <v>84.072999999999993</v>
      </c>
      <c r="K917" s="57">
        <v>96.210999999999999</v>
      </c>
      <c r="L917" s="57">
        <v>104.041</v>
      </c>
      <c r="M917" s="57">
        <v>101.133</v>
      </c>
      <c r="N917" s="57"/>
      <c r="O917" s="57"/>
      <c r="P917" s="57"/>
      <c r="Q917" s="57"/>
      <c r="R917" s="57"/>
      <c r="S917" s="57"/>
      <c r="T917" s="57"/>
    </row>
    <row r="918" spans="1:20">
      <c r="A918" s="58" t="s">
        <v>431</v>
      </c>
      <c r="B918" s="55" t="s">
        <v>402</v>
      </c>
      <c r="C918" s="57">
        <v>59.758000000000003</v>
      </c>
      <c r="D918" s="57">
        <v>63.237000000000002</v>
      </c>
      <c r="E918" s="57">
        <v>63.722999999999999</v>
      </c>
      <c r="F918" s="57">
        <v>66.724999999999994</v>
      </c>
      <c r="G918" s="57">
        <v>66.36</v>
      </c>
      <c r="H918" s="57">
        <v>68.927999999999997</v>
      </c>
      <c r="I918" s="57">
        <v>71.156999999999996</v>
      </c>
      <c r="J918" s="57">
        <v>73.835999999999999</v>
      </c>
      <c r="K918" s="57">
        <v>74.971000000000004</v>
      </c>
      <c r="L918" s="57">
        <v>75.825999999999993</v>
      </c>
      <c r="M918" s="57">
        <v>77.796999999999997</v>
      </c>
      <c r="N918" s="57"/>
      <c r="O918" s="57"/>
      <c r="P918" s="57"/>
      <c r="Q918" s="57"/>
      <c r="R918" s="57"/>
      <c r="S918" s="57"/>
      <c r="T918" s="57"/>
    </row>
    <row r="919" spans="1:20">
      <c r="A919" s="58" t="s">
        <v>431</v>
      </c>
      <c r="B919" s="55" t="s">
        <v>403</v>
      </c>
      <c r="C919" s="57">
        <v>50.613999999999997</v>
      </c>
      <c r="D919" s="57">
        <v>55.911000000000001</v>
      </c>
      <c r="E919" s="57">
        <v>54.750999999999998</v>
      </c>
      <c r="F919" s="57">
        <v>55.234000000000002</v>
      </c>
      <c r="G919" s="57">
        <v>52.692999999999998</v>
      </c>
      <c r="H919" s="57">
        <v>57.715000000000003</v>
      </c>
      <c r="I919" s="57">
        <v>57.991</v>
      </c>
      <c r="J919" s="57">
        <v>61.887</v>
      </c>
      <c r="K919" s="57">
        <v>63.470999999999997</v>
      </c>
      <c r="L919" s="57">
        <v>65.697999999999993</v>
      </c>
      <c r="M919" s="57">
        <v>66.099999999999994</v>
      </c>
      <c r="N919" s="57"/>
      <c r="O919" s="57"/>
      <c r="P919" s="57"/>
      <c r="Q919" s="57"/>
      <c r="R919" s="57"/>
      <c r="S919" s="57"/>
      <c r="T919" s="57"/>
    </row>
    <row r="920" spans="1:20">
      <c r="A920" s="58" t="s">
        <v>431</v>
      </c>
      <c r="B920" s="55" t="s">
        <v>404</v>
      </c>
      <c r="C920" s="57">
        <v>63.042999999999999</v>
      </c>
      <c r="D920" s="57">
        <v>65.924999999999997</v>
      </c>
      <c r="E920" s="57">
        <v>66.962000000000003</v>
      </c>
      <c r="F920" s="57">
        <v>70.814999999999998</v>
      </c>
      <c r="G920" s="57">
        <v>71.180000000000007</v>
      </c>
      <c r="H920" s="57">
        <v>72.915999999999997</v>
      </c>
      <c r="I920" s="57">
        <v>75.822000000000003</v>
      </c>
      <c r="J920" s="57">
        <v>78.084999999999994</v>
      </c>
      <c r="K920" s="57">
        <v>79.066000000000003</v>
      </c>
      <c r="L920" s="57">
        <v>79.448999999999998</v>
      </c>
      <c r="M920" s="57">
        <v>81.965999999999994</v>
      </c>
      <c r="N920" s="57"/>
      <c r="O920" s="57"/>
      <c r="P920" s="57"/>
      <c r="Q920" s="57"/>
      <c r="R920" s="57"/>
      <c r="S920" s="57"/>
      <c r="T920" s="57"/>
    </row>
    <row r="921" spans="1:20">
      <c r="A921" s="58" t="s">
        <v>431</v>
      </c>
      <c r="B921" s="55" t="s">
        <v>405</v>
      </c>
      <c r="C921" s="57">
        <v>48.106999999999999</v>
      </c>
      <c r="D921" s="57">
        <v>52.515000000000001</v>
      </c>
      <c r="E921" s="57">
        <v>54.926000000000002</v>
      </c>
      <c r="F921" s="57">
        <v>56.195999999999998</v>
      </c>
      <c r="G921" s="57">
        <v>53.570999999999998</v>
      </c>
      <c r="H921" s="57">
        <v>60.918999999999997</v>
      </c>
      <c r="I921" s="57">
        <v>60.45</v>
      </c>
      <c r="J921" s="57">
        <v>64.811000000000007</v>
      </c>
      <c r="K921" s="57">
        <v>71.257999999999996</v>
      </c>
      <c r="L921" s="57">
        <v>75.947999999999993</v>
      </c>
      <c r="M921" s="57">
        <v>76.042000000000002</v>
      </c>
      <c r="N921" s="57"/>
      <c r="O921" s="57"/>
      <c r="P921" s="57"/>
      <c r="Q921" s="57"/>
      <c r="R921" s="57"/>
      <c r="S921" s="57"/>
      <c r="T921" s="57"/>
    </row>
    <row r="922" spans="1:20">
      <c r="A922" s="58" t="s">
        <v>431</v>
      </c>
      <c r="B922" s="55" t="s">
        <v>174</v>
      </c>
      <c r="C922" s="57">
        <v>59.177</v>
      </c>
      <c r="D922" s="57">
        <v>59.283999999999999</v>
      </c>
      <c r="E922" s="57">
        <v>60.921999999999997</v>
      </c>
      <c r="F922" s="57">
        <v>62.412999999999997</v>
      </c>
      <c r="G922" s="57">
        <v>63.790999999999997</v>
      </c>
      <c r="H922" s="57">
        <v>64.427999999999997</v>
      </c>
      <c r="I922" s="57">
        <v>65.522999999999996</v>
      </c>
      <c r="J922" s="57">
        <v>67.596000000000004</v>
      </c>
      <c r="K922" s="57">
        <v>68.844999999999999</v>
      </c>
      <c r="L922" s="57">
        <v>69.989000000000004</v>
      </c>
      <c r="M922" s="57">
        <v>72.319999999999993</v>
      </c>
      <c r="N922" s="57"/>
      <c r="O922" s="57"/>
      <c r="P922" s="57"/>
      <c r="Q922" s="57"/>
      <c r="R922" s="57"/>
      <c r="S922" s="57"/>
      <c r="T922" s="57"/>
    </row>
    <row r="923" spans="1:20">
      <c r="A923" s="58" t="s">
        <v>431</v>
      </c>
      <c r="B923" s="55" t="s">
        <v>219</v>
      </c>
      <c r="C923" s="57">
        <v>69.887</v>
      </c>
      <c r="D923" s="57">
        <v>68.256</v>
      </c>
      <c r="E923" s="57">
        <v>69.619</v>
      </c>
      <c r="F923" s="57">
        <v>71.165999999999997</v>
      </c>
      <c r="G923" s="57">
        <v>70.430999999999997</v>
      </c>
      <c r="H923" s="57">
        <v>67.647000000000006</v>
      </c>
      <c r="I923" s="57">
        <v>64.998000000000005</v>
      </c>
      <c r="J923" s="57">
        <v>64.376000000000005</v>
      </c>
      <c r="K923" s="57">
        <v>63.537999999999997</v>
      </c>
      <c r="L923" s="57">
        <v>63.994999999999997</v>
      </c>
      <c r="M923" s="57">
        <v>64.819999999999993</v>
      </c>
      <c r="N923" s="57"/>
      <c r="O923" s="57"/>
      <c r="P923" s="57"/>
      <c r="Q923" s="57"/>
      <c r="R923" s="57"/>
      <c r="S923" s="57"/>
      <c r="T923" s="57"/>
    </row>
    <row r="924" spans="1:20">
      <c r="A924" s="58" t="s">
        <v>431</v>
      </c>
      <c r="B924" s="55" t="s">
        <v>406</v>
      </c>
      <c r="C924" s="57">
        <v>69.677000000000007</v>
      </c>
      <c r="D924" s="57">
        <v>68.090999999999994</v>
      </c>
      <c r="E924" s="57">
        <v>69.308999999999997</v>
      </c>
      <c r="F924" s="57">
        <v>70.146000000000001</v>
      </c>
      <c r="G924" s="57">
        <v>70.156999999999996</v>
      </c>
      <c r="H924" s="57">
        <v>68.364999999999995</v>
      </c>
      <c r="I924" s="57">
        <v>64.543000000000006</v>
      </c>
      <c r="J924" s="57">
        <v>63.991</v>
      </c>
      <c r="K924" s="57">
        <v>62.192</v>
      </c>
      <c r="L924" s="57">
        <v>62.264000000000003</v>
      </c>
      <c r="M924" s="57">
        <v>63.576000000000001</v>
      </c>
      <c r="N924" s="57"/>
      <c r="O924" s="57"/>
      <c r="P924" s="57"/>
      <c r="Q924" s="57"/>
      <c r="R924" s="57"/>
      <c r="S924" s="57"/>
      <c r="T924" s="57"/>
    </row>
    <row r="925" spans="1:20">
      <c r="A925" s="58" t="s">
        <v>431</v>
      </c>
      <c r="B925" s="55" t="s">
        <v>407</v>
      </c>
      <c r="C925" s="57">
        <v>72.244</v>
      </c>
      <c r="D925" s="57">
        <v>69.983000000000004</v>
      </c>
      <c r="E925" s="57">
        <v>73.387</v>
      </c>
      <c r="F925" s="57">
        <v>84.971000000000004</v>
      </c>
      <c r="G925" s="57">
        <v>73.614000000000004</v>
      </c>
      <c r="H925" s="57">
        <v>56.57</v>
      </c>
      <c r="I925" s="57">
        <v>70.98</v>
      </c>
      <c r="J925" s="57">
        <v>69.337999999999994</v>
      </c>
      <c r="K925" s="57">
        <v>82.536000000000001</v>
      </c>
      <c r="L925" s="57">
        <v>88.59</v>
      </c>
      <c r="M925" s="57">
        <v>82.341999999999999</v>
      </c>
      <c r="N925" s="57"/>
      <c r="O925" s="57"/>
      <c r="P925" s="57"/>
      <c r="Q925" s="57"/>
      <c r="R925" s="57"/>
      <c r="S925" s="57"/>
      <c r="T925" s="57"/>
    </row>
    <row r="926" spans="1:20">
      <c r="A926" s="58" t="s">
        <v>431</v>
      </c>
      <c r="B926" s="55" t="s">
        <v>221</v>
      </c>
      <c r="C926" s="57">
        <v>52.277999999999999</v>
      </c>
      <c r="D926" s="57">
        <v>53.52</v>
      </c>
      <c r="E926" s="57">
        <v>55.334000000000003</v>
      </c>
      <c r="F926" s="57">
        <v>56.784999999999997</v>
      </c>
      <c r="G926" s="57">
        <v>59.481999999999999</v>
      </c>
      <c r="H926" s="57">
        <v>62.253</v>
      </c>
      <c r="I926" s="57">
        <v>65.682000000000002</v>
      </c>
      <c r="J926" s="57">
        <v>69.429000000000002</v>
      </c>
      <c r="K926" s="57">
        <v>71.97</v>
      </c>
      <c r="L926" s="57">
        <v>73.534000000000006</v>
      </c>
      <c r="M926" s="57">
        <v>76.78</v>
      </c>
      <c r="N926" s="57"/>
      <c r="O926" s="57"/>
      <c r="P926" s="57"/>
      <c r="Q926" s="57"/>
      <c r="R926" s="57"/>
      <c r="S926" s="57"/>
      <c r="T926" s="57"/>
    </row>
    <row r="927" spans="1:20">
      <c r="A927" s="58" t="s">
        <v>431</v>
      </c>
      <c r="B927" s="55" t="s">
        <v>406</v>
      </c>
      <c r="C927" s="57">
        <v>51.88</v>
      </c>
      <c r="D927" s="57">
        <v>53.222999999999999</v>
      </c>
      <c r="E927" s="57">
        <v>55.256</v>
      </c>
      <c r="F927" s="57">
        <v>56.957000000000001</v>
      </c>
      <c r="G927" s="57">
        <v>59.554000000000002</v>
      </c>
      <c r="H927" s="57">
        <v>62.499000000000002</v>
      </c>
      <c r="I927" s="57">
        <v>65.64</v>
      </c>
      <c r="J927" s="57">
        <v>68.828999999999994</v>
      </c>
      <c r="K927" s="57">
        <v>71.432000000000002</v>
      </c>
      <c r="L927" s="57">
        <v>73.183999999999997</v>
      </c>
      <c r="M927" s="57">
        <v>76.724000000000004</v>
      </c>
      <c r="N927" s="57"/>
      <c r="O927" s="57"/>
      <c r="P927" s="57"/>
      <c r="Q927" s="57"/>
      <c r="R927" s="57"/>
      <c r="S927" s="57"/>
      <c r="T927" s="57"/>
    </row>
    <row r="928" spans="1:20">
      <c r="A928" s="58" t="s">
        <v>431</v>
      </c>
      <c r="B928" s="55" t="s">
        <v>407</v>
      </c>
      <c r="C928" s="57">
        <v>54.268000000000001</v>
      </c>
      <c r="D928" s="57">
        <v>55.052</v>
      </c>
      <c r="E928" s="57">
        <v>55.85</v>
      </c>
      <c r="F928" s="57">
        <v>56.145000000000003</v>
      </c>
      <c r="G928" s="57">
        <v>59.314999999999998</v>
      </c>
      <c r="H928" s="57">
        <v>61.265999999999998</v>
      </c>
      <c r="I928" s="57">
        <v>66.087000000000003</v>
      </c>
      <c r="J928" s="57">
        <v>72.540000000000006</v>
      </c>
      <c r="K928" s="57">
        <v>74.789000000000001</v>
      </c>
      <c r="L928" s="57">
        <v>75.445999999999998</v>
      </c>
      <c r="M928" s="57">
        <v>77.269000000000005</v>
      </c>
      <c r="N928" s="57"/>
      <c r="O928" s="57"/>
      <c r="P928" s="57"/>
      <c r="Q928" s="57"/>
      <c r="R928" s="57"/>
      <c r="S928" s="57"/>
      <c r="T928" s="57"/>
    </row>
    <row r="929" spans="1:20">
      <c r="A929" s="58" t="s">
        <v>431</v>
      </c>
      <c r="B929" s="55" t="s">
        <v>408</v>
      </c>
      <c r="C929" s="57">
        <v>69.92</v>
      </c>
      <c r="D929" s="57">
        <v>71.677999999999997</v>
      </c>
      <c r="E929" s="57">
        <v>72.125</v>
      </c>
      <c r="F929" s="57">
        <v>72.22</v>
      </c>
      <c r="G929" s="57">
        <v>70.167000000000002</v>
      </c>
      <c r="H929" s="57">
        <v>73.097999999999999</v>
      </c>
      <c r="I929" s="57">
        <v>75.400000000000006</v>
      </c>
      <c r="J929" s="57">
        <v>79.325999999999993</v>
      </c>
      <c r="K929" s="57">
        <v>82.974000000000004</v>
      </c>
      <c r="L929" s="57">
        <v>86.212000000000003</v>
      </c>
      <c r="M929" s="57">
        <v>92.239000000000004</v>
      </c>
      <c r="N929" s="57"/>
      <c r="O929" s="57"/>
      <c r="P929" s="57"/>
      <c r="Q929" s="57"/>
      <c r="R929" s="57"/>
      <c r="S929" s="57"/>
      <c r="T929" s="57"/>
    </row>
    <row r="930" spans="1:20">
      <c r="A930" s="58" t="s">
        <v>431</v>
      </c>
      <c r="B930" s="55" t="s">
        <v>409</v>
      </c>
      <c r="C930" s="57">
        <v>44.311999999999998</v>
      </c>
      <c r="D930" s="57">
        <v>48.496000000000002</v>
      </c>
      <c r="E930" s="57">
        <v>49.442999999999998</v>
      </c>
      <c r="F930" s="57">
        <v>51.146999999999998</v>
      </c>
      <c r="G930" s="57">
        <v>50.692</v>
      </c>
      <c r="H930" s="57">
        <v>52.018000000000001</v>
      </c>
      <c r="I930" s="57">
        <v>55.014000000000003</v>
      </c>
      <c r="J930" s="57">
        <v>58.24</v>
      </c>
      <c r="K930" s="57">
        <v>61.944000000000003</v>
      </c>
      <c r="L930" s="57">
        <v>65.849000000000004</v>
      </c>
      <c r="M930" s="57">
        <v>69.2</v>
      </c>
      <c r="N930" s="57"/>
      <c r="O930" s="57"/>
      <c r="P930" s="57"/>
      <c r="Q930" s="57"/>
      <c r="R930" s="57"/>
      <c r="S930" s="57"/>
      <c r="T930" s="57"/>
    </row>
    <row r="931" spans="1:20">
      <c r="A931" s="58" t="s">
        <v>431</v>
      </c>
      <c r="B931" s="55" t="s">
        <v>410</v>
      </c>
      <c r="C931" s="57">
        <v>34.530999999999999</v>
      </c>
      <c r="D931" s="57">
        <v>37.212000000000003</v>
      </c>
      <c r="E931" s="57">
        <v>37.667999999999999</v>
      </c>
      <c r="F931" s="57">
        <v>40.395000000000003</v>
      </c>
      <c r="G931" s="57">
        <v>41.582999999999998</v>
      </c>
      <c r="H931" s="57">
        <v>45.323999999999998</v>
      </c>
      <c r="I931" s="57">
        <v>49.820999999999998</v>
      </c>
      <c r="J931" s="57">
        <v>56.226999999999997</v>
      </c>
      <c r="K931" s="57">
        <v>68.088999999999999</v>
      </c>
      <c r="L931" s="57">
        <v>79.548000000000002</v>
      </c>
      <c r="M931" s="57">
        <v>93.093999999999994</v>
      </c>
      <c r="N931" s="57"/>
    </row>
    <row r="932" spans="1:20">
      <c r="C932" s="57"/>
      <c r="D932" s="57"/>
      <c r="E932" s="57"/>
      <c r="F932" s="57"/>
      <c r="G932" s="57"/>
      <c r="H932" s="57"/>
      <c r="I932" s="57"/>
      <c r="J932" s="57"/>
      <c r="K932" s="57"/>
      <c r="L932" s="57"/>
      <c r="M932" s="57"/>
    </row>
    <row r="933" spans="1:20">
      <c r="A933" s="60" t="s">
        <v>432</v>
      </c>
      <c r="C933" s="57"/>
      <c r="D933" s="57"/>
      <c r="E933" s="57"/>
      <c r="F933" s="57"/>
      <c r="G933" s="57"/>
      <c r="H933" s="57"/>
      <c r="I933" s="57"/>
      <c r="J933" s="57"/>
      <c r="K933" s="57"/>
      <c r="L933" s="57"/>
      <c r="M933" s="57"/>
      <c r="O933" s="57"/>
      <c r="P933" s="57"/>
      <c r="Q933" s="57"/>
      <c r="R933" s="57"/>
      <c r="S933" s="57"/>
      <c r="T933" s="57"/>
    </row>
    <row r="934" spans="1:20">
      <c r="A934" s="55" t="s">
        <v>433</v>
      </c>
      <c r="B934" s="55" t="s">
        <v>423</v>
      </c>
      <c r="C934" s="57">
        <v>67.384</v>
      </c>
      <c r="D934" s="57">
        <v>69.988</v>
      </c>
      <c r="E934" s="57">
        <v>72.753</v>
      </c>
      <c r="F934" s="57">
        <v>75.082999999999998</v>
      </c>
      <c r="G934" s="57">
        <v>75.843000000000004</v>
      </c>
      <c r="H934" s="57">
        <v>76.878</v>
      </c>
      <c r="I934" s="57">
        <v>78.183999999999997</v>
      </c>
      <c r="J934" s="57">
        <v>79.558000000000007</v>
      </c>
      <c r="K934" s="57">
        <v>82.13</v>
      </c>
      <c r="L934" s="57">
        <v>83.364000000000004</v>
      </c>
      <c r="M934" s="57">
        <v>83.781999999999996</v>
      </c>
      <c r="N934" s="57"/>
      <c r="O934" s="57"/>
      <c r="P934" s="57"/>
      <c r="Q934" s="57"/>
      <c r="R934" s="57"/>
      <c r="S934" s="57"/>
      <c r="T934" s="57"/>
    </row>
    <row r="935" spans="1:20">
      <c r="A935" s="55" t="s">
        <v>433</v>
      </c>
      <c r="B935" s="55" t="s">
        <v>326</v>
      </c>
      <c r="C935" s="57">
        <v>68.001000000000005</v>
      </c>
      <c r="D935" s="57">
        <v>70.748999999999995</v>
      </c>
      <c r="E935" s="57">
        <v>73.585999999999999</v>
      </c>
      <c r="F935" s="57">
        <v>75.837000000000003</v>
      </c>
      <c r="G935" s="57">
        <v>76.504999999999995</v>
      </c>
      <c r="H935" s="57">
        <v>77.497</v>
      </c>
      <c r="I935" s="57">
        <v>78.799000000000007</v>
      </c>
      <c r="J935" s="57">
        <v>80.185000000000002</v>
      </c>
      <c r="K935" s="57">
        <v>82.805999999999997</v>
      </c>
      <c r="L935" s="57">
        <v>83.974000000000004</v>
      </c>
      <c r="M935" s="57">
        <v>84.311999999999998</v>
      </c>
      <c r="N935" s="57"/>
      <c r="O935" s="57"/>
      <c r="P935" s="57"/>
      <c r="Q935" s="57"/>
      <c r="R935" s="57"/>
      <c r="S935" s="57"/>
      <c r="T935" s="57"/>
    </row>
    <row r="936" spans="1:20">
      <c r="A936" s="55" t="s">
        <v>433</v>
      </c>
      <c r="B936" s="55" t="s">
        <v>327</v>
      </c>
      <c r="C936" s="57">
        <v>61.689</v>
      </c>
      <c r="D936" s="57">
        <v>66.372</v>
      </c>
      <c r="E936" s="57">
        <v>69.869</v>
      </c>
      <c r="F936" s="57">
        <v>71.53</v>
      </c>
      <c r="G936" s="57">
        <v>72.096999999999994</v>
      </c>
      <c r="H936" s="57">
        <v>72.430999999999997</v>
      </c>
      <c r="I936" s="57">
        <v>75.006</v>
      </c>
      <c r="J936" s="57">
        <v>76.069000000000003</v>
      </c>
      <c r="K936" s="57">
        <v>76.492000000000004</v>
      </c>
      <c r="L936" s="57">
        <v>80.662000000000006</v>
      </c>
      <c r="M936" s="57">
        <v>82.89</v>
      </c>
      <c r="N936" s="57"/>
      <c r="O936" s="57"/>
      <c r="P936" s="57"/>
      <c r="Q936" s="57"/>
      <c r="R936" s="57"/>
      <c r="S936" s="57"/>
      <c r="T936" s="57"/>
    </row>
    <row r="937" spans="1:20">
      <c r="A937" s="55" t="s">
        <v>433</v>
      </c>
      <c r="B937" s="55" t="s">
        <v>328</v>
      </c>
      <c r="C937" s="57">
        <v>61.75</v>
      </c>
      <c r="D937" s="57">
        <v>66.385000000000005</v>
      </c>
      <c r="E937" s="57">
        <v>69.798000000000002</v>
      </c>
      <c r="F937" s="57">
        <v>71.332999999999998</v>
      </c>
      <c r="G937" s="57">
        <v>71.882000000000005</v>
      </c>
      <c r="H937" s="57">
        <v>71.759</v>
      </c>
      <c r="I937" s="57">
        <v>73.563999999999993</v>
      </c>
      <c r="J937" s="57">
        <v>74.445999999999998</v>
      </c>
      <c r="K937" s="57">
        <v>74.656000000000006</v>
      </c>
      <c r="L937" s="57">
        <v>79.331999999999994</v>
      </c>
      <c r="M937" s="57">
        <v>81.664000000000001</v>
      </c>
      <c r="N937" s="57"/>
      <c r="O937" s="57"/>
      <c r="P937" s="57"/>
      <c r="Q937" s="57"/>
      <c r="R937" s="57"/>
      <c r="S937" s="57"/>
      <c r="T937" s="57"/>
    </row>
    <row r="938" spans="1:20">
      <c r="A938" s="55" t="s">
        <v>433</v>
      </c>
      <c r="B938" s="55" t="s">
        <v>329</v>
      </c>
      <c r="C938" s="57">
        <v>61.381999999999998</v>
      </c>
      <c r="D938" s="57">
        <v>66.488</v>
      </c>
      <c r="E938" s="57">
        <v>70.653000000000006</v>
      </c>
      <c r="F938" s="57">
        <v>73.364999999999995</v>
      </c>
      <c r="G938" s="57">
        <v>74.078999999999994</v>
      </c>
      <c r="H938" s="57">
        <v>78.046999999999997</v>
      </c>
      <c r="I938" s="57">
        <v>86.367000000000004</v>
      </c>
      <c r="J938" s="57">
        <v>88.789000000000001</v>
      </c>
      <c r="K938" s="57">
        <v>90.867000000000004</v>
      </c>
      <c r="L938" s="57">
        <v>91.061000000000007</v>
      </c>
      <c r="M938" s="57">
        <v>92.457999999999998</v>
      </c>
      <c r="N938" s="57"/>
      <c r="O938" s="57"/>
      <c r="P938" s="57"/>
      <c r="Q938" s="57"/>
      <c r="R938" s="57"/>
      <c r="S938" s="57"/>
      <c r="T938" s="57"/>
    </row>
    <row r="939" spans="1:20">
      <c r="A939" s="55" t="s">
        <v>433</v>
      </c>
      <c r="B939" s="55" t="s">
        <v>330</v>
      </c>
      <c r="C939" s="57">
        <v>52.332000000000001</v>
      </c>
      <c r="D939" s="57">
        <v>52.901000000000003</v>
      </c>
      <c r="E939" s="57">
        <v>55.43</v>
      </c>
      <c r="F939" s="57">
        <v>58.265000000000001</v>
      </c>
      <c r="G939" s="57">
        <v>57.529000000000003</v>
      </c>
      <c r="H939" s="57">
        <v>57.545999999999999</v>
      </c>
      <c r="I939" s="57">
        <v>57.865000000000002</v>
      </c>
      <c r="J939" s="57">
        <v>58.073999999999998</v>
      </c>
      <c r="K939" s="57">
        <v>59.854999999999997</v>
      </c>
      <c r="L939" s="57">
        <v>63.207999999999998</v>
      </c>
      <c r="M939" s="57">
        <v>63.552</v>
      </c>
      <c r="N939" s="57"/>
      <c r="O939" s="57"/>
      <c r="P939" s="57"/>
      <c r="Q939" s="57"/>
      <c r="R939" s="57"/>
      <c r="S939" s="57"/>
      <c r="T939" s="57"/>
    </row>
    <row r="940" spans="1:20">
      <c r="A940" s="55" t="s">
        <v>433</v>
      </c>
      <c r="B940" s="55" t="s">
        <v>331</v>
      </c>
      <c r="C940" s="57">
        <v>43.319000000000003</v>
      </c>
      <c r="D940" s="57">
        <v>43.122999999999998</v>
      </c>
      <c r="E940" s="57">
        <v>46.003999999999998</v>
      </c>
      <c r="F940" s="57">
        <v>49.526000000000003</v>
      </c>
      <c r="G940" s="57">
        <v>48.051000000000002</v>
      </c>
      <c r="H940" s="57">
        <v>47.865000000000002</v>
      </c>
      <c r="I940" s="57">
        <v>48.235999999999997</v>
      </c>
      <c r="J940" s="57">
        <v>47.777000000000001</v>
      </c>
      <c r="K940" s="57">
        <v>49.247999999999998</v>
      </c>
      <c r="L940" s="57">
        <v>54.146999999999998</v>
      </c>
      <c r="M940" s="57">
        <v>54.207999999999998</v>
      </c>
      <c r="N940" s="57"/>
      <c r="O940" s="57"/>
      <c r="P940" s="57"/>
      <c r="Q940" s="57"/>
      <c r="R940" s="57"/>
      <c r="S940" s="57"/>
      <c r="T940" s="57"/>
    </row>
    <row r="941" spans="1:20">
      <c r="A941" s="55" t="s">
        <v>433</v>
      </c>
      <c r="B941" s="55" t="s">
        <v>332</v>
      </c>
      <c r="C941" s="57">
        <v>66.956999999999994</v>
      </c>
      <c r="D941" s="57">
        <v>68.471000000000004</v>
      </c>
      <c r="E941" s="57">
        <v>70.555000000000007</v>
      </c>
      <c r="F941" s="57">
        <v>72.418000000000006</v>
      </c>
      <c r="G941" s="57">
        <v>72.415999999999997</v>
      </c>
      <c r="H941" s="57">
        <v>72.53</v>
      </c>
      <c r="I941" s="57">
        <v>72.450999999999993</v>
      </c>
      <c r="J941" s="57">
        <v>73.635999999999996</v>
      </c>
      <c r="K941" s="57">
        <v>75.766999999999996</v>
      </c>
      <c r="L941" s="57">
        <v>76.846000000000004</v>
      </c>
      <c r="M941" s="57">
        <v>77.42</v>
      </c>
      <c r="N941" s="57"/>
      <c r="O941" s="57"/>
      <c r="P941" s="57"/>
      <c r="Q941" s="57"/>
      <c r="R941" s="57"/>
      <c r="S941" s="57"/>
      <c r="T941" s="57"/>
    </row>
    <row r="942" spans="1:20">
      <c r="A942" s="55" t="s">
        <v>433</v>
      </c>
      <c r="B942" s="55" t="s">
        <v>333</v>
      </c>
      <c r="C942" s="57">
        <v>59.064</v>
      </c>
      <c r="D942" s="57">
        <v>61.162999999999997</v>
      </c>
      <c r="E942" s="57">
        <v>63.655999999999999</v>
      </c>
      <c r="F942" s="57">
        <v>66.399000000000001</v>
      </c>
      <c r="G942" s="57">
        <v>67.733999999999995</v>
      </c>
      <c r="H942" s="57">
        <v>68.974999999999994</v>
      </c>
      <c r="I942" s="57">
        <v>70.447000000000003</v>
      </c>
      <c r="J942" s="57">
        <v>71.899000000000001</v>
      </c>
      <c r="K942" s="57">
        <v>74.617999999999995</v>
      </c>
      <c r="L942" s="57">
        <v>76.34</v>
      </c>
      <c r="M942" s="57">
        <v>77.600999999999999</v>
      </c>
      <c r="N942" s="57"/>
      <c r="O942" s="57"/>
      <c r="P942" s="57"/>
      <c r="Q942" s="57"/>
      <c r="R942" s="57"/>
      <c r="S942" s="57"/>
      <c r="T942" s="57"/>
    </row>
    <row r="943" spans="1:20">
      <c r="A943" s="55" t="s">
        <v>433</v>
      </c>
      <c r="B943" s="55" t="s">
        <v>334</v>
      </c>
      <c r="C943" s="57">
        <v>46.189</v>
      </c>
      <c r="D943" s="57">
        <v>45.470999999999997</v>
      </c>
      <c r="E943" s="57">
        <v>47.625</v>
      </c>
      <c r="F943" s="57">
        <v>50.551000000000002</v>
      </c>
      <c r="G943" s="57">
        <v>48.747999999999998</v>
      </c>
      <c r="H943" s="57">
        <v>48.911999999999999</v>
      </c>
      <c r="I943" s="57">
        <v>48.853999999999999</v>
      </c>
      <c r="J943" s="57">
        <v>48.292999999999999</v>
      </c>
      <c r="K943" s="57">
        <v>48.901000000000003</v>
      </c>
      <c r="L943" s="57">
        <v>53.94</v>
      </c>
      <c r="M943" s="57">
        <v>53.527999999999999</v>
      </c>
      <c r="N943" s="57"/>
      <c r="O943" s="57"/>
      <c r="P943" s="57"/>
      <c r="Q943" s="57"/>
      <c r="R943" s="57"/>
      <c r="S943" s="57"/>
      <c r="T943" s="57"/>
    </row>
    <row r="944" spans="1:20">
      <c r="A944" s="55" t="s">
        <v>433</v>
      </c>
      <c r="B944" s="55" t="s">
        <v>335</v>
      </c>
      <c r="C944" s="57">
        <v>63.552</v>
      </c>
      <c r="D944" s="57">
        <v>66.015000000000001</v>
      </c>
      <c r="E944" s="57">
        <v>68.569999999999993</v>
      </c>
      <c r="F944" s="57">
        <v>70.561999999999998</v>
      </c>
      <c r="G944" s="57">
        <v>71.584999999999994</v>
      </c>
      <c r="H944" s="57">
        <v>72.912000000000006</v>
      </c>
      <c r="I944" s="57">
        <v>74.861999999999995</v>
      </c>
      <c r="J944" s="57">
        <v>76.573999999999998</v>
      </c>
      <c r="K944" s="57">
        <v>78.879000000000005</v>
      </c>
      <c r="L944" s="57">
        <v>80.015000000000001</v>
      </c>
      <c r="M944" s="57">
        <v>80.855999999999995</v>
      </c>
      <c r="N944" s="57"/>
      <c r="O944" s="57"/>
      <c r="P944" s="57"/>
      <c r="Q944" s="57"/>
      <c r="R944" s="57"/>
      <c r="S944" s="57"/>
      <c r="T944" s="57"/>
    </row>
    <row r="945" spans="1:20">
      <c r="A945" s="55" t="s">
        <v>433</v>
      </c>
      <c r="B945" s="55" t="s">
        <v>336</v>
      </c>
      <c r="C945" s="57">
        <v>72.075999999999993</v>
      </c>
      <c r="D945" s="57">
        <v>75.459999999999994</v>
      </c>
      <c r="E945" s="57">
        <v>78.495999999999995</v>
      </c>
      <c r="F945" s="57">
        <v>80.114999999999995</v>
      </c>
      <c r="G945" s="57">
        <v>79.513000000000005</v>
      </c>
      <c r="H945" s="57">
        <v>79.662999999999997</v>
      </c>
      <c r="I945" s="57">
        <v>80.513000000000005</v>
      </c>
      <c r="J945" s="57">
        <v>81.905000000000001</v>
      </c>
      <c r="K945" s="57">
        <v>84.870999999999995</v>
      </c>
      <c r="L945" s="57">
        <v>84.978999999999999</v>
      </c>
      <c r="M945" s="57">
        <v>83.914000000000001</v>
      </c>
      <c r="N945" s="57"/>
      <c r="O945" s="57"/>
      <c r="P945" s="57"/>
      <c r="Q945" s="57"/>
      <c r="R945" s="57"/>
      <c r="S945" s="57"/>
      <c r="T945" s="57"/>
    </row>
    <row r="946" spans="1:20">
      <c r="A946" s="55" t="s">
        <v>433</v>
      </c>
      <c r="B946" s="55" t="s">
        <v>337</v>
      </c>
      <c r="C946" s="57">
        <v>85.073999999999998</v>
      </c>
      <c r="D946" s="57">
        <v>89.656999999999996</v>
      </c>
      <c r="E946" s="57">
        <v>92.304000000000002</v>
      </c>
      <c r="F946" s="57">
        <v>92.944999999999993</v>
      </c>
      <c r="G946" s="57">
        <v>92.873999999999995</v>
      </c>
      <c r="H946" s="57">
        <v>92.841999999999999</v>
      </c>
      <c r="I946" s="57">
        <v>93.706999999999994</v>
      </c>
      <c r="J946" s="57">
        <v>95.540999999999997</v>
      </c>
      <c r="K946" s="57">
        <v>97.9</v>
      </c>
      <c r="L946" s="57">
        <v>95.356999999999999</v>
      </c>
      <c r="M946" s="57">
        <v>93.947000000000003</v>
      </c>
      <c r="N946" s="57"/>
      <c r="O946" s="57"/>
      <c r="P946" s="57"/>
      <c r="Q946" s="57"/>
      <c r="R946" s="57"/>
      <c r="S946" s="57"/>
      <c r="T946" s="57"/>
    </row>
    <row r="947" spans="1:20">
      <c r="A947" s="55" t="s">
        <v>433</v>
      </c>
      <c r="B947" s="55" t="s">
        <v>338</v>
      </c>
      <c r="C947" s="57">
        <v>63.027000000000001</v>
      </c>
      <c r="D947" s="57">
        <v>66.525000000000006</v>
      </c>
      <c r="E947" s="57">
        <v>70.257999999999996</v>
      </c>
      <c r="F947" s="57">
        <v>72.427999999999997</v>
      </c>
      <c r="G947" s="57">
        <v>73.263999999999996</v>
      </c>
      <c r="H947" s="57">
        <v>77.912999999999997</v>
      </c>
      <c r="I947" s="57">
        <v>86.971999999999994</v>
      </c>
      <c r="J947" s="57">
        <v>89.483000000000004</v>
      </c>
      <c r="K947" s="57">
        <v>90.179000000000002</v>
      </c>
      <c r="L947" s="57">
        <v>89.816000000000003</v>
      </c>
      <c r="M947" s="57">
        <v>91.43</v>
      </c>
      <c r="N947" s="57"/>
      <c r="O947" s="57"/>
      <c r="P947" s="57"/>
      <c r="Q947" s="57"/>
      <c r="R947" s="57"/>
      <c r="S947" s="57"/>
      <c r="T947" s="57"/>
    </row>
    <row r="948" spans="1:20">
      <c r="A948" s="55" t="s">
        <v>433</v>
      </c>
      <c r="B948" s="55" t="s">
        <v>339</v>
      </c>
      <c r="C948" s="57">
        <v>67.843000000000004</v>
      </c>
      <c r="D948" s="57">
        <v>69.932000000000002</v>
      </c>
      <c r="E948" s="57">
        <v>72.084999999999994</v>
      </c>
      <c r="F948" s="57">
        <v>73.777000000000001</v>
      </c>
      <c r="G948" s="57">
        <v>74.463999999999999</v>
      </c>
      <c r="H948" s="57">
        <v>74.989000000000004</v>
      </c>
      <c r="I948" s="57">
        <v>76.245000000000005</v>
      </c>
      <c r="J948" s="57">
        <v>77.891000000000005</v>
      </c>
      <c r="K948" s="57">
        <v>80.471999999999994</v>
      </c>
      <c r="L948" s="57">
        <v>81.111999999999995</v>
      </c>
      <c r="M948" s="57">
        <v>81.84</v>
      </c>
      <c r="N948" s="57"/>
      <c r="O948" s="57"/>
      <c r="P948" s="57"/>
      <c r="Q948" s="57"/>
      <c r="R948" s="57"/>
      <c r="S948" s="57"/>
      <c r="T948" s="57"/>
    </row>
    <row r="949" spans="1:20">
      <c r="A949" s="55" t="s">
        <v>433</v>
      </c>
      <c r="B949" s="55" t="s">
        <v>340</v>
      </c>
      <c r="C949" s="57">
        <v>65.631</v>
      </c>
      <c r="D949" s="57">
        <v>73.076999999999998</v>
      </c>
      <c r="E949" s="57">
        <v>76.108999999999995</v>
      </c>
      <c r="F949" s="57">
        <v>74.762</v>
      </c>
      <c r="G949" s="57">
        <v>72.513000000000005</v>
      </c>
      <c r="H949" s="57">
        <v>71.855000000000004</v>
      </c>
      <c r="I949" s="57">
        <v>71.194999999999993</v>
      </c>
      <c r="J949" s="57">
        <v>74.906999999999996</v>
      </c>
      <c r="K949" s="57">
        <v>81.296000000000006</v>
      </c>
      <c r="L949" s="57">
        <v>78.906999999999996</v>
      </c>
      <c r="M949" s="57">
        <v>79.451999999999998</v>
      </c>
      <c r="N949" s="57"/>
      <c r="O949" s="57"/>
      <c r="P949" s="57"/>
      <c r="Q949" s="57"/>
      <c r="R949" s="57"/>
      <c r="S949" s="57"/>
      <c r="T949" s="57"/>
    </row>
    <row r="950" spans="1:20">
      <c r="A950" s="55" t="s">
        <v>433</v>
      </c>
      <c r="B950" s="55" t="s">
        <v>341</v>
      </c>
      <c r="C950" s="57">
        <v>68.343999999999994</v>
      </c>
      <c r="D950" s="57">
        <v>73.703000000000003</v>
      </c>
      <c r="E950" s="57">
        <v>76.379000000000005</v>
      </c>
      <c r="F950" s="57">
        <v>76.7</v>
      </c>
      <c r="G950" s="57">
        <v>76.129000000000005</v>
      </c>
      <c r="H950" s="57">
        <v>75.91</v>
      </c>
      <c r="I950" s="57">
        <v>76.344999999999999</v>
      </c>
      <c r="J950" s="57">
        <v>79.013000000000005</v>
      </c>
      <c r="K950" s="57">
        <v>83.518000000000001</v>
      </c>
      <c r="L950" s="57">
        <v>82.478999999999999</v>
      </c>
      <c r="M950" s="57">
        <v>82.906999999999996</v>
      </c>
      <c r="N950" s="57"/>
      <c r="O950" s="57"/>
      <c r="P950" s="57"/>
      <c r="Q950" s="57"/>
      <c r="R950" s="57"/>
      <c r="S950" s="57"/>
      <c r="T950" s="57"/>
    </row>
    <row r="951" spans="1:20">
      <c r="A951" s="55" t="s">
        <v>433</v>
      </c>
      <c r="B951" s="55" t="s">
        <v>342</v>
      </c>
      <c r="C951" s="57">
        <v>73.206000000000003</v>
      </c>
      <c r="D951" s="57">
        <v>77.043000000000006</v>
      </c>
      <c r="E951" s="57">
        <v>79.715999999999994</v>
      </c>
      <c r="F951" s="57">
        <v>81.378</v>
      </c>
      <c r="G951" s="57">
        <v>82.21</v>
      </c>
      <c r="H951" s="57">
        <v>82.613</v>
      </c>
      <c r="I951" s="57">
        <v>83.567999999999998</v>
      </c>
      <c r="J951" s="57">
        <v>85.501000000000005</v>
      </c>
      <c r="K951" s="57">
        <v>88.673000000000002</v>
      </c>
      <c r="L951" s="57">
        <v>88.183999999999997</v>
      </c>
      <c r="M951" s="57">
        <v>87.995000000000005</v>
      </c>
      <c r="N951" s="57"/>
      <c r="O951" s="57"/>
      <c r="P951" s="57"/>
      <c r="Q951" s="57"/>
      <c r="R951" s="57"/>
      <c r="S951" s="57"/>
      <c r="T951" s="57"/>
    </row>
    <row r="952" spans="1:20">
      <c r="A952" s="55" t="s">
        <v>433</v>
      </c>
      <c r="B952" s="55" t="s">
        <v>343</v>
      </c>
      <c r="C952" s="57">
        <v>163.643</v>
      </c>
      <c r="D952" s="57">
        <v>168.386</v>
      </c>
      <c r="E952" s="57">
        <v>168.566</v>
      </c>
      <c r="F952" s="57">
        <v>163.875</v>
      </c>
      <c r="G952" s="57">
        <v>160.15600000000001</v>
      </c>
      <c r="H952" s="57">
        <v>154.52099999999999</v>
      </c>
      <c r="I952" s="57">
        <v>151.619</v>
      </c>
      <c r="J952" s="57">
        <v>149.333</v>
      </c>
      <c r="K952" s="57">
        <v>143.29</v>
      </c>
      <c r="L952" s="57">
        <v>130.08699999999999</v>
      </c>
      <c r="M952" s="57">
        <v>120.694</v>
      </c>
      <c r="N952" s="57"/>
      <c r="O952" s="57"/>
      <c r="P952" s="57"/>
      <c r="Q952" s="57"/>
      <c r="R952" s="57"/>
      <c r="S952" s="57"/>
      <c r="T952" s="57"/>
    </row>
    <row r="953" spans="1:20">
      <c r="A953" s="55" t="s">
        <v>433</v>
      </c>
      <c r="B953" s="55" t="s">
        <v>344</v>
      </c>
      <c r="C953" s="57">
        <v>73.995999999999995</v>
      </c>
      <c r="D953" s="57">
        <v>78.802999999999997</v>
      </c>
      <c r="E953" s="57">
        <v>81.554000000000002</v>
      </c>
      <c r="F953" s="57">
        <v>82.650999999999996</v>
      </c>
      <c r="G953" s="57">
        <v>82.772999999999996</v>
      </c>
      <c r="H953" s="57">
        <v>82.941999999999993</v>
      </c>
      <c r="I953" s="57">
        <v>83.603999999999999</v>
      </c>
      <c r="J953" s="57">
        <v>86.106999999999999</v>
      </c>
      <c r="K953" s="57">
        <v>90.513000000000005</v>
      </c>
      <c r="L953" s="57">
        <v>88.587999999999994</v>
      </c>
      <c r="M953" s="57">
        <v>87.977000000000004</v>
      </c>
      <c r="N953" s="57"/>
      <c r="O953" s="57"/>
      <c r="P953" s="57"/>
      <c r="Q953" s="57"/>
      <c r="R953" s="57"/>
      <c r="S953" s="57"/>
      <c r="T953" s="57"/>
    </row>
    <row r="954" spans="1:20">
      <c r="A954" s="55" t="s">
        <v>433</v>
      </c>
      <c r="B954" s="55" t="s">
        <v>345</v>
      </c>
      <c r="C954" s="57">
        <v>81.335999999999999</v>
      </c>
      <c r="D954" s="57">
        <v>84.792000000000002</v>
      </c>
      <c r="E954" s="57">
        <v>87.385000000000005</v>
      </c>
      <c r="F954" s="57">
        <v>89.18</v>
      </c>
      <c r="G954" s="57">
        <v>90.213999999999999</v>
      </c>
      <c r="H954" s="57">
        <v>90.697999999999993</v>
      </c>
      <c r="I954" s="57">
        <v>91.647999999999996</v>
      </c>
      <c r="J954" s="57">
        <v>93.397999999999996</v>
      </c>
      <c r="K954" s="57">
        <v>95.981999999999999</v>
      </c>
      <c r="L954" s="57">
        <v>95.576999999999998</v>
      </c>
      <c r="M954" s="57">
        <v>95.055000000000007</v>
      </c>
      <c r="N954" s="57"/>
      <c r="O954" s="57"/>
      <c r="P954" s="57"/>
      <c r="Q954" s="57"/>
      <c r="R954" s="57"/>
      <c r="S954" s="57"/>
      <c r="T954" s="57"/>
    </row>
    <row r="955" spans="1:20">
      <c r="A955" s="55" t="s">
        <v>433</v>
      </c>
      <c r="B955" s="55" t="s">
        <v>346</v>
      </c>
      <c r="C955" s="57">
        <v>74.781999999999996</v>
      </c>
      <c r="D955" s="57">
        <v>77.715999999999994</v>
      </c>
      <c r="E955" s="57">
        <v>80.176000000000002</v>
      </c>
      <c r="F955" s="57">
        <v>82.147999999999996</v>
      </c>
      <c r="G955" s="57">
        <v>83.912000000000006</v>
      </c>
      <c r="H955" s="57">
        <v>85.388000000000005</v>
      </c>
      <c r="I955" s="57">
        <v>86.778000000000006</v>
      </c>
      <c r="J955" s="57">
        <v>88.613</v>
      </c>
      <c r="K955" s="57">
        <v>90.891999999999996</v>
      </c>
      <c r="L955" s="57">
        <v>90.578000000000003</v>
      </c>
      <c r="M955" s="57">
        <v>90.331999999999994</v>
      </c>
      <c r="N955" s="57"/>
      <c r="O955" s="57"/>
      <c r="P955" s="57"/>
      <c r="Q955" s="57"/>
      <c r="R955" s="57"/>
      <c r="S955" s="57"/>
      <c r="T955" s="57"/>
    </row>
    <row r="956" spans="1:20">
      <c r="A956" s="55" t="s">
        <v>433</v>
      </c>
      <c r="B956" s="55" t="s">
        <v>347</v>
      </c>
      <c r="C956" s="57">
        <v>71.138999999999996</v>
      </c>
      <c r="D956" s="57">
        <v>74.441000000000003</v>
      </c>
      <c r="E956" s="57">
        <v>77.162000000000006</v>
      </c>
      <c r="F956" s="57">
        <v>78.622</v>
      </c>
      <c r="G956" s="57">
        <v>79.537999999999997</v>
      </c>
      <c r="H956" s="57">
        <v>81.010000000000005</v>
      </c>
      <c r="I956" s="57">
        <v>83.819000000000003</v>
      </c>
      <c r="J956" s="57">
        <v>85.763000000000005</v>
      </c>
      <c r="K956" s="57">
        <v>88.314999999999998</v>
      </c>
      <c r="L956" s="57">
        <v>88.363</v>
      </c>
      <c r="M956" s="57">
        <v>88.957999999999998</v>
      </c>
      <c r="N956" s="57"/>
      <c r="O956" s="57"/>
      <c r="P956" s="57"/>
      <c r="Q956" s="57"/>
      <c r="R956" s="57"/>
      <c r="S956" s="57"/>
      <c r="T956" s="57"/>
    </row>
    <row r="957" spans="1:20">
      <c r="A957" s="55" t="s">
        <v>433</v>
      </c>
      <c r="B957" s="55" t="s">
        <v>348</v>
      </c>
      <c r="C957" s="57">
        <v>72.350999999999999</v>
      </c>
      <c r="D957" s="57">
        <v>76.748000000000005</v>
      </c>
      <c r="E957" s="57">
        <v>79.287999999999997</v>
      </c>
      <c r="F957" s="57">
        <v>80.707999999999998</v>
      </c>
      <c r="G957" s="57">
        <v>81.242999999999995</v>
      </c>
      <c r="H957" s="57">
        <v>81.817999999999998</v>
      </c>
      <c r="I957" s="57">
        <v>82.968000000000004</v>
      </c>
      <c r="J957" s="57">
        <v>85.120999999999995</v>
      </c>
      <c r="K957" s="57">
        <v>89.100999999999999</v>
      </c>
      <c r="L957" s="57">
        <v>88.251999999999995</v>
      </c>
      <c r="M957" s="57">
        <v>88.07</v>
      </c>
      <c r="N957" s="57"/>
      <c r="O957" s="57"/>
      <c r="P957" s="57"/>
      <c r="Q957" s="57"/>
      <c r="R957" s="57"/>
      <c r="S957" s="57"/>
      <c r="T957" s="57"/>
    </row>
    <row r="958" spans="1:20">
      <c r="A958" s="55" t="s">
        <v>433</v>
      </c>
      <c r="B958" s="55" t="s">
        <v>349</v>
      </c>
      <c r="C958" s="57">
        <v>59.798000000000002</v>
      </c>
      <c r="D958" s="57">
        <v>62.186999999999998</v>
      </c>
      <c r="E958" s="57">
        <v>65.367999999999995</v>
      </c>
      <c r="F958" s="57">
        <v>67.600999999999999</v>
      </c>
      <c r="G958" s="57">
        <v>66.665999999999997</v>
      </c>
      <c r="H958" s="57">
        <v>66.933000000000007</v>
      </c>
      <c r="I958" s="57">
        <v>67.739999999999995</v>
      </c>
      <c r="J958" s="57">
        <v>68.747</v>
      </c>
      <c r="K958" s="57">
        <v>72.141000000000005</v>
      </c>
      <c r="L958" s="57">
        <v>74.555000000000007</v>
      </c>
      <c r="M958" s="57">
        <v>73.819000000000003</v>
      </c>
      <c r="N958" s="57"/>
      <c r="O958" s="57"/>
      <c r="P958" s="57"/>
      <c r="Q958" s="57"/>
      <c r="R958" s="57"/>
      <c r="S958" s="57"/>
      <c r="T958" s="57"/>
    </row>
    <row r="959" spans="1:20">
      <c r="A959" s="55" t="s">
        <v>433</v>
      </c>
      <c r="B959" s="55" t="s">
        <v>350</v>
      </c>
      <c r="C959" s="57">
        <v>70.245000000000005</v>
      </c>
      <c r="D959" s="57">
        <v>74.209000000000003</v>
      </c>
      <c r="E959" s="57">
        <v>77.745999999999995</v>
      </c>
      <c r="F959" s="57">
        <v>79.180000000000007</v>
      </c>
      <c r="G959" s="57">
        <v>78.462000000000003</v>
      </c>
      <c r="H959" s="57">
        <v>79.292000000000002</v>
      </c>
      <c r="I959" s="57">
        <v>80.427000000000007</v>
      </c>
      <c r="J959" s="57">
        <v>82.093000000000004</v>
      </c>
      <c r="K959" s="57">
        <v>84.251000000000005</v>
      </c>
      <c r="L959" s="57">
        <v>88.225999999999999</v>
      </c>
      <c r="M959" s="57">
        <v>87.024000000000001</v>
      </c>
      <c r="N959" s="57"/>
      <c r="O959" s="57"/>
      <c r="P959" s="57"/>
      <c r="Q959" s="57"/>
      <c r="R959" s="57"/>
      <c r="S959" s="57"/>
      <c r="T959" s="57"/>
    </row>
    <row r="960" spans="1:20">
      <c r="A960" s="55" t="s">
        <v>433</v>
      </c>
      <c r="B960" s="55" t="s">
        <v>351</v>
      </c>
      <c r="C960" s="57">
        <v>80.600999999999999</v>
      </c>
      <c r="D960" s="57">
        <v>86.350999999999999</v>
      </c>
      <c r="E960" s="57">
        <v>88.721999999999994</v>
      </c>
      <c r="F960" s="57">
        <v>89.588999999999999</v>
      </c>
      <c r="G960" s="57">
        <v>89.950999999999993</v>
      </c>
      <c r="H960" s="57">
        <v>90.266999999999996</v>
      </c>
      <c r="I960" s="57">
        <v>90.96</v>
      </c>
      <c r="J960" s="57">
        <v>92.474999999999994</v>
      </c>
      <c r="K960" s="57">
        <v>97.396000000000001</v>
      </c>
      <c r="L960" s="57">
        <v>97.372</v>
      </c>
      <c r="M960" s="57">
        <v>97.311999999999998</v>
      </c>
      <c r="N960" s="57"/>
      <c r="O960" s="57"/>
      <c r="P960" s="57"/>
      <c r="Q960" s="57"/>
      <c r="R960" s="57"/>
      <c r="S960" s="57"/>
      <c r="T960" s="57"/>
    </row>
    <row r="961" spans="1:20">
      <c r="A961" s="55" t="s">
        <v>433</v>
      </c>
      <c r="B961" s="55" t="s">
        <v>352</v>
      </c>
      <c r="C961" s="57">
        <v>76.974999999999994</v>
      </c>
      <c r="D961" s="57">
        <v>80.504000000000005</v>
      </c>
      <c r="E961" s="57">
        <v>82.718999999999994</v>
      </c>
      <c r="F961" s="57">
        <v>85.102000000000004</v>
      </c>
      <c r="G961" s="57">
        <v>86.287999999999997</v>
      </c>
      <c r="H961" s="57">
        <v>87.483000000000004</v>
      </c>
      <c r="I961" s="57">
        <v>88.18</v>
      </c>
      <c r="J961" s="57">
        <v>88.888000000000005</v>
      </c>
      <c r="K961" s="57">
        <v>91.504000000000005</v>
      </c>
      <c r="L961" s="57">
        <v>92.099000000000004</v>
      </c>
      <c r="M961" s="57">
        <v>92.397000000000006</v>
      </c>
      <c r="N961" s="57"/>
      <c r="O961" s="57"/>
      <c r="P961" s="57"/>
      <c r="Q961" s="57"/>
      <c r="R961" s="57"/>
      <c r="S961" s="57"/>
      <c r="T961" s="57"/>
    </row>
    <row r="962" spans="1:20">
      <c r="A962" s="55" t="s">
        <v>433</v>
      </c>
      <c r="B962" s="55" t="s">
        <v>353</v>
      </c>
      <c r="C962" s="57">
        <v>68.293999999999997</v>
      </c>
      <c r="D962" s="57">
        <v>73.265000000000001</v>
      </c>
      <c r="E962" s="57">
        <v>76.626999999999995</v>
      </c>
      <c r="F962" s="57">
        <v>77.503</v>
      </c>
      <c r="G962" s="57">
        <v>76.813000000000002</v>
      </c>
      <c r="H962" s="57">
        <v>76.766000000000005</v>
      </c>
      <c r="I962" s="57">
        <v>78.341999999999999</v>
      </c>
      <c r="J962" s="57">
        <v>80.167000000000002</v>
      </c>
      <c r="K962" s="57">
        <v>88.986999999999995</v>
      </c>
      <c r="L962" s="57">
        <v>86.441000000000003</v>
      </c>
      <c r="M962" s="57">
        <v>85.396000000000001</v>
      </c>
      <c r="N962" s="57"/>
      <c r="O962" s="57"/>
      <c r="P962" s="57"/>
      <c r="Q962" s="57"/>
      <c r="R962" s="57"/>
      <c r="S962" s="57"/>
      <c r="T962" s="57"/>
    </row>
    <row r="963" spans="1:20">
      <c r="A963" s="55" t="s">
        <v>433</v>
      </c>
      <c r="B963" s="55" t="s">
        <v>354</v>
      </c>
      <c r="C963" s="57">
        <v>74.269000000000005</v>
      </c>
      <c r="D963" s="57">
        <v>79.391000000000005</v>
      </c>
      <c r="E963" s="57">
        <v>82.988</v>
      </c>
      <c r="F963" s="57">
        <v>84.251000000000005</v>
      </c>
      <c r="G963" s="57">
        <v>83.81</v>
      </c>
      <c r="H963" s="57">
        <v>83.334999999999994</v>
      </c>
      <c r="I963" s="57">
        <v>83.972999999999999</v>
      </c>
      <c r="J963" s="57">
        <v>85.69</v>
      </c>
      <c r="K963" s="57">
        <v>95.870999999999995</v>
      </c>
      <c r="L963" s="57">
        <v>93.31</v>
      </c>
      <c r="M963" s="57">
        <v>91.763999999999996</v>
      </c>
      <c r="N963" s="57"/>
      <c r="O963" s="57"/>
      <c r="P963" s="57"/>
      <c r="Q963" s="57"/>
      <c r="R963" s="57"/>
      <c r="S963" s="57"/>
      <c r="T963" s="57"/>
    </row>
    <row r="964" spans="1:20">
      <c r="A964" s="55" t="s">
        <v>433</v>
      </c>
      <c r="B964" s="55" t="s">
        <v>355</v>
      </c>
      <c r="C964" s="57">
        <v>32.676000000000002</v>
      </c>
      <c r="D964" s="57">
        <v>30.029</v>
      </c>
      <c r="E964" s="57">
        <v>33.473999999999997</v>
      </c>
      <c r="F964" s="57">
        <v>38.197000000000003</v>
      </c>
      <c r="G964" s="57">
        <v>34.734000000000002</v>
      </c>
      <c r="H964" s="57">
        <v>34.347000000000001</v>
      </c>
      <c r="I964" s="57">
        <v>34.104999999999997</v>
      </c>
      <c r="J964" s="57">
        <v>33.014000000000003</v>
      </c>
      <c r="K964" s="57">
        <v>33.932000000000002</v>
      </c>
      <c r="L964" s="57">
        <v>40.311</v>
      </c>
      <c r="M964" s="57">
        <v>38.935000000000002</v>
      </c>
      <c r="N964" s="57"/>
      <c r="O964" s="57"/>
      <c r="P964" s="57"/>
      <c r="Q964" s="57"/>
      <c r="R964" s="57"/>
      <c r="S964" s="57"/>
      <c r="T964" s="57"/>
    </row>
    <row r="965" spans="1:20">
      <c r="A965" s="55" t="s">
        <v>433</v>
      </c>
      <c r="B965" s="55" t="s">
        <v>356</v>
      </c>
      <c r="C965" s="57">
        <v>56.47</v>
      </c>
      <c r="D965" s="57">
        <v>59.478000000000002</v>
      </c>
      <c r="E965" s="57">
        <v>62.067</v>
      </c>
      <c r="F965" s="57">
        <v>63.618000000000002</v>
      </c>
      <c r="G965" s="57">
        <v>64.412999999999997</v>
      </c>
      <c r="H965" s="57">
        <v>64.849000000000004</v>
      </c>
      <c r="I965" s="57">
        <v>65.992999999999995</v>
      </c>
      <c r="J965" s="57">
        <v>67.549000000000007</v>
      </c>
      <c r="K965" s="57">
        <v>71.028999999999996</v>
      </c>
      <c r="L965" s="57">
        <v>71.846999999999994</v>
      </c>
      <c r="M965" s="57">
        <v>72.028999999999996</v>
      </c>
      <c r="N965" s="57"/>
      <c r="O965" s="57"/>
      <c r="P965" s="57"/>
      <c r="Q965" s="57"/>
      <c r="R965" s="57"/>
      <c r="S965" s="57"/>
      <c r="T965" s="57"/>
    </row>
    <row r="966" spans="1:20">
      <c r="A966" s="55" t="s">
        <v>433</v>
      </c>
      <c r="B966" s="55" t="s">
        <v>357</v>
      </c>
      <c r="C966" s="57">
        <v>67.17</v>
      </c>
      <c r="D966" s="57">
        <v>71.994</v>
      </c>
      <c r="E966" s="57">
        <v>74.215999999999994</v>
      </c>
      <c r="F966" s="57">
        <v>74.638999999999996</v>
      </c>
      <c r="G966" s="57">
        <v>74.828000000000003</v>
      </c>
      <c r="H966" s="57">
        <v>74.715999999999994</v>
      </c>
      <c r="I966" s="57">
        <v>75.856999999999999</v>
      </c>
      <c r="J966" s="57">
        <v>77.587000000000003</v>
      </c>
      <c r="K966" s="57">
        <v>82.85</v>
      </c>
      <c r="L966" s="57">
        <v>81.581999999999994</v>
      </c>
      <c r="M966" s="57">
        <v>81.69</v>
      </c>
      <c r="N966" s="57"/>
      <c r="O966" s="57"/>
      <c r="P966" s="57"/>
      <c r="Q966" s="57"/>
      <c r="R966" s="57"/>
      <c r="S966" s="57"/>
      <c r="T966" s="57"/>
    </row>
    <row r="967" spans="1:20">
      <c r="A967" s="55" t="s">
        <v>433</v>
      </c>
      <c r="B967" s="55" t="s">
        <v>358</v>
      </c>
      <c r="C967" s="57">
        <v>69.347999999999999</v>
      </c>
      <c r="D967" s="57">
        <v>71.805999999999997</v>
      </c>
      <c r="E967" s="57">
        <v>74.367999999999995</v>
      </c>
      <c r="F967" s="57">
        <v>77.073999999999998</v>
      </c>
      <c r="G967" s="57">
        <v>78.893000000000001</v>
      </c>
      <c r="H967" s="57">
        <v>80.394000000000005</v>
      </c>
      <c r="I967" s="57">
        <v>82.004999999999995</v>
      </c>
      <c r="J967" s="57">
        <v>83.698999999999998</v>
      </c>
      <c r="K967" s="57">
        <v>86.274000000000001</v>
      </c>
      <c r="L967" s="57">
        <v>86.944999999999993</v>
      </c>
      <c r="M967" s="57">
        <v>87.58</v>
      </c>
      <c r="N967" s="57"/>
      <c r="O967" s="57"/>
      <c r="P967" s="57"/>
      <c r="Q967" s="57"/>
      <c r="R967" s="57"/>
      <c r="S967" s="57"/>
      <c r="T967" s="57"/>
    </row>
    <row r="968" spans="1:20">
      <c r="A968" s="55" t="s">
        <v>433</v>
      </c>
      <c r="B968" s="55" t="s">
        <v>359</v>
      </c>
      <c r="C968" s="57">
        <v>65.242999999999995</v>
      </c>
      <c r="D968" s="57">
        <v>67.584999999999994</v>
      </c>
      <c r="E968" s="57">
        <v>70.212000000000003</v>
      </c>
      <c r="F968" s="57">
        <v>72.888999999999996</v>
      </c>
      <c r="G968" s="57">
        <v>74.972999999999999</v>
      </c>
      <c r="H968" s="57">
        <v>76.784000000000006</v>
      </c>
      <c r="I968" s="57">
        <v>78.563000000000002</v>
      </c>
      <c r="J968" s="57">
        <v>80.445999999999998</v>
      </c>
      <c r="K968" s="57">
        <v>83.347999999999999</v>
      </c>
      <c r="L968" s="57">
        <v>84.765000000000001</v>
      </c>
      <c r="M968" s="57">
        <v>86.212999999999994</v>
      </c>
      <c r="N968" s="57"/>
      <c r="O968" s="57"/>
      <c r="P968" s="57"/>
      <c r="Q968" s="57"/>
      <c r="R968" s="57"/>
      <c r="S968" s="57"/>
      <c r="T968" s="57"/>
    </row>
    <row r="969" spans="1:20">
      <c r="A969" s="55" t="s">
        <v>433</v>
      </c>
      <c r="B969" s="55" t="s">
        <v>360</v>
      </c>
      <c r="C969" s="57">
        <v>57.917000000000002</v>
      </c>
      <c r="D969" s="57">
        <v>58.668999999999997</v>
      </c>
      <c r="E969" s="57">
        <v>61.304000000000002</v>
      </c>
      <c r="F969" s="57">
        <v>65.221999999999994</v>
      </c>
      <c r="G969" s="57">
        <v>65.427000000000007</v>
      </c>
      <c r="H969" s="57">
        <v>66.218999999999994</v>
      </c>
      <c r="I969" s="57">
        <v>66.863</v>
      </c>
      <c r="J969" s="57">
        <v>67.510999999999996</v>
      </c>
      <c r="K969" s="57">
        <v>69.271000000000001</v>
      </c>
      <c r="L969" s="57">
        <v>71.311000000000007</v>
      </c>
      <c r="M969" s="57">
        <v>72.129000000000005</v>
      </c>
      <c r="N969" s="57"/>
      <c r="O969" s="57"/>
      <c r="P969" s="57"/>
      <c r="Q969" s="57"/>
      <c r="R969" s="57"/>
      <c r="S969" s="57"/>
      <c r="T969" s="57"/>
    </row>
    <row r="970" spans="1:20">
      <c r="A970" s="55" t="s">
        <v>433</v>
      </c>
      <c r="B970" s="55" t="s">
        <v>361</v>
      </c>
      <c r="C970" s="57">
        <v>54.362000000000002</v>
      </c>
      <c r="D970" s="57">
        <v>55.286999999999999</v>
      </c>
      <c r="E970" s="57">
        <v>57.795000000000002</v>
      </c>
      <c r="F970" s="57">
        <v>62.353999999999999</v>
      </c>
      <c r="G970" s="57">
        <v>62.798000000000002</v>
      </c>
      <c r="H970" s="57">
        <v>63.517000000000003</v>
      </c>
      <c r="I970" s="57">
        <v>63.607999999999997</v>
      </c>
      <c r="J970" s="57">
        <v>63.905999999999999</v>
      </c>
      <c r="K970" s="57">
        <v>65.168000000000006</v>
      </c>
      <c r="L970" s="57">
        <v>67.423000000000002</v>
      </c>
      <c r="M970" s="57">
        <v>68.259</v>
      </c>
      <c r="N970" s="57"/>
      <c r="O970" s="57"/>
      <c r="P970" s="57"/>
      <c r="Q970" s="57"/>
      <c r="R970" s="57"/>
      <c r="S970" s="57"/>
      <c r="T970" s="57"/>
    </row>
    <row r="971" spans="1:20">
      <c r="A971" s="55" t="s">
        <v>433</v>
      </c>
      <c r="B971" s="55" t="s">
        <v>362</v>
      </c>
      <c r="C971" s="57">
        <v>64.064999999999998</v>
      </c>
      <c r="D971" s="57">
        <v>65.141000000000005</v>
      </c>
      <c r="E971" s="57">
        <v>67.75</v>
      </c>
      <c r="F971" s="57">
        <v>71.301000000000002</v>
      </c>
      <c r="G971" s="57">
        <v>71.299000000000007</v>
      </c>
      <c r="H971" s="57">
        <v>72.296999999999997</v>
      </c>
      <c r="I971" s="57">
        <v>73.295000000000002</v>
      </c>
      <c r="J971" s="57">
        <v>74.203999999999994</v>
      </c>
      <c r="K971" s="57">
        <v>76.153000000000006</v>
      </c>
      <c r="L971" s="57">
        <v>77.695999999999998</v>
      </c>
      <c r="M971" s="57">
        <v>78.394000000000005</v>
      </c>
      <c r="N971" s="57"/>
      <c r="O971" s="57"/>
      <c r="P971" s="57"/>
      <c r="Q971" s="57"/>
      <c r="R971" s="57"/>
      <c r="S971" s="57"/>
      <c r="T971" s="57"/>
    </row>
    <row r="972" spans="1:20">
      <c r="A972" s="55" t="s">
        <v>433</v>
      </c>
      <c r="B972" s="55" t="s">
        <v>363</v>
      </c>
      <c r="C972" s="57">
        <v>50.927999999999997</v>
      </c>
      <c r="D972" s="57">
        <v>52.5</v>
      </c>
      <c r="E972" s="57">
        <v>54.119</v>
      </c>
      <c r="F972" s="57">
        <v>56.697000000000003</v>
      </c>
      <c r="G972" s="57">
        <v>58.491999999999997</v>
      </c>
      <c r="H972" s="57">
        <v>60.018999999999998</v>
      </c>
      <c r="I972" s="57">
        <v>60.755000000000003</v>
      </c>
      <c r="J972" s="57">
        <v>61.796999999999997</v>
      </c>
      <c r="K972" s="57">
        <v>63.64</v>
      </c>
      <c r="L972" s="57">
        <v>65.194000000000003</v>
      </c>
      <c r="M972" s="57">
        <v>66.253</v>
      </c>
      <c r="N972" s="57"/>
      <c r="O972" s="57"/>
      <c r="P972" s="57"/>
      <c r="Q972" s="57"/>
      <c r="R972" s="57"/>
      <c r="S972" s="57"/>
      <c r="T972" s="57"/>
    </row>
    <row r="973" spans="1:20">
      <c r="A973" s="55" t="s">
        <v>433</v>
      </c>
      <c r="B973" s="55" t="s">
        <v>364</v>
      </c>
      <c r="C973" s="57">
        <v>59.207000000000001</v>
      </c>
      <c r="D973" s="57">
        <v>59.936</v>
      </c>
      <c r="E973" s="57">
        <v>62.624000000000002</v>
      </c>
      <c r="F973" s="57">
        <v>66.17</v>
      </c>
      <c r="G973" s="57">
        <v>66.167000000000002</v>
      </c>
      <c r="H973" s="57">
        <v>66.772000000000006</v>
      </c>
      <c r="I973" s="57">
        <v>67.741</v>
      </c>
      <c r="J973" s="57">
        <v>68.67</v>
      </c>
      <c r="K973" s="57">
        <v>70.584000000000003</v>
      </c>
      <c r="L973" s="57">
        <v>72.018000000000001</v>
      </c>
      <c r="M973" s="57">
        <v>72.817999999999998</v>
      </c>
      <c r="N973" s="57"/>
      <c r="O973" s="57"/>
      <c r="P973" s="57"/>
      <c r="Q973" s="57"/>
      <c r="R973" s="57"/>
      <c r="S973" s="57"/>
      <c r="T973" s="57"/>
    </row>
    <row r="974" spans="1:20">
      <c r="A974" s="55" t="s">
        <v>433</v>
      </c>
      <c r="B974" s="55" t="s">
        <v>365</v>
      </c>
      <c r="C974" s="57">
        <v>59.258000000000003</v>
      </c>
      <c r="D974" s="57">
        <v>60.933999999999997</v>
      </c>
      <c r="E974" s="57">
        <v>63.883000000000003</v>
      </c>
      <c r="F974" s="57">
        <v>67.953000000000003</v>
      </c>
      <c r="G974" s="57">
        <v>68.2</v>
      </c>
      <c r="H974" s="57">
        <v>68.555999999999997</v>
      </c>
      <c r="I974" s="57">
        <v>69.197000000000003</v>
      </c>
      <c r="J974" s="57">
        <v>69.986999999999995</v>
      </c>
      <c r="K974" s="57">
        <v>72.227999999999994</v>
      </c>
      <c r="L974" s="57">
        <v>74.179000000000002</v>
      </c>
      <c r="M974" s="57">
        <v>74.733000000000004</v>
      </c>
      <c r="N974" s="57"/>
      <c r="O974" s="57"/>
      <c r="P974" s="57"/>
      <c r="Q974" s="57"/>
      <c r="R974" s="57"/>
      <c r="S974" s="57"/>
      <c r="T974" s="57"/>
    </row>
    <row r="975" spans="1:20">
      <c r="A975" s="55" t="s">
        <v>433</v>
      </c>
      <c r="B975" s="55" t="s">
        <v>366</v>
      </c>
      <c r="C975" s="57">
        <v>60.570999999999998</v>
      </c>
      <c r="D975" s="57">
        <v>58.161000000000001</v>
      </c>
      <c r="E975" s="57">
        <v>62.073</v>
      </c>
      <c r="F975" s="57">
        <v>67.179000000000002</v>
      </c>
      <c r="G975" s="57">
        <v>64.242999999999995</v>
      </c>
      <c r="H975" s="57">
        <v>64.703999999999994</v>
      </c>
      <c r="I975" s="57">
        <v>65.149000000000001</v>
      </c>
      <c r="J975" s="57">
        <v>64.650999999999996</v>
      </c>
      <c r="K975" s="57">
        <v>66.441000000000003</v>
      </c>
      <c r="L975" s="57">
        <v>71.879000000000005</v>
      </c>
      <c r="M975" s="57">
        <v>72.161000000000001</v>
      </c>
      <c r="N975" s="57"/>
      <c r="O975" s="57"/>
      <c r="P975" s="57"/>
      <c r="Q975" s="57"/>
      <c r="R975" s="57"/>
      <c r="S975" s="57"/>
      <c r="T975" s="57"/>
    </row>
    <row r="976" spans="1:20">
      <c r="A976" s="55" t="s">
        <v>433</v>
      </c>
      <c r="B976" s="55" t="s">
        <v>367</v>
      </c>
      <c r="C976" s="57">
        <v>55.698999999999998</v>
      </c>
      <c r="D976" s="57">
        <v>57.177</v>
      </c>
      <c r="E976" s="57">
        <v>59.417000000000002</v>
      </c>
      <c r="F976" s="57">
        <v>62.765000000000001</v>
      </c>
      <c r="G976" s="57">
        <v>63.991</v>
      </c>
      <c r="H976" s="57">
        <v>65.164000000000001</v>
      </c>
      <c r="I976" s="57">
        <v>65.858000000000004</v>
      </c>
      <c r="J976" s="57">
        <v>66.632000000000005</v>
      </c>
      <c r="K976" s="57">
        <v>68.486999999999995</v>
      </c>
      <c r="L976" s="57">
        <v>70.275000000000006</v>
      </c>
      <c r="M976" s="57">
        <v>71.334999999999994</v>
      </c>
      <c r="N976" s="57"/>
      <c r="O976" s="57"/>
      <c r="P976" s="57"/>
      <c r="Q976" s="57"/>
      <c r="R976" s="57"/>
      <c r="S976" s="57"/>
      <c r="T976" s="57"/>
    </row>
    <row r="977" spans="1:20">
      <c r="A977" s="55" t="s">
        <v>433</v>
      </c>
      <c r="B977" s="55" t="s">
        <v>368</v>
      </c>
      <c r="C977" s="57">
        <v>64.528000000000006</v>
      </c>
      <c r="D977" s="57">
        <v>65.549000000000007</v>
      </c>
      <c r="E977" s="57">
        <v>68.322999999999993</v>
      </c>
      <c r="F977" s="57">
        <v>71.715999999999994</v>
      </c>
      <c r="G977" s="57">
        <v>72.822000000000003</v>
      </c>
      <c r="H977" s="57">
        <v>74.337000000000003</v>
      </c>
      <c r="I977" s="57">
        <v>75.828999999999994</v>
      </c>
      <c r="J977" s="57">
        <v>77.314999999999998</v>
      </c>
      <c r="K977" s="57">
        <v>79.635000000000005</v>
      </c>
      <c r="L977" s="57">
        <v>81.703000000000003</v>
      </c>
      <c r="M977" s="57">
        <v>83.206000000000003</v>
      </c>
      <c r="N977" s="57"/>
      <c r="O977" s="57"/>
      <c r="P977" s="57"/>
      <c r="Q977" s="57"/>
      <c r="R977" s="57"/>
      <c r="S977" s="57"/>
      <c r="T977" s="57"/>
    </row>
    <row r="978" spans="1:20">
      <c r="A978" s="55" t="s">
        <v>433</v>
      </c>
      <c r="B978" s="55" t="s">
        <v>369</v>
      </c>
      <c r="C978" s="57">
        <v>77.72</v>
      </c>
      <c r="D978" s="57">
        <v>80.456000000000003</v>
      </c>
      <c r="E978" s="57">
        <v>82.983000000000004</v>
      </c>
      <c r="F978" s="57">
        <v>85.188999999999993</v>
      </c>
      <c r="G978" s="57">
        <v>87.033000000000001</v>
      </c>
      <c r="H978" s="57">
        <v>87.977000000000004</v>
      </c>
      <c r="I978" s="57">
        <v>89.003</v>
      </c>
      <c r="J978" s="57">
        <v>90.353999999999999</v>
      </c>
      <c r="K978" s="57">
        <v>92.882000000000005</v>
      </c>
      <c r="L978" s="57">
        <v>93.397999999999996</v>
      </c>
      <c r="M978" s="57">
        <v>94.182000000000002</v>
      </c>
      <c r="N978" s="57"/>
      <c r="O978" s="57"/>
      <c r="P978" s="57"/>
      <c r="Q978" s="57"/>
      <c r="R978" s="57"/>
      <c r="S978" s="57"/>
      <c r="T978" s="57"/>
    </row>
    <row r="979" spans="1:20">
      <c r="A979" s="55" t="s">
        <v>433</v>
      </c>
      <c r="B979" s="55" t="s">
        <v>370</v>
      </c>
      <c r="C979" s="57">
        <v>73.286000000000001</v>
      </c>
      <c r="D979" s="57">
        <v>77.048000000000002</v>
      </c>
      <c r="E979" s="57">
        <v>79.912000000000006</v>
      </c>
      <c r="F979" s="57">
        <v>81.742000000000004</v>
      </c>
      <c r="G979" s="57">
        <v>82.796999999999997</v>
      </c>
      <c r="H979" s="57">
        <v>83.18</v>
      </c>
      <c r="I979" s="57">
        <v>84.177999999999997</v>
      </c>
      <c r="J979" s="57">
        <v>85.33</v>
      </c>
      <c r="K979" s="57">
        <v>89.474000000000004</v>
      </c>
      <c r="L979" s="57">
        <v>89.433999999999997</v>
      </c>
      <c r="M979" s="57">
        <v>89.619</v>
      </c>
      <c r="N979" s="57"/>
      <c r="O979" s="57"/>
      <c r="P979" s="57"/>
      <c r="Q979" s="57"/>
      <c r="R979" s="57"/>
      <c r="S979" s="57"/>
      <c r="T979" s="57"/>
    </row>
    <row r="980" spans="1:20">
      <c r="A980" s="55" t="s">
        <v>433</v>
      </c>
      <c r="B980" s="55" t="s">
        <v>371</v>
      </c>
      <c r="C980" s="57">
        <v>60.725000000000001</v>
      </c>
      <c r="D980" s="57">
        <v>63.192</v>
      </c>
      <c r="E980" s="57">
        <v>66.388000000000005</v>
      </c>
      <c r="F980" s="57">
        <v>69.522000000000006</v>
      </c>
      <c r="G980" s="57">
        <v>72.102999999999994</v>
      </c>
      <c r="H980" s="57">
        <v>73.245000000000005</v>
      </c>
      <c r="I980" s="57">
        <v>74.593999999999994</v>
      </c>
      <c r="J980" s="57">
        <v>76.623000000000005</v>
      </c>
      <c r="K980" s="57">
        <v>79.281000000000006</v>
      </c>
      <c r="L980" s="57">
        <v>81.489999999999995</v>
      </c>
      <c r="M980" s="57">
        <v>83.213999999999999</v>
      </c>
      <c r="N980" s="57"/>
      <c r="O980" s="57"/>
      <c r="P980" s="57"/>
      <c r="Q980" s="57"/>
      <c r="R980" s="57"/>
      <c r="S980" s="57"/>
      <c r="T980" s="57"/>
    </row>
    <row r="981" spans="1:20">
      <c r="A981" s="55" t="s">
        <v>433</v>
      </c>
      <c r="B981" s="55" t="s">
        <v>372</v>
      </c>
      <c r="C981" s="57">
        <v>82.28</v>
      </c>
      <c r="D981" s="57">
        <v>84.292000000000002</v>
      </c>
      <c r="E981" s="57">
        <v>86.426000000000002</v>
      </c>
      <c r="F981" s="57">
        <v>88.722999999999999</v>
      </c>
      <c r="G981" s="57">
        <v>91.043000000000006</v>
      </c>
      <c r="H981" s="57">
        <v>92.521000000000001</v>
      </c>
      <c r="I981" s="57">
        <v>93.65</v>
      </c>
      <c r="J981" s="57">
        <v>95.144999999999996</v>
      </c>
      <c r="K981" s="57">
        <v>96.599000000000004</v>
      </c>
      <c r="L981" s="57">
        <v>97.436000000000007</v>
      </c>
      <c r="M981" s="57">
        <v>98.668000000000006</v>
      </c>
      <c r="N981" s="57"/>
      <c r="O981" s="57"/>
      <c r="P981" s="57"/>
      <c r="Q981" s="57"/>
      <c r="R981" s="57"/>
      <c r="S981" s="57"/>
      <c r="T981" s="57"/>
    </row>
    <row r="982" spans="1:20">
      <c r="A982" s="55" t="s">
        <v>433</v>
      </c>
      <c r="B982" s="55" t="s">
        <v>373</v>
      </c>
      <c r="C982" s="57">
        <v>90.116</v>
      </c>
      <c r="D982" s="57">
        <v>93.067999999999998</v>
      </c>
      <c r="E982" s="57">
        <v>95.081999999999994</v>
      </c>
      <c r="F982" s="57">
        <v>96.518000000000001</v>
      </c>
      <c r="G982" s="57">
        <v>97.394000000000005</v>
      </c>
      <c r="H982" s="57">
        <v>96.861000000000004</v>
      </c>
      <c r="I982" s="57">
        <v>96.254999999999995</v>
      </c>
      <c r="J982" s="57">
        <v>95.927000000000007</v>
      </c>
      <c r="K982" s="57">
        <v>95.994</v>
      </c>
      <c r="L982" s="57">
        <v>94.182000000000002</v>
      </c>
      <c r="M982" s="57">
        <v>93.123000000000005</v>
      </c>
      <c r="N982" s="57"/>
      <c r="O982" s="57"/>
      <c r="P982" s="57"/>
      <c r="Q982" s="57"/>
      <c r="R982" s="57"/>
      <c r="S982" s="57"/>
      <c r="T982" s="57"/>
    </row>
    <row r="983" spans="1:20">
      <c r="A983" s="55" t="s">
        <v>433</v>
      </c>
      <c r="B983" s="55" t="s">
        <v>374</v>
      </c>
      <c r="C983" s="57">
        <v>63.457999999999998</v>
      </c>
      <c r="D983" s="57">
        <v>65.81</v>
      </c>
      <c r="E983" s="57">
        <v>68.641999999999996</v>
      </c>
      <c r="F983" s="57">
        <v>71.566999999999993</v>
      </c>
      <c r="G983" s="57">
        <v>74.144000000000005</v>
      </c>
      <c r="H983" s="57">
        <v>77.066999999999993</v>
      </c>
      <c r="I983" s="57">
        <v>79.147999999999996</v>
      </c>
      <c r="J983" s="57">
        <v>80.552000000000007</v>
      </c>
      <c r="K983" s="57">
        <v>83.475999999999999</v>
      </c>
      <c r="L983" s="57">
        <v>85.795000000000002</v>
      </c>
      <c r="M983" s="57">
        <v>87.960999999999999</v>
      </c>
      <c r="N983" s="57"/>
      <c r="O983" s="57"/>
      <c r="P983" s="57"/>
      <c r="Q983" s="57"/>
      <c r="R983" s="57"/>
      <c r="S983" s="57"/>
      <c r="T983" s="57"/>
    </row>
    <row r="984" spans="1:20">
      <c r="A984" s="55" t="s">
        <v>433</v>
      </c>
      <c r="B984" s="55" t="s">
        <v>375</v>
      </c>
      <c r="C984" s="57">
        <v>66.402000000000001</v>
      </c>
      <c r="D984" s="57">
        <v>68.744</v>
      </c>
      <c r="E984" s="57">
        <v>71.897999999999996</v>
      </c>
      <c r="F984" s="57">
        <v>75.165999999999997</v>
      </c>
      <c r="G984" s="57">
        <v>77.97</v>
      </c>
      <c r="H984" s="57">
        <v>81.644000000000005</v>
      </c>
      <c r="I984" s="57">
        <v>83.912999999999997</v>
      </c>
      <c r="J984" s="57">
        <v>84.912000000000006</v>
      </c>
      <c r="K984" s="57">
        <v>88.213999999999999</v>
      </c>
      <c r="L984" s="57">
        <v>90.777000000000001</v>
      </c>
      <c r="M984" s="57">
        <v>92.915000000000006</v>
      </c>
      <c r="N984" s="57"/>
      <c r="O984" s="57"/>
      <c r="P984" s="57"/>
      <c r="Q984" s="57"/>
      <c r="R984" s="57"/>
      <c r="S984" s="57"/>
      <c r="T984" s="57"/>
    </row>
    <row r="985" spans="1:20">
      <c r="A985" s="55" t="s">
        <v>433</v>
      </c>
      <c r="B985" s="55" t="s">
        <v>376</v>
      </c>
      <c r="C985" s="57">
        <v>66.513999999999996</v>
      </c>
      <c r="D985" s="57">
        <v>68.352000000000004</v>
      </c>
      <c r="E985" s="57">
        <v>70.400999999999996</v>
      </c>
      <c r="F985" s="57">
        <v>72.501999999999995</v>
      </c>
      <c r="G985" s="57">
        <v>74.997</v>
      </c>
      <c r="H985" s="57">
        <v>77.691000000000003</v>
      </c>
      <c r="I985" s="57">
        <v>78.820999999999998</v>
      </c>
      <c r="J985" s="57">
        <v>79.171000000000006</v>
      </c>
      <c r="K985" s="57">
        <v>81.754000000000005</v>
      </c>
      <c r="L985" s="57">
        <v>83.320999999999998</v>
      </c>
      <c r="M985" s="57">
        <v>84.975999999999999</v>
      </c>
      <c r="N985" s="57"/>
      <c r="O985" s="57"/>
      <c r="P985" s="57"/>
      <c r="Q985" s="57"/>
      <c r="R985" s="57"/>
      <c r="S985" s="57"/>
      <c r="T985" s="57"/>
    </row>
    <row r="986" spans="1:20">
      <c r="A986" s="55" t="s">
        <v>433</v>
      </c>
      <c r="B986" s="55" t="s">
        <v>377</v>
      </c>
      <c r="C986" s="57">
        <v>93.519000000000005</v>
      </c>
      <c r="D986" s="57">
        <v>95.488</v>
      </c>
      <c r="E986" s="57">
        <v>98.007999999999996</v>
      </c>
      <c r="F986" s="57">
        <v>101.03700000000001</v>
      </c>
      <c r="G986" s="57">
        <v>103.87</v>
      </c>
      <c r="H986" s="57">
        <v>108.703</v>
      </c>
      <c r="I986" s="57">
        <v>109.79900000000001</v>
      </c>
      <c r="J986" s="57">
        <v>108.36799999999999</v>
      </c>
      <c r="K986" s="57">
        <v>110.952</v>
      </c>
      <c r="L986" s="57">
        <v>112.604</v>
      </c>
      <c r="M986" s="57">
        <v>113.354</v>
      </c>
      <c r="N986" s="57"/>
      <c r="O986" s="57"/>
      <c r="P986" s="57"/>
      <c r="Q986" s="57"/>
      <c r="R986" s="57"/>
      <c r="S986" s="57"/>
      <c r="T986" s="57"/>
    </row>
    <row r="987" spans="1:20">
      <c r="A987" s="55" t="s">
        <v>433</v>
      </c>
      <c r="B987" s="55" t="s">
        <v>378</v>
      </c>
      <c r="C987" s="57">
        <v>52.851999999999997</v>
      </c>
      <c r="D987" s="57">
        <v>55.546999999999997</v>
      </c>
      <c r="E987" s="57">
        <v>59.155000000000001</v>
      </c>
      <c r="F987" s="57">
        <v>62.927</v>
      </c>
      <c r="G987" s="57">
        <v>65.715999999999994</v>
      </c>
      <c r="H987" s="57">
        <v>69.105999999999995</v>
      </c>
      <c r="I987" s="57">
        <v>72.256</v>
      </c>
      <c r="J987" s="57">
        <v>74.784000000000006</v>
      </c>
      <c r="K987" s="57">
        <v>78.825000000000003</v>
      </c>
      <c r="L987" s="57">
        <v>82.873000000000005</v>
      </c>
      <c r="M987" s="57">
        <v>87.01</v>
      </c>
      <c r="N987" s="57"/>
      <c r="O987" s="57"/>
      <c r="P987" s="57"/>
      <c r="Q987" s="57"/>
      <c r="R987" s="57"/>
      <c r="S987" s="57"/>
      <c r="T987" s="57"/>
    </row>
    <row r="988" spans="1:20">
      <c r="A988" s="55" t="s">
        <v>433</v>
      </c>
      <c r="B988" s="55" t="s">
        <v>379</v>
      </c>
      <c r="C988" s="57">
        <v>83.915000000000006</v>
      </c>
      <c r="D988" s="57">
        <v>84.161000000000001</v>
      </c>
      <c r="E988" s="57">
        <v>86.477000000000004</v>
      </c>
      <c r="F988" s="57">
        <v>88.266000000000005</v>
      </c>
      <c r="G988" s="57">
        <v>90.123000000000005</v>
      </c>
      <c r="H988" s="57">
        <v>95.572999999999993</v>
      </c>
      <c r="I988" s="57">
        <v>96.277000000000001</v>
      </c>
      <c r="J988" s="57">
        <v>92.424999999999997</v>
      </c>
      <c r="K988" s="57">
        <v>93.915999999999997</v>
      </c>
      <c r="L988" s="57">
        <v>94.466999999999999</v>
      </c>
      <c r="M988" s="57">
        <v>92.947999999999993</v>
      </c>
      <c r="N988" s="57"/>
      <c r="O988" s="57"/>
      <c r="P988" s="57"/>
      <c r="Q988" s="57"/>
      <c r="R988" s="57"/>
      <c r="S988" s="57"/>
      <c r="T988" s="57"/>
    </row>
    <row r="989" spans="1:20">
      <c r="A989" s="55" t="s">
        <v>433</v>
      </c>
      <c r="B989" s="55" t="s">
        <v>380</v>
      </c>
      <c r="C989" s="57">
        <v>59.764000000000003</v>
      </c>
      <c r="D989" s="57">
        <v>62.125999999999998</v>
      </c>
      <c r="E989" s="57">
        <v>64.581000000000003</v>
      </c>
      <c r="F989" s="57">
        <v>67.123000000000005</v>
      </c>
      <c r="G989" s="57">
        <v>69.448999999999998</v>
      </c>
      <c r="H989" s="57">
        <v>71.644999999999996</v>
      </c>
      <c r="I989" s="57">
        <v>73.519000000000005</v>
      </c>
      <c r="J989" s="57">
        <v>75.292000000000002</v>
      </c>
      <c r="K989" s="57">
        <v>77.808999999999997</v>
      </c>
      <c r="L989" s="57">
        <v>79.855999999999995</v>
      </c>
      <c r="M989" s="57">
        <v>82.037000000000006</v>
      </c>
      <c r="N989" s="57"/>
      <c r="O989" s="57"/>
      <c r="P989" s="57"/>
      <c r="Q989" s="57"/>
      <c r="R989" s="57"/>
      <c r="S989" s="57"/>
      <c r="T989" s="57"/>
    </row>
    <row r="990" spans="1:20">
      <c r="A990" s="55" t="s">
        <v>433</v>
      </c>
      <c r="B990" s="55" t="s">
        <v>381</v>
      </c>
      <c r="C990" s="57">
        <v>59.351999999999997</v>
      </c>
      <c r="D990" s="57">
        <v>61.73</v>
      </c>
      <c r="E990" s="57">
        <v>64.161000000000001</v>
      </c>
      <c r="F990" s="57">
        <v>66.650999999999996</v>
      </c>
      <c r="G990" s="57">
        <v>69.034999999999997</v>
      </c>
      <c r="H990" s="57">
        <v>71.292000000000002</v>
      </c>
      <c r="I990" s="57">
        <v>73.210999999999999</v>
      </c>
      <c r="J990" s="57">
        <v>75.025000000000006</v>
      </c>
      <c r="K990" s="57">
        <v>77.551000000000002</v>
      </c>
      <c r="L990" s="57">
        <v>79.638000000000005</v>
      </c>
      <c r="M990" s="57">
        <v>81.849999999999994</v>
      </c>
      <c r="N990" s="57"/>
      <c r="O990" s="57"/>
      <c r="P990" s="57"/>
      <c r="Q990" s="57"/>
      <c r="R990" s="57"/>
      <c r="S990" s="57"/>
      <c r="T990" s="57"/>
    </row>
    <row r="991" spans="1:20">
      <c r="A991" s="55" t="s">
        <v>433</v>
      </c>
      <c r="B991" s="55" t="s">
        <v>382</v>
      </c>
      <c r="C991" s="57">
        <v>63.512</v>
      </c>
      <c r="D991" s="57">
        <v>65.685000000000002</v>
      </c>
      <c r="E991" s="57">
        <v>68.361999999999995</v>
      </c>
      <c r="F991" s="57">
        <v>71.412999999999997</v>
      </c>
      <c r="G991" s="57">
        <v>73.105000000000004</v>
      </c>
      <c r="H991" s="57">
        <v>74.626999999999995</v>
      </c>
      <c r="I991" s="57">
        <v>76.034999999999997</v>
      </c>
      <c r="J991" s="57">
        <v>77.400999999999996</v>
      </c>
      <c r="K991" s="57">
        <v>79.816000000000003</v>
      </c>
      <c r="L991" s="57">
        <v>81.522000000000006</v>
      </c>
      <c r="M991" s="57">
        <v>83.436999999999998</v>
      </c>
      <c r="N991" s="57"/>
      <c r="O991" s="57"/>
      <c r="P991" s="57"/>
      <c r="Q991" s="57"/>
      <c r="R991" s="57"/>
      <c r="S991" s="57"/>
      <c r="T991" s="57"/>
    </row>
    <row r="992" spans="1:20">
      <c r="A992" s="55" t="s">
        <v>433</v>
      </c>
      <c r="B992" s="55" t="s">
        <v>383</v>
      </c>
      <c r="C992" s="57">
        <v>66.31</v>
      </c>
      <c r="D992" s="57">
        <v>68.974999999999994</v>
      </c>
      <c r="E992" s="57">
        <v>71.382000000000005</v>
      </c>
      <c r="F992" s="57">
        <v>73.75</v>
      </c>
      <c r="G992" s="57">
        <v>75.613</v>
      </c>
      <c r="H992" s="57">
        <v>77.224000000000004</v>
      </c>
      <c r="I992" s="57">
        <v>78.759</v>
      </c>
      <c r="J992" s="57">
        <v>80.350999999999999</v>
      </c>
      <c r="K992" s="57">
        <v>82.843999999999994</v>
      </c>
      <c r="L992" s="57">
        <v>84.102999999999994</v>
      </c>
      <c r="M992" s="57">
        <v>85.387</v>
      </c>
      <c r="N992" s="57"/>
      <c r="O992" s="57"/>
      <c r="P992" s="57"/>
      <c r="Q992" s="57"/>
      <c r="R992" s="57"/>
      <c r="S992" s="57"/>
      <c r="T992" s="57"/>
    </row>
    <row r="993" spans="1:20">
      <c r="A993" s="55" t="s">
        <v>433</v>
      </c>
      <c r="B993" s="55" t="s">
        <v>384</v>
      </c>
      <c r="C993" s="57">
        <v>67.180000000000007</v>
      </c>
      <c r="D993" s="57">
        <v>70.048000000000002</v>
      </c>
      <c r="E993" s="57">
        <v>72.382999999999996</v>
      </c>
      <c r="F993" s="57">
        <v>74.741</v>
      </c>
      <c r="G993" s="57">
        <v>76.917000000000002</v>
      </c>
      <c r="H993" s="57">
        <v>78.691000000000003</v>
      </c>
      <c r="I993" s="57">
        <v>80.168000000000006</v>
      </c>
      <c r="J993" s="57">
        <v>81.61</v>
      </c>
      <c r="K993" s="57">
        <v>83.94</v>
      </c>
      <c r="L993" s="57">
        <v>85.01</v>
      </c>
      <c r="M993" s="57">
        <v>86.369</v>
      </c>
      <c r="N993" s="57"/>
      <c r="O993" s="57"/>
      <c r="P993" s="57"/>
      <c r="Q993" s="57"/>
      <c r="R993" s="57"/>
      <c r="S993" s="57"/>
      <c r="T993" s="57"/>
    </row>
    <row r="994" spans="1:20">
      <c r="A994" s="55" t="s">
        <v>433</v>
      </c>
      <c r="B994" s="55" t="s">
        <v>385</v>
      </c>
      <c r="C994" s="57">
        <v>65.183999999999997</v>
      </c>
      <c r="D994" s="57">
        <v>67.751999999999995</v>
      </c>
      <c r="E994" s="57">
        <v>70.319000000000003</v>
      </c>
      <c r="F994" s="57">
        <v>73.013999999999996</v>
      </c>
      <c r="G994" s="57">
        <v>75.549000000000007</v>
      </c>
      <c r="H994" s="57">
        <v>77.375</v>
      </c>
      <c r="I994" s="57">
        <v>79.097999999999999</v>
      </c>
      <c r="J994" s="57">
        <v>80.772999999999996</v>
      </c>
      <c r="K994" s="57">
        <v>83.456999999999994</v>
      </c>
      <c r="L994" s="57">
        <v>85.153999999999996</v>
      </c>
      <c r="M994" s="57">
        <v>87.32</v>
      </c>
      <c r="N994" s="57"/>
      <c r="O994" s="57"/>
      <c r="P994" s="57"/>
      <c r="Q994" s="57"/>
      <c r="R994" s="57"/>
      <c r="S994" s="57"/>
      <c r="T994" s="57"/>
    </row>
    <row r="995" spans="1:20">
      <c r="A995" s="55" t="s">
        <v>433</v>
      </c>
      <c r="B995" s="55" t="s">
        <v>386</v>
      </c>
      <c r="C995" s="57">
        <v>89.661000000000001</v>
      </c>
      <c r="D995" s="57">
        <v>92.116</v>
      </c>
      <c r="E995" s="57">
        <v>93.567999999999998</v>
      </c>
      <c r="F995" s="57">
        <v>94.748999999999995</v>
      </c>
      <c r="G995" s="57">
        <v>95.754999999999995</v>
      </c>
      <c r="H995" s="57">
        <v>96.125</v>
      </c>
      <c r="I995" s="57">
        <v>95.887</v>
      </c>
      <c r="J995" s="57">
        <v>96.043000000000006</v>
      </c>
      <c r="K995" s="57">
        <v>95.665999999999997</v>
      </c>
      <c r="L995" s="57">
        <v>93.06</v>
      </c>
      <c r="M995" s="57">
        <v>91.375</v>
      </c>
      <c r="N995" s="57"/>
      <c r="O995" s="57"/>
      <c r="P995" s="57"/>
      <c r="Q995" s="57"/>
      <c r="R995" s="57"/>
      <c r="S995" s="57"/>
      <c r="T995" s="57"/>
    </row>
    <row r="996" spans="1:20">
      <c r="A996" s="55" t="s">
        <v>433</v>
      </c>
      <c r="B996" s="55" t="s">
        <v>387</v>
      </c>
      <c r="C996" s="57">
        <v>65.233999999999995</v>
      </c>
      <c r="D996" s="57">
        <v>68.141999999999996</v>
      </c>
      <c r="E996" s="57">
        <v>70.409000000000006</v>
      </c>
      <c r="F996" s="57">
        <v>72.69</v>
      </c>
      <c r="G996" s="57">
        <v>74.798000000000002</v>
      </c>
      <c r="H996" s="57">
        <v>76.625</v>
      </c>
      <c r="I996" s="57">
        <v>78.134</v>
      </c>
      <c r="J996" s="57">
        <v>79.603999999999999</v>
      </c>
      <c r="K996" s="57">
        <v>82.096000000000004</v>
      </c>
      <c r="L996" s="57">
        <v>83.427999999999997</v>
      </c>
      <c r="M996" s="57">
        <v>85.003</v>
      </c>
      <c r="N996" s="57"/>
      <c r="O996" s="57"/>
      <c r="P996" s="57"/>
      <c r="Q996" s="57"/>
      <c r="R996" s="57"/>
      <c r="S996" s="57"/>
      <c r="T996" s="57"/>
    </row>
    <row r="997" spans="1:20">
      <c r="A997" s="55" t="s">
        <v>433</v>
      </c>
      <c r="B997" s="55" t="s">
        <v>388</v>
      </c>
      <c r="C997" s="57">
        <v>68.754999999999995</v>
      </c>
      <c r="D997" s="57">
        <v>71.373999999999995</v>
      </c>
      <c r="E997" s="57">
        <v>74.203999999999994</v>
      </c>
      <c r="F997" s="57">
        <v>76.894000000000005</v>
      </c>
      <c r="G997" s="57">
        <v>78.724999999999994</v>
      </c>
      <c r="H997" s="57">
        <v>80.548000000000002</v>
      </c>
      <c r="I997" s="57">
        <v>82.644999999999996</v>
      </c>
      <c r="J997" s="57">
        <v>84.951999999999998</v>
      </c>
      <c r="K997" s="57">
        <v>88.147000000000006</v>
      </c>
      <c r="L997" s="57">
        <v>89.811999999999998</v>
      </c>
      <c r="M997" s="57">
        <v>91.664000000000001</v>
      </c>
      <c r="N997" s="57"/>
      <c r="O997" s="57"/>
      <c r="P997" s="57"/>
      <c r="Q997" s="57"/>
      <c r="R997" s="57"/>
      <c r="S997" s="57"/>
      <c r="T997" s="57"/>
    </row>
    <row r="998" spans="1:20">
      <c r="A998" s="55" t="s">
        <v>433</v>
      </c>
      <c r="B998" s="55" t="s">
        <v>389</v>
      </c>
      <c r="C998" s="57">
        <v>63.722999999999999</v>
      </c>
      <c r="D998" s="57">
        <v>66.042000000000002</v>
      </c>
      <c r="E998" s="57">
        <v>68.337999999999994</v>
      </c>
      <c r="F998" s="57">
        <v>70.548000000000002</v>
      </c>
      <c r="G998" s="57">
        <v>71.906000000000006</v>
      </c>
      <c r="H998" s="57">
        <v>73.12</v>
      </c>
      <c r="I998" s="57">
        <v>74.412999999999997</v>
      </c>
      <c r="J998" s="57">
        <v>75.826999999999998</v>
      </c>
      <c r="K998" s="57">
        <v>78.180999999999997</v>
      </c>
      <c r="L998" s="57">
        <v>79.531999999999996</v>
      </c>
      <c r="M998" s="57">
        <v>80.41</v>
      </c>
      <c r="N998" s="57"/>
      <c r="O998" s="57"/>
      <c r="P998" s="57"/>
      <c r="Q998" s="57"/>
      <c r="R998" s="57"/>
      <c r="S998" s="57"/>
      <c r="T998" s="57"/>
    </row>
    <row r="999" spans="1:20">
      <c r="A999" s="55" t="s">
        <v>433</v>
      </c>
      <c r="B999" s="55" t="s">
        <v>390</v>
      </c>
      <c r="C999" s="57">
        <v>63.619</v>
      </c>
      <c r="D999" s="57">
        <v>66.117000000000004</v>
      </c>
      <c r="E999" s="57">
        <v>68.251999999999995</v>
      </c>
      <c r="F999" s="57">
        <v>70.16</v>
      </c>
      <c r="G999" s="57">
        <v>71.741</v>
      </c>
      <c r="H999" s="57">
        <v>73.016000000000005</v>
      </c>
      <c r="I999" s="57">
        <v>74.311999999999998</v>
      </c>
      <c r="J999" s="57">
        <v>75.783000000000001</v>
      </c>
      <c r="K999" s="57">
        <v>78.233000000000004</v>
      </c>
      <c r="L999" s="57">
        <v>79.352999999999994</v>
      </c>
      <c r="M999" s="57">
        <v>80.13</v>
      </c>
      <c r="N999" s="57"/>
      <c r="O999" s="57"/>
      <c r="P999" s="57"/>
      <c r="Q999" s="57"/>
      <c r="R999" s="57"/>
      <c r="S999" s="57"/>
      <c r="T999" s="57"/>
    </row>
    <row r="1000" spans="1:20">
      <c r="A1000" s="55" t="s">
        <v>433</v>
      </c>
      <c r="B1000" s="55" t="s">
        <v>391</v>
      </c>
      <c r="C1000" s="57">
        <v>64.269000000000005</v>
      </c>
      <c r="D1000" s="57">
        <v>65.896000000000001</v>
      </c>
      <c r="E1000" s="57">
        <v>68.858000000000004</v>
      </c>
      <c r="F1000" s="57">
        <v>72.373999999999995</v>
      </c>
      <c r="G1000" s="57">
        <v>72.736999999999995</v>
      </c>
      <c r="H1000" s="57">
        <v>73.686999999999998</v>
      </c>
      <c r="I1000" s="57">
        <v>74.971000000000004</v>
      </c>
      <c r="J1000" s="57">
        <v>76.132999999999996</v>
      </c>
      <c r="K1000" s="57">
        <v>78.037999999999997</v>
      </c>
      <c r="L1000" s="57">
        <v>80.575000000000003</v>
      </c>
      <c r="M1000" s="57">
        <v>82.01</v>
      </c>
      <c r="N1000" s="57"/>
      <c r="O1000" s="57"/>
      <c r="P1000" s="57"/>
      <c r="Q1000" s="57"/>
      <c r="R1000" s="57"/>
      <c r="S1000" s="57"/>
      <c r="T1000" s="57"/>
    </row>
    <row r="1001" spans="1:20">
      <c r="A1001" s="55" t="s">
        <v>433</v>
      </c>
      <c r="B1001" s="55" t="s">
        <v>392</v>
      </c>
      <c r="C1001" s="57">
        <v>64.744</v>
      </c>
      <c r="D1001" s="57">
        <v>67.433999999999997</v>
      </c>
      <c r="E1001" s="57">
        <v>70.069000000000003</v>
      </c>
      <c r="F1001" s="57">
        <v>72.62</v>
      </c>
      <c r="G1001" s="57">
        <v>74.736999999999995</v>
      </c>
      <c r="H1001" s="57">
        <v>76.373000000000005</v>
      </c>
      <c r="I1001" s="57">
        <v>78.144999999999996</v>
      </c>
      <c r="J1001" s="57">
        <v>79.787000000000006</v>
      </c>
      <c r="K1001" s="57">
        <v>82.515000000000001</v>
      </c>
      <c r="L1001" s="57">
        <v>83.95</v>
      </c>
      <c r="M1001" s="57">
        <v>85.227999999999994</v>
      </c>
      <c r="N1001" s="57"/>
      <c r="O1001" s="57"/>
      <c r="P1001" s="57"/>
      <c r="Q1001" s="57"/>
      <c r="R1001" s="57"/>
      <c r="S1001" s="57"/>
      <c r="T1001" s="57"/>
    </row>
    <row r="1002" spans="1:20">
      <c r="A1002" s="55" t="s">
        <v>433</v>
      </c>
      <c r="B1002" s="55" t="s">
        <v>393</v>
      </c>
      <c r="C1002" s="57">
        <v>64.906000000000006</v>
      </c>
      <c r="D1002" s="57">
        <v>67.409000000000006</v>
      </c>
      <c r="E1002" s="57">
        <v>69.960999999999999</v>
      </c>
      <c r="F1002" s="57">
        <v>72.536000000000001</v>
      </c>
      <c r="G1002" s="57">
        <v>74.409000000000006</v>
      </c>
      <c r="H1002" s="57">
        <v>75.906999999999996</v>
      </c>
      <c r="I1002" s="57">
        <v>77.554000000000002</v>
      </c>
      <c r="J1002" s="57">
        <v>79.106999999999999</v>
      </c>
      <c r="K1002" s="57">
        <v>81.734999999999999</v>
      </c>
      <c r="L1002" s="57">
        <v>83.468999999999994</v>
      </c>
      <c r="M1002" s="57">
        <v>85.14</v>
      </c>
      <c r="N1002" s="57"/>
      <c r="O1002" s="57"/>
      <c r="P1002" s="57"/>
      <c r="Q1002" s="57"/>
      <c r="R1002" s="57"/>
      <c r="S1002" s="57"/>
      <c r="T1002" s="57"/>
    </row>
    <row r="1003" spans="1:20">
      <c r="A1003" s="55" t="s">
        <v>433</v>
      </c>
      <c r="B1003" s="55" t="s">
        <v>394</v>
      </c>
      <c r="C1003" s="57">
        <v>64.694000000000003</v>
      </c>
      <c r="D1003" s="57">
        <v>67.415000000000006</v>
      </c>
      <c r="E1003" s="57">
        <v>70.063999999999993</v>
      </c>
      <c r="F1003" s="57">
        <v>72.61</v>
      </c>
      <c r="G1003" s="57">
        <v>74.769000000000005</v>
      </c>
      <c r="H1003" s="57">
        <v>76.427000000000007</v>
      </c>
      <c r="I1003" s="57">
        <v>78.218000000000004</v>
      </c>
      <c r="J1003" s="57">
        <v>79.873000000000005</v>
      </c>
      <c r="K1003" s="57">
        <v>82.616</v>
      </c>
      <c r="L1003" s="57">
        <v>84.004000000000005</v>
      </c>
      <c r="M1003" s="57">
        <v>85.221999999999994</v>
      </c>
      <c r="N1003" s="57"/>
      <c r="O1003" s="57"/>
      <c r="P1003" s="57"/>
      <c r="Q1003" s="57"/>
      <c r="R1003" s="57"/>
      <c r="S1003" s="57"/>
      <c r="T1003" s="57"/>
    </row>
    <row r="1004" spans="1:20">
      <c r="A1004" s="55" t="s">
        <v>433</v>
      </c>
      <c r="B1004" s="55" t="s">
        <v>395</v>
      </c>
      <c r="C1004" s="57">
        <v>63.67</v>
      </c>
      <c r="D1004" s="57">
        <v>66.456000000000003</v>
      </c>
      <c r="E1004" s="57">
        <v>69.165999999999997</v>
      </c>
      <c r="F1004" s="57">
        <v>71.902000000000001</v>
      </c>
      <c r="G1004" s="57">
        <v>74.293999999999997</v>
      </c>
      <c r="H1004" s="57">
        <v>76.108000000000004</v>
      </c>
      <c r="I1004" s="57">
        <v>77.971999999999994</v>
      </c>
      <c r="J1004" s="57">
        <v>79.808999999999997</v>
      </c>
      <c r="K1004" s="57">
        <v>82.656000000000006</v>
      </c>
      <c r="L1004" s="57">
        <v>83.998999999999995</v>
      </c>
      <c r="M1004" s="57">
        <v>85.37</v>
      </c>
      <c r="N1004" s="57"/>
      <c r="O1004" s="57"/>
      <c r="P1004" s="57"/>
      <c r="Q1004" s="57"/>
      <c r="R1004" s="57"/>
      <c r="S1004" s="57"/>
      <c r="T1004" s="57"/>
    </row>
    <row r="1005" spans="1:20">
      <c r="A1005" s="55" t="s">
        <v>433</v>
      </c>
      <c r="B1005" s="55" t="s">
        <v>396</v>
      </c>
      <c r="C1005" s="57">
        <v>65.611000000000004</v>
      </c>
      <c r="D1005" s="57">
        <v>68.314999999999998</v>
      </c>
      <c r="E1005" s="57">
        <v>70.936999999999998</v>
      </c>
      <c r="F1005" s="57">
        <v>73.38</v>
      </c>
      <c r="G1005" s="57">
        <v>75.415999999999997</v>
      </c>
      <c r="H1005" s="57">
        <v>76.974000000000004</v>
      </c>
      <c r="I1005" s="57">
        <v>78.727999999999994</v>
      </c>
      <c r="J1005" s="57">
        <v>80.257999999999996</v>
      </c>
      <c r="K1005" s="57">
        <v>82.92</v>
      </c>
      <c r="L1005" s="57">
        <v>84.284999999999997</v>
      </c>
      <c r="M1005" s="57">
        <v>85.373000000000005</v>
      </c>
      <c r="N1005" s="57"/>
      <c r="O1005" s="57"/>
      <c r="P1005" s="57"/>
      <c r="Q1005" s="57"/>
      <c r="R1005" s="57"/>
      <c r="S1005" s="57"/>
      <c r="T1005" s="57"/>
    </row>
    <row r="1006" spans="1:20">
      <c r="A1006" s="55" t="s">
        <v>433</v>
      </c>
      <c r="B1006" s="55" t="s">
        <v>397</v>
      </c>
      <c r="C1006" s="57">
        <v>63.869</v>
      </c>
      <c r="D1006" s="57">
        <v>66.415000000000006</v>
      </c>
      <c r="E1006" s="57">
        <v>68.957999999999998</v>
      </c>
      <c r="F1006" s="57">
        <v>71.299000000000007</v>
      </c>
      <c r="G1006" s="57">
        <v>73.155000000000001</v>
      </c>
      <c r="H1006" s="57">
        <v>74.701999999999998</v>
      </c>
      <c r="I1006" s="57">
        <v>76.361000000000004</v>
      </c>
      <c r="J1006" s="57">
        <v>77.893000000000001</v>
      </c>
      <c r="K1006" s="57">
        <v>80.616</v>
      </c>
      <c r="L1006" s="57">
        <v>82.433000000000007</v>
      </c>
      <c r="M1006" s="57">
        <v>83.652000000000001</v>
      </c>
      <c r="N1006" s="57"/>
      <c r="O1006" s="57"/>
      <c r="P1006" s="57"/>
      <c r="Q1006" s="57"/>
      <c r="R1006" s="57"/>
      <c r="S1006" s="57"/>
      <c r="T1006" s="57"/>
    </row>
    <row r="1007" spans="1:20">
      <c r="A1007" s="55" t="s">
        <v>433</v>
      </c>
      <c r="B1007" s="55" t="s">
        <v>398</v>
      </c>
      <c r="C1007" s="57">
        <v>64.936999999999998</v>
      </c>
      <c r="D1007" s="57">
        <v>67.486000000000004</v>
      </c>
      <c r="E1007" s="57">
        <v>70.049000000000007</v>
      </c>
      <c r="F1007" s="57">
        <v>72.489999999999995</v>
      </c>
      <c r="G1007" s="57">
        <v>73.947999999999993</v>
      </c>
      <c r="H1007" s="57">
        <v>75.040999999999997</v>
      </c>
      <c r="I1007" s="57">
        <v>76.545000000000002</v>
      </c>
      <c r="J1007" s="57">
        <v>78.236999999999995</v>
      </c>
      <c r="K1007" s="57">
        <v>80.429000000000002</v>
      </c>
      <c r="L1007" s="57">
        <v>82.572000000000003</v>
      </c>
      <c r="M1007" s="57">
        <v>83.805999999999997</v>
      </c>
      <c r="N1007" s="57"/>
      <c r="O1007" s="57"/>
      <c r="P1007" s="57"/>
      <c r="Q1007" s="57"/>
      <c r="R1007" s="57"/>
      <c r="S1007" s="57"/>
      <c r="T1007" s="57"/>
    </row>
    <row r="1008" spans="1:20">
      <c r="A1008" s="55" t="s">
        <v>433</v>
      </c>
      <c r="B1008" s="55" t="s">
        <v>399</v>
      </c>
      <c r="C1008" s="57">
        <v>60.499000000000002</v>
      </c>
      <c r="D1008" s="57">
        <v>62.924999999999997</v>
      </c>
      <c r="E1008" s="57">
        <v>65.332999999999998</v>
      </c>
      <c r="F1008" s="57">
        <v>67.899000000000001</v>
      </c>
      <c r="G1008" s="57">
        <v>70.082999999999998</v>
      </c>
      <c r="H1008" s="57">
        <v>71.742999999999995</v>
      </c>
      <c r="I1008" s="57">
        <v>73.287000000000006</v>
      </c>
      <c r="J1008" s="57">
        <v>75.025000000000006</v>
      </c>
      <c r="K1008" s="57">
        <v>77.584999999999994</v>
      </c>
      <c r="L1008" s="57">
        <v>79.590999999999994</v>
      </c>
      <c r="M1008" s="57">
        <v>81.406000000000006</v>
      </c>
      <c r="N1008" s="57"/>
      <c r="O1008" s="57"/>
      <c r="P1008" s="57"/>
      <c r="Q1008" s="57"/>
      <c r="R1008" s="57"/>
      <c r="S1008" s="57"/>
      <c r="T1008" s="57"/>
    </row>
    <row r="1009" spans="1:21">
      <c r="A1009" s="55" t="s">
        <v>433</v>
      </c>
      <c r="B1009" s="55" t="s">
        <v>400</v>
      </c>
      <c r="C1009" s="57">
        <v>58.28</v>
      </c>
      <c r="D1009" s="57">
        <v>60.823</v>
      </c>
      <c r="E1009" s="57">
        <v>63.328000000000003</v>
      </c>
      <c r="F1009" s="57">
        <v>66.037000000000006</v>
      </c>
      <c r="G1009" s="57">
        <v>68.504999999999995</v>
      </c>
      <c r="H1009" s="57">
        <v>70.188000000000002</v>
      </c>
      <c r="I1009" s="57">
        <v>71.697999999999993</v>
      </c>
      <c r="J1009" s="57">
        <v>73.494</v>
      </c>
      <c r="K1009" s="57">
        <v>76.075999999999993</v>
      </c>
      <c r="L1009" s="57">
        <v>78.331999999999994</v>
      </c>
      <c r="M1009" s="57">
        <v>80.349999999999994</v>
      </c>
      <c r="N1009" s="57"/>
      <c r="O1009" s="57"/>
      <c r="P1009" s="57"/>
      <c r="Q1009" s="57"/>
      <c r="R1009" s="57"/>
      <c r="S1009" s="57"/>
      <c r="T1009" s="57"/>
    </row>
    <row r="1010" spans="1:21">
      <c r="A1010" s="55" t="s">
        <v>433</v>
      </c>
      <c r="B1010" s="55" t="s">
        <v>401</v>
      </c>
      <c r="C1010" s="57">
        <v>62.33</v>
      </c>
      <c r="D1010" s="57">
        <v>64.656999999999996</v>
      </c>
      <c r="E1010" s="57">
        <v>66.994</v>
      </c>
      <c r="F1010" s="57">
        <v>69.453000000000003</v>
      </c>
      <c r="G1010" s="57">
        <v>71.405000000000001</v>
      </c>
      <c r="H1010" s="57">
        <v>73.046000000000006</v>
      </c>
      <c r="I1010" s="57">
        <v>74.619</v>
      </c>
      <c r="J1010" s="57">
        <v>76.311000000000007</v>
      </c>
      <c r="K1010" s="57">
        <v>78.855000000000004</v>
      </c>
      <c r="L1010" s="57">
        <v>80.66</v>
      </c>
      <c r="M1010" s="57">
        <v>82.311999999999998</v>
      </c>
      <c r="N1010" s="57"/>
      <c r="O1010" s="57"/>
      <c r="P1010" s="57"/>
      <c r="Q1010" s="57"/>
      <c r="R1010" s="57"/>
      <c r="S1010" s="57"/>
      <c r="T1010" s="57"/>
    </row>
    <row r="1011" spans="1:21">
      <c r="A1011" s="55" t="s">
        <v>433</v>
      </c>
      <c r="B1011" s="55" t="s">
        <v>402</v>
      </c>
      <c r="C1011" s="57">
        <v>65.855999999999995</v>
      </c>
      <c r="D1011" s="57">
        <v>68.433000000000007</v>
      </c>
      <c r="E1011" s="57">
        <v>71.028999999999996</v>
      </c>
      <c r="F1011" s="57">
        <v>73.460999999999999</v>
      </c>
      <c r="G1011" s="57">
        <v>74.811999999999998</v>
      </c>
      <c r="H1011" s="57">
        <v>75.819000000000003</v>
      </c>
      <c r="I1011" s="57">
        <v>77.320999999999998</v>
      </c>
      <c r="J1011" s="57">
        <v>79.006</v>
      </c>
      <c r="K1011" s="57">
        <v>81.119</v>
      </c>
      <c r="L1011" s="57">
        <v>83.295000000000002</v>
      </c>
      <c r="M1011" s="57">
        <v>84.388999999999996</v>
      </c>
      <c r="N1011" s="57"/>
      <c r="O1011" s="57"/>
      <c r="P1011" s="57"/>
      <c r="Q1011" s="57"/>
      <c r="R1011" s="57"/>
      <c r="S1011" s="57"/>
      <c r="T1011" s="57"/>
    </row>
    <row r="1012" spans="1:21">
      <c r="A1012" s="55" t="s">
        <v>433</v>
      </c>
      <c r="B1012" s="55" t="s">
        <v>403</v>
      </c>
      <c r="C1012" s="57">
        <v>62.302999999999997</v>
      </c>
      <c r="D1012" s="57">
        <v>64.486999999999995</v>
      </c>
      <c r="E1012" s="57">
        <v>66.694999999999993</v>
      </c>
      <c r="F1012" s="57">
        <v>69.076999999999998</v>
      </c>
      <c r="G1012" s="57">
        <v>71.260999999999996</v>
      </c>
      <c r="H1012" s="57">
        <v>73.132000000000005</v>
      </c>
      <c r="I1012" s="57">
        <v>74.795000000000002</v>
      </c>
      <c r="J1012" s="57">
        <v>76.394000000000005</v>
      </c>
      <c r="K1012" s="57">
        <v>78.614000000000004</v>
      </c>
      <c r="L1012" s="57">
        <v>80.400000000000006</v>
      </c>
      <c r="M1012" s="57">
        <v>82.013999999999996</v>
      </c>
      <c r="N1012" s="57"/>
      <c r="O1012" s="57"/>
      <c r="P1012" s="57"/>
      <c r="Q1012" s="57"/>
      <c r="R1012" s="57"/>
      <c r="S1012" s="57"/>
      <c r="T1012" s="57"/>
    </row>
    <row r="1013" spans="1:21">
      <c r="A1013" s="55" t="s">
        <v>433</v>
      </c>
      <c r="B1013" s="55" t="s">
        <v>404</v>
      </c>
      <c r="C1013" s="57">
        <v>66.900999999999996</v>
      </c>
      <c r="D1013" s="57">
        <v>69.593999999999994</v>
      </c>
      <c r="E1013" s="57">
        <v>72.305000000000007</v>
      </c>
      <c r="F1013" s="57">
        <v>74.753</v>
      </c>
      <c r="G1013" s="57">
        <v>75.876999999999995</v>
      </c>
      <c r="H1013" s="57">
        <v>76.647000000000006</v>
      </c>
      <c r="I1013" s="57">
        <v>78.105000000000004</v>
      </c>
      <c r="J1013" s="57">
        <v>79.816000000000003</v>
      </c>
      <c r="K1013" s="57">
        <v>81.900000000000006</v>
      </c>
      <c r="L1013" s="57">
        <v>84.191000000000003</v>
      </c>
      <c r="M1013" s="57">
        <v>85.132999999999996</v>
      </c>
      <c r="N1013" s="57"/>
      <c r="O1013" s="57"/>
      <c r="P1013" s="57"/>
      <c r="Q1013" s="57"/>
      <c r="R1013" s="57"/>
      <c r="S1013" s="57"/>
      <c r="T1013" s="57"/>
    </row>
    <row r="1014" spans="1:21">
      <c r="A1014" s="55" t="s">
        <v>433</v>
      </c>
      <c r="B1014" s="55" t="s">
        <v>405</v>
      </c>
      <c r="C1014" s="57">
        <v>73.474000000000004</v>
      </c>
      <c r="D1014" s="57">
        <v>76.036000000000001</v>
      </c>
      <c r="E1014" s="57">
        <v>78.602000000000004</v>
      </c>
      <c r="F1014" s="57">
        <v>80.951999999999998</v>
      </c>
      <c r="G1014" s="57">
        <v>82.718999999999994</v>
      </c>
      <c r="H1014" s="57">
        <v>83.923000000000002</v>
      </c>
      <c r="I1014" s="57">
        <v>85.441999999999993</v>
      </c>
      <c r="J1014" s="57">
        <v>86.99</v>
      </c>
      <c r="K1014" s="57">
        <v>89.372</v>
      </c>
      <c r="L1014" s="57">
        <v>90.192999999999998</v>
      </c>
      <c r="M1014" s="57">
        <v>90.911000000000001</v>
      </c>
      <c r="N1014" s="57"/>
      <c r="O1014" s="57"/>
      <c r="P1014" s="57"/>
      <c r="Q1014" s="57"/>
      <c r="R1014" s="57"/>
      <c r="S1014" s="57"/>
      <c r="T1014" s="57"/>
    </row>
    <row r="1015" spans="1:21">
      <c r="A1015" s="55" t="s">
        <v>433</v>
      </c>
      <c r="B1015" s="55" t="s">
        <v>174</v>
      </c>
      <c r="C1015" s="57">
        <v>61.207000000000001</v>
      </c>
      <c r="D1015" s="57">
        <v>62.488</v>
      </c>
      <c r="E1015" s="57">
        <v>64.566999999999993</v>
      </c>
      <c r="F1015" s="57">
        <v>67.593000000000004</v>
      </c>
      <c r="G1015" s="57">
        <v>69.171000000000006</v>
      </c>
      <c r="H1015" s="57">
        <v>70.569999999999993</v>
      </c>
      <c r="I1015" s="57">
        <v>71.903000000000006</v>
      </c>
      <c r="J1015" s="57">
        <v>73.147999999999996</v>
      </c>
      <c r="K1015" s="57">
        <v>75.248999999999995</v>
      </c>
      <c r="L1015" s="57">
        <v>77.141000000000005</v>
      </c>
      <c r="M1015" s="57">
        <v>78.361000000000004</v>
      </c>
      <c r="N1015" s="57"/>
      <c r="O1015" s="57"/>
      <c r="P1015" s="57"/>
      <c r="Q1015" s="57"/>
      <c r="R1015" s="57"/>
      <c r="S1015" s="57"/>
      <c r="T1015" s="57"/>
    </row>
    <row r="1016" spans="1:21">
      <c r="A1016" s="55" t="s">
        <v>433</v>
      </c>
      <c r="B1016" s="55" t="s">
        <v>219</v>
      </c>
      <c r="C1016" s="57">
        <v>66.364000000000004</v>
      </c>
      <c r="D1016" s="57">
        <v>66.903000000000006</v>
      </c>
      <c r="E1016" s="57">
        <v>68.171999999999997</v>
      </c>
      <c r="F1016" s="57">
        <v>71.123999999999995</v>
      </c>
      <c r="G1016" s="57">
        <v>72.841999999999999</v>
      </c>
      <c r="H1016" s="57">
        <v>74.13</v>
      </c>
      <c r="I1016" s="57">
        <v>75.581000000000003</v>
      </c>
      <c r="J1016" s="57">
        <v>76.903999999999996</v>
      </c>
      <c r="K1016" s="57">
        <v>78.527000000000001</v>
      </c>
      <c r="L1016" s="57">
        <v>79.847999999999999</v>
      </c>
      <c r="M1016" s="57">
        <v>81.165000000000006</v>
      </c>
      <c r="N1016" s="57"/>
      <c r="O1016" s="57"/>
      <c r="P1016" s="57"/>
      <c r="Q1016" s="57"/>
      <c r="R1016" s="57"/>
      <c r="S1016" s="57"/>
      <c r="T1016" s="57"/>
    </row>
    <row r="1017" spans="1:21">
      <c r="A1017" s="55" t="s">
        <v>433</v>
      </c>
      <c r="B1017" s="55" t="s">
        <v>406</v>
      </c>
      <c r="C1017" s="57">
        <v>66.641000000000005</v>
      </c>
      <c r="D1017" s="57">
        <v>67.120999999999995</v>
      </c>
      <c r="E1017" s="57">
        <v>68.352000000000004</v>
      </c>
      <c r="F1017" s="57">
        <v>71.325999999999993</v>
      </c>
      <c r="G1017" s="57">
        <v>73.108000000000004</v>
      </c>
      <c r="H1017" s="57">
        <v>74.433999999999997</v>
      </c>
      <c r="I1017" s="57">
        <v>75.929000000000002</v>
      </c>
      <c r="J1017" s="57">
        <v>77.287000000000006</v>
      </c>
      <c r="K1017" s="57">
        <v>78.876999999999995</v>
      </c>
      <c r="L1017" s="57">
        <v>80.177999999999997</v>
      </c>
      <c r="M1017" s="57">
        <v>81.498999999999995</v>
      </c>
      <c r="N1017" s="57"/>
      <c r="O1017" s="57"/>
      <c r="P1017" s="57"/>
      <c r="Q1017" s="57"/>
      <c r="R1017" s="57"/>
      <c r="S1017" s="57"/>
      <c r="T1017" s="57"/>
    </row>
    <row r="1018" spans="1:21">
      <c r="A1018" s="55" t="s">
        <v>433</v>
      </c>
      <c r="B1018" s="55" t="s">
        <v>407</v>
      </c>
      <c r="C1018" s="57">
        <v>63.173000000000002</v>
      </c>
      <c r="D1018" s="57">
        <v>64.507999999999996</v>
      </c>
      <c r="E1018" s="57">
        <v>66.287999999999997</v>
      </c>
      <c r="F1018" s="57">
        <v>68.983999999999995</v>
      </c>
      <c r="G1018" s="57">
        <v>69.938999999999993</v>
      </c>
      <c r="H1018" s="57">
        <v>70.674999999999997</v>
      </c>
      <c r="I1018" s="57">
        <v>71.512</v>
      </c>
      <c r="J1018" s="57">
        <v>72.406000000000006</v>
      </c>
      <c r="K1018" s="57">
        <v>74.397999999999996</v>
      </c>
      <c r="L1018" s="57">
        <v>75.906000000000006</v>
      </c>
      <c r="M1018" s="57">
        <v>77.171000000000006</v>
      </c>
      <c r="N1018" s="57"/>
      <c r="O1018" s="57"/>
      <c r="P1018" s="57"/>
      <c r="Q1018" s="57"/>
      <c r="R1018" s="57"/>
      <c r="S1018" s="57"/>
      <c r="T1018" s="57"/>
    </row>
    <row r="1019" spans="1:21">
      <c r="A1019" s="55" t="s">
        <v>433</v>
      </c>
      <c r="B1019" s="55" t="s">
        <v>221</v>
      </c>
      <c r="C1019" s="57">
        <v>58.06</v>
      </c>
      <c r="D1019" s="57">
        <v>59.914000000000001</v>
      </c>
      <c r="E1019" s="57">
        <v>62.607999999999997</v>
      </c>
      <c r="F1019" s="57">
        <v>65.718999999999994</v>
      </c>
      <c r="G1019" s="57">
        <v>67.212999999999994</v>
      </c>
      <c r="H1019" s="57">
        <v>68.692999999999998</v>
      </c>
      <c r="I1019" s="57">
        <v>69.959999999999994</v>
      </c>
      <c r="J1019" s="57">
        <v>71.164000000000001</v>
      </c>
      <c r="K1019" s="57">
        <v>73.513999999999996</v>
      </c>
      <c r="L1019" s="57">
        <v>75.692999999999998</v>
      </c>
      <c r="M1019" s="57">
        <v>76.864000000000004</v>
      </c>
      <c r="N1019" s="57"/>
      <c r="O1019" s="57"/>
      <c r="P1019" s="57"/>
      <c r="Q1019" s="57"/>
      <c r="R1019" s="57"/>
      <c r="S1019" s="57"/>
      <c r="T1019" s="57"/>
    </row>
    <row r="1020" spans="1:21">
      <c r="A1020" s="55" t="s">
        <v>433</v>
      </c>
      <c r="B1020" s="55" t="s">
        <v>406</v>
      </c>
      <c r="C1020" s="57">
        <v>57.667000000000002</v>
      </c>
      <c r="D1020" s="57">
        <v>59.722999999999999</v>
      </c>
      <c r="E1020" s="57">
        <v>62.470999999999997</v>
      </c>
      <c r="F1020" s="57">
        <v>65.626999999999995</v>
      </c>
      <c r="G1020" s="57">
        <v>67.347999999999999</v>
      </c>
      <c r="H1020" s="57">
        <v>68.924000000000007</v>
      </c>
      <c r="I1020" s="57">
        <v>70.203000000000003</v>
      </c>
      <c r="J1020" s="57">
        <v>71.471000000000004</v>
      </c>
      <c r="K1020" s="57">
        <v>73.941999999999993</v>
      </c>
      <c r="L1020" s="57">
        <v>76.046999999999997</v>
      </c>
      <c r="M1020" s="57">
        <v>77.290000000000006</v>
      </c>
      <c r="N1020" s="57"/>
      <c r="O1020" s="57"/>
      <c r="P1020" s="57"/>
      <c r="Q1020" s="57"/>
      <c r="R1020" s="57"/>
      <c r="S1020" s="57"/>
      <c r="T1020" s="57"/>
    </row>
    <row r="1021" spans="1:21">
      <c r="A1021" s="55" t="s">
        <v>433</v>
      </c>
      <c r="B1021" s="55" t="s">
        <v>407</v>
      </c>
      <c r="C1021" s="57">
        <v>59.703000000000003</v>
      </c>
      <c r="D1021" s="57">
        <v>60.637999999999998</v>
      </c>
      <c r="E1021" s="57">
        <v>63.078000000000003</v>
      </c>
      <c r="F1021" s="57">
        <v>65.962000000000003</v>
      </c>
      <c r="G1021" s="57">
        <v>66.378</v>
      </c>
      <c r="H1021" s="57">
        <v>67.397000000000006</v>
      </c>
      <c r="I1021" s="57">
        <v>68.603999999999999</v>
      </c>
      <c r="J1021" s="57">
        <v>69.513999999999996</v>
      </c>
      <c r="K1021" s="57">
        <v>71.307000000000002</v>
      </c>
      <c r="L1021" s="57">
        <v>73.814999999999998</v>
      </c>
      <c r="M1021" s="57">
        <v>74.647999999999996</v>
      </c>
      <c r="N1021" s="57"/>
      <c r="O1021" s="57"/>
      <c r="P1021" s="57"/>
      <c r="Q1021" s="57"/>
      <c r="R1021" s="57"/>
      <c r="S1021" s="57"/>
      <c r="T1021" s="57"/>
    </row>
    <row r="1022" spans="1:21">
      <c r="A1022" s="55" t="s">
        <v>433</v>
      </c>
      <c r="B1022" s="55" t="s">
        <v>408</v>
      </c>
      <c r="C1022" s="57">
        <v>69.850999999999999</v>
      </c>
      <c r="D1022" s="57">
        <v>73.076999999999998</v>
      </c>
      <c r="E1022" s="57">
        <v>76.061000000000007</v>
      </c>
      <c r="F1022" s="57">
        <v>77.786000000000001</v>
      </c>
      <c r="G1022" s="57">
        <v>77.457999999999998</v>
      </c>
      <c r="H1022" s="57">
        <v>77.763999999999996</v>
      </c>
      <c r="I1022" s="57">
        <v>78.834999999999994</v>
      </c>
      <c r="J1022" s="57">
        <v>80.212000000000003</v>
      </c>
      <c r="K1022" s="57">
        <v>82.92</v>
      </c>
      <c r="L1022" s="57">
        <v>83.471999999999994</v>
      </c>
      <c r="M1022" s="57">
        <v>82.86</v>
      </c>
      <c r="N1022" s="57"/>
      <c r="O1022" s="57"/>
      <c r="P1022" s="57"/>
      <c r="Q1022" s="57"/>
      <c r="R1022" s="57"/>
      <c r="S1022" s="57"/>
      <c r="T1022" s="57"/>
    </row>
    <row r="1023" spans="1:21">
      <c r="A1023" s="55" t="s">
        <v>433</v>
      </c>
      <c r="B1023" s="55" t="s">
        <v>409</v>
      </c>
      <c r="C1023" s="57">
        <v>65.465999999999994</v>
      </c>
      <c r="D1023" s="57">
        <v>67.641999999999996</v>
      </c>
      <c r="E1023" s="57">
        <v>70.295000000000002</v>
      </c>
      <c r="F1023" s="57">
        <v>73.102999999999994</v>
      </c>
      <c r="G1023" s="57">
        <v>74.822999999999993</v>
      </c>
      <c r="H1023" s="57">
        <v>76.534999999999997</v>
      </c>
      <c r="I1023" s="57">
        <v>78.069000000000003</v>
      </c>
      <c r="J1023" s="57">
        <v>79.451999999999998</v>
      </c>
      <c r="K1023" s="57">
        <v>81.96</v>
      </c>
      <c r="L1023" s="57">
        <v>83.736999999999995</v>
      </c>
      <c r="M1023" s="57">
        <v>85.028000000000006</v>
      </c>
      <c r="N1023" s="57"/>
      <c r="O1023" s="57"/>
      <c r="P1023" s="57"/>
      <c r="Q1023" s="57"/>
      <c r="R1023" s="57"/>
      <c r="S1023" s="57"/>
      <c r="T1023" s="57"/>
      <c r="U1023" s="57"/>
    </row>
    <row r="1024" spans="1:21">
      <c r="A1024" s="55" t="s">
        <v>433</v>
      </c>
      <c r="B1024" s="55" t="s">
        <v>410</v>
      </c>
      <c r="C1024" s="57">
        <v>124.22199999999999</v>
      </c>
      <c r="D1024" s="57">
        <v>128.495</v>
      </c>
      <c r="E1024" s="57">
        <v>129.89500000000001</v>
      </c>
      <c r="F1024" s="57">
        <v>128.262</v>
      </c>
      <c r="G1024" s="57">
        <v>126.807</v>
      </c>
      <c r="H1024" s="57">
        <v>123.919</v>
      </c>
      <c r="I1024" s="57">
        <v>122.67</v>
      </c>
      <c r="J1024" s="57">
        <v>121.83499999999999</v>
      </c>
      <c r="K1024" s="57">
        <v>119.864</v>
      </c>
      <c r="L1024" s="57">
        <v>112.148</v>
      </c>
      <c r="M1024" s="57">
        <v>106.672</v>
      </c>
    </row>
    <row r="1026" spans="1:8" ht="55.5" customHeight="1">
      <c r="A1026" s="192" t="s">
        <v>434</v>
      </c>
      <c r="B1026" s="193"/>
      <c r="C1026" s="193"/>
      <c r="D1026" s="193"/>
      <c r="E1026" s="193"/>
      <c r="F1026" s="193"/>
      <c r="G1026" s="193"/>
      <c r="H1026" s="193"/>
    </row>
    <row r="1027" spans="1:8" ht="13.5" customHeight="1">
      <c r="A1027" s="61" t="s">
        <v>435</v>
      </c>
    </row>
    <row r="1028" spans="1:8" ht="53.25" customHeight="1">
      <c r="A1028" s="192" t="s">
        <v>436</v>
      </c>
      <c r="B1028" s="193"/>
      <c r="C1028" s="193"/>
      <c r="D1028" s="193"/>
      <c r="E1028" s="193"/>
      <c r="F1028" s="193"/>
      <c r="G1028" s="193"/>
      <c r="H1028" s="193"/>
    </row>
    <row r="1029" spans="1:8" ht="30" customHeight="1">
      <c r="A1029" s="194" t="s">
        <v>437</v>
      </c>
      <c r="B1029" s="193"/>
      <c r="C1029" s="193"/>
      <c r="D1029" s="193"/>
      <c r="E1029" s="193"/>
      <c r="F1029" s="193"/>
      <c r="G1029" s="193"/>
      <c r="H1029" s="193"/>
    </row>
  </sheetData>
  <mergeCells count="3">
    <mergeCell ref="A1026:H1026"/>
    <mergeCell ref="A1028:H1028"/>
    <mergeCell ref="A1029:H1029"/>
  </mergeCells>
  <printOptions gridLines="1"/>
  <pageMargins left="0.75" right="0.75" top="1" bottom="1" header="0.5" footer="0.5"/>
  <pageSetup orientation="portrait" r:id="rId1"/>
  <headerFooter alignWithMargins="0">
    <oddHeader>&amp;L&amp;Z&amp;F&amp;A</oddHeader>
    <oddFooter>&amp;L&amp;D&amp;T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1143"/>
  <sheetViews>
    <sheetView zoomScale="85" zoomScaleNormal="85" workbookViewId="0">
      <pane xSplit="2" ySplit="1" topLeftCell="C2" activePane="bottomRight" state="frozen"/>
      <selection pane="topRight"/>
      <selection pane="bottomLeft"/>
      <selection pane="bottomRight" activeCell="C2" sqref="C2"/>
    </sheetView>
  </sheetViews>
  <sheetFormatPr defaultColWidth="9.125" defaultRowHeight="12.75"/>
  <cols>
    <col min="1" max="1" width="9.125" style="55"/>
    <col min="2" max="2" width="63.75" style="55" customWidth="1"/>
    <col min="3" max="3" width="9.125" style="55" customWidth="1"/>
    <col min="4" max="14" width="9.125" style="55"/>
    <col min="15" max="15" width="9.125" style="55" customWidth="1"/>
    <col min="16" max="16" width="9.125" style="55"/>
    <col min="17" max="17" width="9.25" style="55" bestFit="1" customWidth="1"/>
    <col min="18" max="18" width="9.125" style="55"/>
    <col min="19" max="19" width="9.125" style="63"/>
    <col min="20" max="21" width="9.125" style="55"/>
    <col min="22" max="23" width="9.25" style="55" bestFit="1" customWidth="1"/>
    <col min="24" max="16384" width="9.125" style="55"/>
  </cols>
  <sheetData>
    <row r="1" spans="1:41">
      <c r="A1" s="17" t="s">
        <v>321</v>
      </c>
      <c r="B1" s="17" t="s">
        <v>322</v>
      </c>
      <c r="C1" s="17">
        <v>1997</v>
      </c>
      <c r="D1" s="62">
        <v>1998</v>
      </c>
      <c r="E1" s="62">
        <v>1999</v>
      </c>
      <c r="F1" s="62">
        <v>2000</v>
      </c>
      <c r="G1" s="62">
        <v>2001</v>
      </c>
      <c r="H1" s="17">
        <v>2002</v>
      </c>
      <c r="I1" s="17">
        <v>2003</v>
      </c>
      <c r="J1" s="17">
        <v>2004</v>
      </c>
      <c r="K1" s="17">
        <v>2005</v>
      </c>
      <c r="L1" s="17">
        <v>2006</v>
      </c>
      <c r="M1" s="17">
        <v>2007</v>
      </c>
      <c r="N1" s="62">
        <v>2008</v>
      </c>
      <c r="O1" s="17">
        <v>2009</v>
      </c>
      <c r="P1" s="17">
        <v>2010</v>
      </c>
      <c r="Q1" s="17">
        <v>2011</v>
      </c>
      <c r="R1" s="62">
        <v>2012</v>
      </c>
      <c r="S1" s="62">
        <v>2013</v>
      </c>
      <c r="T1" s="62"/>
      <c r="U1" s="17"/>
      <c r="V1" s="17"/>
      <c r="W1" s="17"/>
      <c r="X1" s="17"/>
      <c r="Y1" s="17"/>
      <c r="Z1" s="17"/>
      <c r="AA1" s="62"/>
      <c r="AB1" s="17"/>
      <c r="AD1" s="62"/>
      <c r="AE1" s="62"/>
      <c r="AF1" s="62"/>
      <c r="AG1" s="62"/>
      <c r="AH1" s="17"/>
      <c r="AI1" s="17"/>
      <c r="AJ1" s="17"/>
      <c r="AK1" s="17"/>
      <c r="AL1" s="17"/>
      <c r="AM1" s="17"/>
      <c r="AN1" s="62"/>
      <c r="AO1" s="17"/>
    </row>
    <row r="2" spans="1:41">
      <c r="A2" s="17" t="s">
        <v>323</v>
      </c>
      <c r="D2" s="63"/>
      <c r="E2" s="63"/>
      <c r="F2" s="63"/>
      <c r="M2" s="63"/>
    </row>
    <row r="3" spans="1:41">
      <c r="A3" s="55" t="s">
        <v>324</v>
      </c>
      <c r="B3" s="55" t="s">
        <v>325</v>
      </c>
      <c r="C3" s="59">
        <v>8608515</v>
      </c>
      <c r="D3" s="59">
        <v>9089168</v>
      </c>
      <c r="E3" s="59">
        <v>9660624</v>
      </c>
      <c r="F3" s="59">
        <v>10284779</v>
      </c>
      <c r="G3" s="59">
        <v>10621824</v>
      </c>
      <c r="H3" s="59">
        <v>10977514</v>
      </c>
      <c r="I3" s="59">
        <v>11510670</v>
      </c>
      <c r="J3" s="59">
        <v>12274928</v>
      </c>
      <c r="K3" s="59">
        <v>13093726</v>
      </c>
      <c r="L3" s="59">
        <v>13855888</v>
      </c>
      <c r="M3" s="59">
        <v>14477635</v>
      </c>
      <c r="N3" s="59">
        <v>14718582</v>
      </c>
      <c r="O3" s="59">
        <v>14418739</v>
      </c>
      <c r="P3" s="59">
        <v>14964372</v>
      </c>
      <c r="Q3" s="59">
        <v>15517926</v>
      </c>
      <c r="R3" s="59">
        <v>16163158</v>
      </c>
      <c r="S3" s="64">
        <v>16768053</v>
      </c>
      <c r="AC3" s="59"/>
      <c r="AD3" s="59"/>
      <c r="AE3" s="59"/>
      <c r="AF3" s="59"/>
      <c r="AG3" s="59"/>
      <c r="AH3" s="59"/>
      <c r="AI3" s="59"/>
      <c r="AJ3" s="59"/>
      <c r="AK3" s="59"/>
      <c r="AL3" s="59"/>
      <c r="AM3" s="59"/>
      <c r="AN3" s="59"/>
      <c r="AO3" s="59"/>
    </row>
    <row r="4" spans="1:41">
      <c r="A4" s="55" t="s">
        <v>324</v>
      </c>
      <c r="B4" s="65" t="s">
        <v>326</v>
      </c>
      <c r="C4" s="59">
        <v>7459395</v>
      </c>
      <c r="D4" s="59">
        <v>7894015</v>
      </c>
      <c r="E4" s="59">
        <v>8403164</v>
      </c>
      <c r="F4" s="59">
        <v>8956010</v>
      </c>
      <c r="G4" s="59">
        <v>9223548</v>
      </c>
      <c r="H4" s="59">
        <v>9499527</v>
      </c>
      <c r="I4" s="59">
        <v>9950967</v>
      </c>
      <c r="J4" s="59">
        <v>10627989</v>
      </c>
      <c r="K4" s="59">
        <v>11366297</v>
      </c>
      <c r="L4" s="59">
        <v>12045446</v>
      </c>
      <c r="M4" s="59">
        <v>12572387</v>
      </c>
      <c r="N4" s="59">
        <v>12716179</v>
      </c>
      <c r="O4" s="59">
        <v>12352979</v>
      </c>
      <c r="P4" s="59">
        <v>12826507</v>
      </c>
      <c r="Q4" s="59">
        <v>13348439</v>
      </c>
      <c r="R4" s="59">
        <v>13971970</v>
      </c>
      <c r="S4" s="64">
        <v>14556407</v>
      </c>
      <c r="AC4" s="59"/>
      <c r="AD4" s="59"/>
      <c r="AE4" s="59"/>
      <c r="AF4" s="59"/>
      <c r="AG4" s="59"/>
      <c r="AH4" s="59"/>
      <c r="AI4" s="59"/>
      <c r="AJ4" s="59"/>
      <c r="AK4" s="59"/>
      <c r="AL4" s="59"/>
      <c r="AM4" s="59"/>
      <c r="AN4" s="59"/>
      <c r="AO4" s="59"/>
    </row>
    <row r="5" spans="1:41">
      <c r="A5" s="55" t="s">
        <v>324</v>
      </c>
      <c r="B5" s="65" t="s">
        <v>327</v>
      </c>
      <c r="C5" s="59">
        <v>108796</v>
      </c>
      <c r="D5" s="59">
        <v>99940</v>
      </c>
      <c r="E5" s="59">
        <v>92808</v>
      </c>
      <c r="F5" s="59">
        <v>98517</v>
      </c>
      <c r="G5" s="59">
        <v>100027</v>
      </c>
      <c r="H5" s="59">
        <v>95800</v>
      </c>
      <c r="I5" s="59">
        <v>116075</v>
      </c>
      <c r="J5" s="59">
        <v>142695</v>
      </c>
      <c r="K5" s="59">
        <v>128571</v>
      </c>
      <c r="L5" s="59">
        <v>128345</v>
      </c>
      <c r="M5" s="59">
        <v>141999</v>
      </c>
      <c r="N5" s="59">
        <v>154525</v>
      </c>
      <c r="O5" s="59">
        <v>137655</v>
      </c>
      <c r="P5" s="59">
        <v>160217</v>
      </c>
      <c r="Q5" s="59">
        <v>197241</v>
      </c>
      <c r="R5" s="59">
        <v>195280</v>
      </c>
      <c r="S5" s="64">
        <v>226635</v>
      </c>
      <c r="AC5" s="59"/>
      <c r="AD5" s="59"/>
      <c r="AE5" s="59"/>
      <c r="AF5" s="59"/>
      <c r="AG5" s="59"/>
      <c r="AH5" s="59"/>
      <c r="AI5" s="59"/>
      <c r="AJ5" s="59"/>
      <c r="AK5" s="59"/>
      <c r="AL5" s="59"/>
      <c r="AM5" s="59"/>
      <c r="AN5" s="59"/>
      <c r="AO5" s="59"/>
    </row>
    <row r="6" spans="1:41">
      <c r="A6" s="55" t="s">
        <v>324</v>
      </c>
      <c r="B6" s="65" t="s">
        <v>328</v>
      </c>
      <c r="C6" s="59">
        <v>88136</v>
      </c>
      <c r="D6" s="59">
        <v>79030</v>
      </c>
      <c r="E6" s="59">
        <v>70934</v>
      </c>
      <c r="F6" s="59">
        <v>76044</v>
      </c>
      <c r="G6" s="59">
        <v>78094</v>
      </c>
      <c r="H6" s="59">
        <v>74033</v>
      </c>
      <c r="I6" s="59">
        <v>93102</v>
      </c>
      <c r="J6" s="59">
        <v>118908</v>
      </c>
      <c r="K6" s="59">
        <v>104514</v>
      </c>
      <c r="L6" s="59">
        <v>99352</v>
      </c>
      <c r="M6" s="59">
        <v>113533</v>
      </c>
      <c r="N6" s="66">
        <v>126345</v>
      </c>
      <c r="O6" s="59">
        <v>109800</v>
      </c>
      <c r="P6" s="59">
        <v>129725</v>
      </c>
      <c r="Q6" s="59">
        <v>166249</v>
      </c>
      <c r="R6" s="59">
        <v>161423</v>
      </c>
      <c r="S6" s="64">
        <v>192081</v>
      </c>
      <c r="AB6" s="67"/>
      <c r="AC6" s="59"/>
      <c r="AD6" s="59"/>
      <c r="AE6" s="59"/>
      <c r="AF6" s="59"/>
      <c r="AG6" s="59"/>
      <c r="AH6" s="59"/>
      <c r="AI6" s="59"/>
      <c r="AJ6" s="59"/>
      <c r="AK6" s="59"/>
      <c r="AL6" s="59"/>
      <c r="AM6" s="59"/>
      <c r="AN6" s="59"/>
      <c r="AO6" s="59"/>
    </row>
    <row r="7" spans="1:41">
      <c r="A7" s="55" t="s">
        <v>324</v>
      </c>
      <c r="B7" s="65" t="s">
        <v>329</v>
      </c>
      <c r="C7" s="59">
        <v>20660</v>
      </c>
      <c r="D7" s="59">
        <v>20910</v>
      </c>
      <c r="E7" s="59">
        <v>21874</v>
      </c>
      <c r="F7" s="59">
        <v>22473</v>
      </c>
      <c r="G7" s="59">
        <v>21933</v>
      </c>
      <c r="H7" s="59">
        <v>21767</v>
      </c>
      <c r="I7" s="59">
        <v>22973</v>
      </c>
      <c r="J7" s="59">
        <v>23787</v>
      </c>
      <c r="K7" s="59">
        <v>24057</v>
      </c>
      <c r="L7" s="59">
        <v>28993</v>
      </c>
      <c r="M7" s="59">
        <v>28466</v>
      </c>
      <c r="N7" s="66">
        <v>28180</v>
      </c>
      <c r="O7" s="59">
        <v>27855</v>
      </c>
      <c r="P7" s="59">
        <v>30492</v>
      </c>
      <c r="Q7" s="59">
        <v>30992</v>
      </c>
      <c r="R7" s="59">
        <v>33857</v>
      </c>
      <c r="S7" s="64">
        <v>34554</v>
      </c>
      <c r="AC7" s="59"/>
      <c r="AD7" s="59"/>
      <c r="AE7" s="59"/>
      <c r="AF7" s="59"/>
      <c r="AG7" s="59"/>
      <c r="AH7" s="59"/>
      <c r="AI7" s="59"/>
      <c r="AJ7" s="59"/>
      <c r="AK7" s="59"/>
      <c r="AL7" s="59"/>
      <c r="AM7" s="59"/>
      <c r="AN7" s="59"/>
      <c r="AO7" s="59"/>
    </row>
    <row r="8" spans="1:41">
      <c r="A8" s="55" t="s">
        <v>324</v>
      </c>
      <c r="B8" s="65" t="s">
        <v>330</v>
      </c>
      <c r="C8" s="59">
        <v>95144</v>
      </c>
      <c r="D8" s="59">
        <v>81363</v>
      </c>
      <c r="E8" s="59">
        <v>84261</v>
      </c>
      <c r="F8" s="59">
        <v>110473</v>
      </c>
      <c r="G8" s="59">
        <v>125162</v>
      </c>
      <c r="H8" s="59">
        <v>113411</v>
      </c>
      <c r="I8" s="59">
        <v>140083</v>
      </c>
      <c r="J8" s="59">
        <v>167561</v>
      </c>
      <c r="K8" s="59">
        <v>226646</v>
      </c>
      <c r="L8" s="59">
        <v>273405</v>
      </c>
      <c r="M8" s="59">
        <v>314018</v>
      </c>
      <c r="N8" s="59">
        <v>401457</v>
      </c>
      <c r="O8" s="59">
        <v>290349</v>
      </c>
      <c r="P8" s="59">
        <v>331720</v>
      </c>
      <c r="Q8" s="59">
        <v>398632</v>
      </c>
      <c r="R8" s="59">
        <v>406690</v>
      </c>
      <c r="S8" s="64">
        <v>439398</v>
      </c>
      <c r="AC8" s="59"/>
      <c r="AD8" s="59"/>
      <c r="AE8" s="59"/>
      <c r="AF8" s="59"/>
      <c r="AG8" s="59"/>
      <c r="AH8" s="59"/>
      <c r="AI8" s="59"/>
      <c r="AJ8" s="59"/>
      <c r="AK8" s="59"/>
      <c r="AL8" s="59"/>
      <c r="AM8" s="59"/>
      <c r="AN8" s="59"/>
      <c r="AO8" s="59"/>
    </row>
    <row r="9" spans="1:41">
      <c r="A9" s="55" t="s">
        <v>324</v>
      </c>
      <c r="B9" s="65" t="s">
        <v>331</v>
      </c>
      <c r="C9" s="59">
        <v>55158</v>
      </c>
      <c r="D9" s="59">
        <v>38820</v>
      </c>
      <c r="E9" s="59">
        <v>43874</v>
      </c>
      <c r="F9" s="59">
        <v>68221</v>
      </c>
      <c r="G9" s="59">
        <v>77197</v>
      </c>
      <c r="H9" s="59">
        <v>70516</v>
      </c>
      <c r="I9" s="59">
        <v>93601</v>
      </c>
      <c r="J9" s="59">
        <v>113403</v>
      </c>
      <c r="K9" s="59">
        <v>156230</v>
      </c>
      <c r="L9" s="59">
        <v>178223</v>
      </c>
      <c r="M9" s="59">
        <v>205288</v>
      </c>
      <c r="N9" s="66">
        <v>280516</v>
      </c>
      <c r="O9" s="59">
        <v>184601</v>
      </c>
      <c r="P9" s="59">
        <v>209323</v>
      </c>
      <c r="Q9" s="59">
        <v>252490</v>
      </c>
      <c r="R9" s="59">
        <v>260369</v>
      </c>
      <c r="S9" s="64">
        <v>291937</v>
      </c>
      <c r="AC9" s="59"/>
      <c r="AD9" s="59"/>
      <c r="AE9" s="59"/>
      <c r="AF9" s="59"/>
      <c r="AG9" s="59"/>
      <c r="AH9" s="59"/>
      <c r="AI9" s="59"/>
      <c r="AJ9" s="59"/>
      <c r="AK9" s="59"/>
      <c r="AL9" s="59"/>
      <c r="AM9" s="59"/>
      <c r="AN9" s="59"/>
      <c r="AO9" s="59"/>
    </row>
    <row r="10" spans="1:41">
      <c r="A10" s="55" t="s">
        <v>324</v>
      </c>
      <c r="B10" s="65" t="s">
        <v>332</v>
      </c>
      <c r="C10" s="59">
        <v>26485</v>
      </c>
      <c r="D10" s="59">
        <v>28948</v>
      </c>
      <c r="E10" s="59">
        <v>29292</v>
      </c>
      <c r="F10" s="59">
        <v>28454</v>
      </c>
      <c r="G10" s="59">
        <v>28082</v>
      </c>
      <c r="H10" s="59">
        <v>27595</v>
      </c>
      <c r="I10" s="59">
        <v>29518</v>
      </c>
      <c r="J10" s="59">
        <v>34135</v>
      </c>
      <c r="K10" s="59">
        <v>43496</v>
      </c>
      <c r="L10" s="59">
        <v>52394</v>
      </c>
      <c r="M10" s="59">
        <v>58462</v>
      </c>
      <c r="N10" s="66">
        <v>62971</v>
      </c>
      <c r="O10" s="59">
        <v>65757</v>
      </c>
      <c r="P10" s="59">
        <v>77327</v>
      </c>
      <c r="Q10" s="59">
        <v>88447</v>
      </c>
      <c r="R10" s="59">
        <v>80753</v>
      </c>
      <c r="S10" s="64">
        <v>78796</v>
      </c>
      <c r="AC10" s="59"/>
      <c r="AD10" s="59"/>
      <c r="AE10" s="59"/>
      <c r="AF10" s="59"/>
      <c r="AG10" s="59"/>
      <c r="AH10" s="59"/>
      <c r="AI10" s="59"/>
      <c r="AJ10" s="59"/>
      <c r="AK10" s="59"/>
      <c r="AL10" s="59"/>
      <c r="AM10" s="59"/>
      <c r="AN10" s="59"/>
      <c r="AO10" s="59"/>
    </row>
    <row r="11" spans="1:41">
      <c r="A11" s="55" t="s">
        <v>324</v>
      </c>
      <c r="B11" s="65" t="s">
        <v>333</v>
      </c>
      <c r="C11" s="59">
        <v>13501</v>
      </c>
      <c r="D11" s="59">
        <v>13595</v>
      </c>
      <c r="E11" s="59">
        <v>11094</v>
      </c>
      <c r="F11" s="59">
        <v>13798</v>
      </c>
      <c r="G11" s="59">
        <v>19883</v>
      </c>
      <c r="H11" s="59">
        <v>15300</v>
      </c>
      <c r="I11" s="59">
        <v>16964</v>
      </c>
      <c r="J11" s="59">
        <v>20023</v>
      </c>
      <c r="K11" s="59">
        <v>26921</v>
      </c>
      <c r="L11" s="59">
        <v>42788</v>
      </c>
      <c r="M11" s="59">
        <v>50268</v>
      </c>
      <c r="N11" s="66">
        <v>57970</v>
      </c>
      <c r="O11" s="59">
        <v>39991</v>
      </c>
      <c r="P11" s="59">
        <v>45070</v>
      </c>
      <c r="Q11" s="59">
        <v>57695</v>
      </c>
      <c r="R11" s="59">
        <v>65567</v>
      </c>
      <c r="S11" s="64">
        <v>68666</v>
      </c>
      <c r="AC11" s="59"/>
      <c r="AD11" s="59"/>
      <c r="AE11" s="59"/>
      <c r="AF11" s="59"/>
      <c r="AG11" s="59"/>
      <c r="AH11" s="59"/>
      <c r="AI11" s="59"/>
      <c r="AJ11" s="59"/>
      <c r="AK11" s="59"/>
      <c r="AL11" s="59"/>
      <c r="AM11" s="59"/>
      <c r="AN11" s="59"/>
      <c r="AO11" s="59"/>
    </row>
    <row r="12" spans="1:41">
      <c r="A12" s="55" t="s">
        <v>324</v>
      </c>
      <c r="B12" s="65" t="s">
        <v>334</v>
      </c>
      <c r="C12" s="59">
        <v>172141</v>
      </c>
      <c r="D12" s="59">
        <v>163873</v>
      </c>
      <c r="E12" s="59">
        <v>180057</v>
      </c>
      <c r="F12" s="59">
        <v>180166</v>
      </c>
      <c r="G12" s="59">
        <v>183974</v>
      </c>
      <c r="H12" s="59">
        <v>180137</v>
      </c>
      <c r="I12" s="59">
        <v>187079</v>
      </c>
      <c r="J12" s="59">
        <v>202685</v>
      </c>
      <c r="K12" s="59">
        <v>201352</v>
      </c>
      <c r="L12" s="59">
        <v>229998</v>
      </c>
      <c r="M12" s="59">
        <v>235074</v>
      </c>
      <c r="N12" s="59">
        <v>237514</v>
      </c>
      <c r="O12" s="59">
        <v>250785</v>
      </c>
      <c r="P12" s="59">
        <v>266986</v>
      </c>
      <c r="Q12" s="59">
        <v>272036</v>
      </c>
      <c r="R12" s="59">
        <v>264576</v>
      </c>
      <c r="S12" s="64">
        <v>276662</v>
      </c>
      <c r="AC12" s="59"/>
      <c r="AD12" s="59"/>
      <c r="AE12" s="59"/>
      <c r="AF12" s="59"/>
      <c r="AG12" s="59"/>
      <c r="AH12" s="59"/>
      <c r="AI12" s="59"/>
      <c r="AJ12" s="59"/>
      <c r="AK12" s="59"/>
      <c r="AL12" s="59"/>
      <c r="AM12" s="59"/>
      <c r="AN12" s="59"/>
      <c r="AO12" s="59"/>
    </row>
    <row r="13" spans="1:41">
      <c r="A13" s="55" t="s">
        <v>324</v>
      </c>
      <c r="B13" s="65" t="s">
        <v>335</v>
      </c>
      <c r="C13" s="59">
        <v>340697</v>
      </c>
      <c r="D13" s="59">
        <v>380461</v>
      </c>
      <c r="E13" s="59">
        <v>418395</v>
      </c>
      <c r="F13" s="59">
        <v>462338</v>
      </c>
      <c r="G13" s="59">
        <v>488008</v>
      </c>
      <c r="H13" s="59">
        <v>494856</v>
      </c>
      <c r="I13" s="59">
        <v>527133</v>
      </c>
      <c r="J13" s="59">
        <v>587529</v>
      </c>
      <c r="K13" s="59">
        <v>654105</v>
      </c>
      <c r="L13" s="59">
        <v>698228</v>
      </c>
      <c r="M13" s="59">
        <v>714988</v>
      </c>
      <c r="N13" s="59">
        <v>652984</v>
      </c>
      <c r="O13" s="59">
        <v>577295</v>
      </c>
      <c r="P13" s="59">
        <v>541617</v>
      </c>
      <c r="Q13" s="59">
        <v>546614</v>
      </c>
      <c r="R13" s="59">
        <v>586676</v>
      </c>
      <c r="S13" s="64">
        <v>619923</v>
      </c>
      <c r="AC13" s="59"/>
      <c r="AD13" s="59"/>
      <c r="AE13" s="59"/>
      <c r="AF13" s="59"/>
      <c r="AG13" s="59"/>
      <c r="AH13" s="59"/>
      <c r="AI13" s="59"/>
      <c r="AJ13" s="59"/>
      <c r="AK13" s="59"/>
      <c r="AL13" s="59"/>
      <c r="AM13" s="59"/>
      <c r="AN13" s="59"/>
      <c r="AO13" s="59"/>
    </row>
    <row r="14" spans="1:41">
      <c r="A14" s="55" t="s">
        <v>324</v>
      </c>
      <c r="B14" s="65" t="s">
        <v>336</v>
      </c>
      <c r="C14" s="59">
        <v>1390088</v>
      </c>
      <c r="D14" s="59">
        <v>1435125</v>
      </c>
      <c r="E14" s="59">
        <v>1493708</v>
      </c>
      <c r="F14" s="59">
        <v>1555335</v>
      </c>
      <c r="G14" s="59">
        <v>1478483</v>
      </c>
      <c r="H14" s="59">
        <v>1472749</v>
      </c>
      <c r="I14" s="59">
        <v>1531094</v>
      </c>
      <c r="J14" s="59">
        <v>1619158</v>
      </c>
      <c r="K14" s="59">
        <v>1704173</v>
      </c>
      <c r="L14" s="59">
        <v>1804221</v>
      </c>
      <c r="M14" s="59">
        <v>1854330</v>
      </c>
      <c r="N14" s="59">
        <v>1814120</v>
      </c>
      <c r="O14" s="59">
        <v>1726712</v>
      </c>
      <c r="P14" s="59">
        <v>1830585</v>
      </c>
      <c r="Q14" s="59">
        <v>1907311</v>
      </c>
      <c r="R14" s="59">
        <v>1994583</v>
      </c>
      <c r="S14" s="64">
        <v>2028481</v>
      </c>
      <c r="AC14" s="59"/>
      <c r="AD14" s="59"/>
      <c r="AE14" s="59"/>
      <c r="AF14" s="59"/>
      <c r="AG14" s="59"/>
      <c r="AH14" s="59"/>
      <c r="AI14" s="59"/>
      <c r="AJ14" s="59"/>
      <c r="AK14" s="59"/>
      <c r="AL14" s="59"/>
      <c r="AM14" s="59"/>
      <c r="AN14" s="59"/>
      <c r="AO14" s="59"/>
    </row>
    <row r="15" spans="1:41">
      <c r="A15" s="55" t="s">
        <v>324</v>
      </c>
      <c r="B15" s="65" t="s">
        <v>337</v>
      </c>
      <c r="C15" s="59">
        <v>827341</v>
      </c>
      <c r="D15" s="59">
        <v>852712</v>
      </c>
      <c r="E15" s="59">
        <v>876872</v>
      </c>
      <c r="F15" s="59">
        <v>926985</v>
      </c>
      <c r="G15" s="59">
        <v>835053</v>
      </c>
      <c r="H15" s="59">
        <v>834705</v>
      </c>
      <c r="I15" s="59">
        <v>865892</v>
      </c>
      <c r="J15" s="59">
        <v>908498</v>
      </c>
      <c r="K15" s="59">
        <v>959473</v>
      </c>
      <c r="L15" s="59">
        <v>1005359</v>
      </c>
      <c r="M15" s="59">
        <v>1030035</v>
      </c>
      <c r="N15" s="59">
        <v>994444</v>
      </c>
      <c r="O15" s="59">
        <v>874274</v>
      </c>
      <c r="P15" s="59">
        <v>956595</v>
      </c>
      <c r="Q15" s="59">
        <v>1003844</v>
      </c>
      <c r="R15" s="59">
        <v>1054288</v>
      </c>
      <c r="S15" s="64">
        <v>1088529</v>
      </c>
      <c r="AC15" s="59"/>
      <c r="AD15" s="59"/>
      <c r="AE15" s="59"/>
      <c r="AF15" s="59"/>
      <c r="AG15" s="59"/>
      <c r="AH15" s="59"/>
      <c r="AI15" s="59"/>
      <c r="AJ15" s="59"/>
      <c r="AK15" s="59"/>
      <c r="AL15" s="59"/>
      <c r="AM15" s="59"/>
      <c r="AN15" s="59"/>
      <c r="AO15" s="59"/>
    </row>
    <row r="16" spans="1:41">
      <c r="A16" s="55" t="s">
        <v>324</v>
      </c>
      <c r="B16" s="65" t="s">
        <v>338</v>
      </c>
      <c r="C16" s="59">
        <v>26866</v>
      </c>
      <c r="D16" s="59">
        <v>27548</v>
      </c>
      <c r="E16" s="59">
        <v>29409</v>
      </c>
      <c r="F16" s="59">
        <v>28335</v>
      </c>
      <c r="G16" s="59">
        <v>27364</v>
      </c>
      <c r="H16" s="59">
        <v>27371</v>
      </c>
      <c r="I16" s="59">
        <v>28854</v>
      </c>
      <c r="J16" s="59">
        <v>32760</v>
      </c>
      <c r="K16" s="59">
        <v>34865</v>
      </c>
      <c r="L16" s="59">
        <v>31771</v>
      </c>
      <c r="M16" s="59">
        <v>29131</v>
      </c>
      <c r="N16" s="66">
        <v>25326</v>
      </c>
      <c r="O16" s="59">
        <v>20667</v>
      </c>
      <c r="P16" s="59">
        <v>22081</v>
      </c>
      <c r="Q16" s="59">
        <v>22127</v>
      </c>
      <c r="R16" s="59">
        <v>23868</v>
      </c>
      <c r="S16" s="64">
        <v>25917</v>
      </c>
      <c r="AC16" s="59"/>
      <c r="AD16" s="59"/>
      <c r="AE16" s="59"/>
      <c r="AF16" s="59"/>
      <c r="AG16" s="59"/>
      <c r="AH16" s="59"/>
      <c r="AI16" s="59"/>
      <c r="AJ16" s="59"/>
      <c r="AK16" s="59"/>
      <c r="AL16" s="59"/>
      <c r="AM16" s="59"/>
      <c r="AN16" s="59"/>
      <c r="AO16" s="59"/>
    </row>
    <row r="17" spans="1:41">
      <c r="A17" s="55" t="s">
        <v>324</v>
      </c>
      <c r="B17" s="65" t="s">
        <v>339</v>
      </c>
      <c r="C17" s="59">
        <v>39954</v>
      </c>
      <c r="D17" s="59">
        <v>40944</v>
      </c>
      <c r="E17" s="59">
        <v>43335</v>
      </c>
      <c r="F17" s="59">
        <v>42717</v>
      </c>
      <c r="G17" s="59">
        <v>41503</v>
      </c>
      <c r="H17" s="59">
        <v>41985</v>
      </c>
      <c r="I17" s="59">
        <v>42223</v>
      </c>
      <c r="J17" s="59">
        <v>45551</v>
      </c>
      <c r="K17" s="59">
        <v>49051</v>
      </c>
      <c r="L17" s="59">
        <v>50618</v>
      </c>
      <c r="M17" s="59">
        <v>50275</v>
      </c>
      <c r="N17" s="66">
        <v>43809</v>
      </c>
      <c r="O17" s="59">
        <v>37330</v>
      </c>
      <c r="P17" s="59">
        <v>36181</v>
      </c>
      <c r="Q17" s="59">
        <v>36062</v>
      </c>
      <c r="R17" s="59">
        <v>38784</v>
      </c>
      <c r="S17" s="64">
        <v>40306</v>
      </c>
      <c r="AC17" s="59"/>
      <c r="AD17" s="59"/>
      <c r="AE17" s="59"/>
      <c r="AF17" s="59"/>
      <c r="AG17" s="59"/>
      <c r="AH17" s="59"/>
      <c r="AI17" s="59"/>
      <c r="AJ17" s="59"/>
      <c r="AK17" s="59"/>
      <c r="AL17" s="59"/>
      <c r="AM17" s="59"/>
      <c r="AN17" s="59"/>
      <c r="AO17" s="59"/>
    </row>
    <row r="18" spans="1:41">
      <c r="A18" s="55" t="s">
        <v>324</v>
      </c>
      <c r="B18" s="65" t="s">
        <v>340</v>
      </c>
      <c r="C18" s="59">
        <v>48164</v>
      </c>
      <c r="D18" s="59">
        <v>48975</v>
      </c>
      <c r="E18" s="59">
        <v>46163</v>
      </c>
      <c r="F18" s="59">
        <v>47024</v>
      </c>
      <c r="G18" s="59">
        <v>40520</v>
      </c>
      <c r="H18" s="59">
        <v>41929</v>
      </c>
      <c r="I18" s="59">
        <v>39523</v>
      </c>
      <c r="J18" s="59">
        <v>55438</v>
      </c>
      <c r="K18" s="59">
        <v>56636</v>
      </c>
      <c r="L18" s="59">
        <v>62978</v>
      </c>
      <c r="M18" s="59">
        <v>64707</v>
      </c>
      <c r="N18" s="66">
        <v>67322</v>
      </c>
      <c r="O18" s="59">
        <v>40111</v>
      </c>
      <c r="P18" s="59">
        <v>48444</v>
      </c>
      <c r="Q18" s="59">
        <v>58119</v>
      </c>
      <c r="R18" s="59">
        <v>63038</v>
      </c>
      <c r="S18" s="64">
        <v>63591</v>
      </c>
      <c r="AC18" s="59"/>
      <c r="AD18" s="59"/>
      <c r="AE18" s="59"/>
      <c r="AF18" s="59"/>
      <c r="AG18" s="59"/>
      <c r="AH18" s="59"/>
      <c r="AI18" s="59"/>
      <c r="AJ18" s="59"/>
      <c r="AK18" s="59"/>
      <c r="AL18" s="59"/>
      <c r="AM18" s="59"/>
      <c r="AN18" s="59"/>
      <c r="AO18" s="59"/>
    </row>
    <row r="19" spans="1:41">
      <c r="A19" s="55" t="s">
        <v>324</v>
      </c>
      <c r="B19" s="65" t="s">
        <v>341</v>
      </c>
      <c r="C19" s="59">
        <v>110517</v>
      </c>
      <c r="D19" s="59">
        <v>111993</v>
      </c>
      <c r="E19" s="59">
        <v>116358</v>
      </c>
      <c r="F19" s="59">
        <v>121683</v>
      </c>
      <c r="G19" s="59">
        <v>111491</v>
      </c>
      <c r="H19" s="59">
        <v>106563</v>
      </c>
      <c r="I19" s="59">
        <v>109035</v>
      </c>
      <c r="J19" s="59">
        <v>115275</v>
      </c>
      <c r="K19" s="59">
        <v>122936</v>
      </c>
      <c r="L19" s="59">
        <v>127137</v>
      </c>
      <c r="M19" s="59">
        <v>135076</v>
      </c>
      <c r="N19" s="66">
        <v>132981</v>
      </c>
      <c r="O19" s="59">
        <v>117937</v>
      </c>
      <c r="P19" s="59">
        <v>120326</v>
      </c>
      <c r="Q19" s="59">
        <v>127437</v>
      </c>
      <c r="R19" s="59">
        <v>137551</v>
      </c>
      <c r="S19" s="64">
        <v>139949</v>
      </c>
      <c r="AC19" s="59"/>
      <c r="AD19" s="59"/>
      <c r="AE19" s="59"/>
      <c r="AF19" s="59"/>
      <c r="AG19" s="59"/>
      <c r="AH19" s="59"/>
      <c r="AI19" s="59"/>
      <c r="AJ19" s="59"/>
      <c r="AK19" s="59"/>
      <c r="AL19" s="59"/>
      <c r="AM19" s="59"/>
      <c r="AN19" s="59"/>
      <c r="AO19" s="59"/>
    </row>
    <row r="20" spans="1:41">
      <c r="A20" s="55" t="s">
        <v>324</v>
      </c>
      <c r="B20" s="65" t="s">
        <v>342</v>
      </c>
      <c r="C20" s="59">
        <v>102552</v>
      </c>
      <c r="D20" s="59">
        <v>114032</v>
      </c>
      <c r="E20" s="59">
        <v>111265</v>
      </c>
      <c r="F20" s="59">
        <v>113263</v>
      </c>
      <c r="G20" s="59">
        <v>105758</v>
      </c>
      <c r="H20" s="59">
        <v>99265</v>
      </c>
      <c r="I20" s="59">
        <v>97805</v>
      </c>
      <c r="J20" s="59">
        <v>104666</v>
      </c>
      <c r="K20" s="59">
        <v>114887</v>
      </c>
      <c r="L20" s="59">
        <v>122252</v>
      </c>
      <c r="M20" s="59">
        <v>129732</v>
      </c>
      <c r="N20" s="66">
        <v>129727</v>
      </c>
      <c r="O20" s="59">
        <v>115561</v>
      </c>
      <c r="P20" s="59">
        <v>122087</v>
      </c>
      <c r="Q20" s="59">
        <v>136712</v>
      </c>
      <c r="R20" s="59">
        <v>143554</v>
      </c>
      <c r="S20" s="64">
        <v>144638</v>
      </c>
      <c r="AC20" s="59"/>
      <c r="AD20" s="59"/>
      <c r="AE20" s="59"/>
      <c r="AF20" s="59"/>
      <c r="AG20" s="59"/>
      <c r="AH20" s="59"/>
      <c r="AI20" s="59"/>
      <c r="AJ20" s="59"/>
      <c r="AK20" s="59"/>
      <c r="AL20" s="59"/>
      <c r="AM20" s="59"/>
      <c r="AN20" s="59"/>
      <c r="AO20" s="59"/>
    </row>
    <row r="21" spans="1:41">
      <c r="A21" s="55" t="s">
        <v>324</v>
      </c>
      <c r="B21" s="65" t="s">
        <v>343</v>
      </c>
      <c r="C21" s="59">
        <v>196320</v>
      </c>
      <c r="D21" s="59">
        <v>192199</v>
      </c>
      <c r="E21" s="59">
        <v>186948</v>
      </c>
      <c r="F21" s="59">
        <v>225875</v>
      </c>
      <c r="G21" s="59">
        <v>173032</v>
      </c>
      <c r="H21" s="59">
        <v>172391</v>
      </c>
      <c r="I21" s="59">
        <v>193298</v>
      </c>
      <c r="J21" s="59">
        <v>201530</v>
      </c>
      <c r="K21" s="59">
        <v>211046</v>
      </c>
      <c r="L21" s="59">
        <v>223441</v>
      </c>
      <c r="M21" s="59">
        <v>227248</v>
      </c>
      <c r="N21" s="66">
        <v>234108</v>
      </c>
      <c r="O21" s="59">
        <v>228922</v>
      </c>
      <c r="P21" s="59">
        <v>248999</v>
      </c>
      <c r="Q21" s="59">
        <v>248885</v>
      </c>
      <c r="R21" s="59">
        <v>252647</v>
      </c>
      <c r="S21" s="64">
        <v>255135</v>
      </c>
      <c r="AC21" s="59"/>
      <c r="AD21" s="59"/>
      <c r="AE21" s="59"/>
      <c r="AF21" s="59"/>
      <c r="AG21" s="59"/>
      <c r="AH21" s="59"/>
      <c r="AI21" s="59"/>
      <c r="AJ21" s="59"/>
      <c r="AK21" s="59"/>
      <c r="AL21" s="59"/>
      <c r="AM21" s="59"/>
      <c r="AN21" s="59"/>
      <c r="AO21" s="59"/>
    </row>
    <row r="22" spans="1:41">
      <c r="A22" s="55" t="s">
        <v>324</v>
      </c>
      <c r="B22" s="65" t="s">
        <v>344</v>
      </c>
      <c r="C22" s="59">
        <v>47096</v>
      </c>
      <c r="D22" s="59">
        <v>40648</v>
      </c>
      <c r="E22" s="59">
        <v>44680</v>
      </c>
      <c r="F22" s="59">
        <v>45784</v>
      </c>
      <c r="G22" s="59">
        <v>44294</v>
      </c>
      <c r="H22" s="59">
        <v>43690</v>
      </c>
      <c r="I22" s="59">
        <v>45610</v>
      </c>
      <c r="J22" s="59">
        <v>42106</v>
      </c>
      <c r="K22" s="59">
        <v>43247</v>
      </c>
      <c r="L22" s="59">
        <v>51434</v>
      </c>
      <c r="M22" s="59">
        <v>50193</v>
      </c>
      <c r="N22" s="66">
        <v>55089</v>
      </c>
      <c r="O22" s="59">
        <v>50177</v>
      </c>
      <c r="P22" s="59">
        <v>49971</v>
      </c>
      <c r="Q22" s="59">
        <v>47393</v>
      </c>
      <c r="R22" s="59">
        <v>49083</v>
      </c>
      <c r="S22" s="64">
        <v>50593</v>
      </c>
      <c r="AC22" s="59"/>
      <c r="AD22" s="59"/>
      <c r="AE22" s="59"/>
      <c r="AF22" s="59"/>
      <c r="AG22" s="59"/>
      <c r="AH22" s="59"/>
      <c r="AI22" s="59"/>
      <c r="AJ22" s="59"/>
      <c r="AK22" s="59"/>
      <c r="AL22" s="59"/>
      <c r="AM22" s="59"/>
      <c r="AN22" s="59"/>
      <c r="AO22" s="59"/>
    </row>
    <row r="23" spans="1:41">
      <c r="A23" s="55" t="s">
        <v>324</v>
      </c>
      <c r="B23" s="65" t="s">
        <v>345</v>
      </c>
      <c r="C23" s="59">
        <v>112638</v>
      </c>
      <c r="D23" s="59">
        <v>124294</v>
      </c>
      <c r="E23" s="59">
        <v>135220</v>
      </c>
      <c r="F23" s="59">
        <v>138065</v>
      </c>
      <c r="G23" s="59">
        <v>125256</v>
      </c>
      <c r="H23" s="59">
        <v>136156</v>
      </c>
      <c r="I23" s="59">
        <v>144296</v>
      </c>
      <c r="J23" s="59">
        <v>140278</v>
      </c>
      <c r="K23" s="59">
        <v>136908</v>
      </c>
      <c r="L23" s="59">
        <v>134632</v>
      </c>
      <c r="M23" s="59">
        <v>125258</v>
      </c>
      <c r="N23" s="66">
        <v>91667</v>
      </c>
      <c r="O23" s="59">
        <v>48439</v>
      </c>
      <c r="P23" s="59">
        <v>92904</v>
      </c>
      <c r="Q23" s="59">
        <v>111116</v>
      </c>
      <c r="R23" s="59">
        <v>126297</v>
      </c>
      <c r="S23" s="64">
        <v>138009</v>
      </c>
      <c r="AC23" s="59"/>
      <c r="AD23" s="59"/>
      <c r="AE23" s="59"/>
      <c r="AF23" s="59"/>
      <c r="AG23" s="59"/>
      <c r="AH23" s="59"/>
      <c r="AI23" s="59"/>
      <c r="AJ23" s="59"/>
      <c r="AK23" s="59"/>
      <c r="AL23" s="59"/>
      <c r="AM23" s="59"/>
      <c r="AN23" s="59"/>
      <c r="AO23" s="59"/>
    </row>
    <row r="24" spans="1:41">
      <c r="A24" s="55" t="s">
        <v>324</v>
      </c>
      <c r="B24" s="65" t="s">
        <v>346</v>
      </c>
      <c r="C24" s="59">
        <v>62702</v>
      </c>
      <c r="D24" s="59">
        <v>66920</v>
      </c>
      <c r="E24" s="59">
        <v>73958</v>
      </c>
      <c r="F24" s="59">
        <v>71241</v>
      </c>
      <c r="G24" s="59">
        <v>77007</v>
      </c>
      <c r="H24" s="59">
        <v>73024</v>
      </c>
      <c r="I24" s="59">
        <v>72666</v>
      </c>
      <c r="J24" s="59">
        <v>75954</v>
      </c>
      <c r="K24" s="59">
        <v>89914</v>
      </c>
      <c r="L24" s="59">
        <v>96266</v>
      </c>
      <c r="M24" s="59">
        <v>114048</v>
      </c>
      <c r="N24" s="66">
        <v>111581</v>
      </c>
      <c r="O24" s="59">
        <v>111855</v>
      </c>
      <c r="P24" s="59">
        <v>112157</v>
      </c>
      <c r="Q24" s="59">
        <v>115436</v>
      </c>
      <c r="R24" s="59">
        <v>116967</v>
      </c>
      <c r="S24" s="64">
        <v>123241</v>
      </c>
      <c r="AC24" s="59"/>
      <c r="AD24" s="59"/>
      <c r="AE24" s="59"/>
      <c r="AF24" s="59"/>
      <c r="AG24" s="59"/>
      <c r="AH24" s="59"/>
      <c r="AI24" s="59"/>
      <c r="AJ24" s="59"/>
      <c r="AK24" s="59"/>
      <c r="AL24" s="59"/>
      <c r="AM24" s="59"/>
      <c r="AN24" s="59"/>
      <c r="AO24" s="59"/>
    </row>
    <row r="25" spans="1:41">
      <c r="A25" s="55" t="s">
        <v>324</v>
      </c>
      <c r="B25" s="65" t="s">
        <v>347</v>
      </c>
      <c r="C25" s="59">
        <v>28024</v>
      </c>
      <c r="D25" s="59">
        <v>29720</v>
      </c>
      <c r="E25" s="59">
        <v>31718</v>
      </c>
      <c r="F25" s="59">
        <v>33599</v>
      </c>
      <c r="G25" s="59">
        <v>31314</v>
      </c>
      <c r="H25" s="59">
        <v>31339</v>
      </c>
      <c r="I25" s="59">
        <v>30479</v>
      </c>
      <c r="J25" s="59">
        <v>31083</v>
      </c>
      <c r="K25" s="59">
        <v>33783</v>
      </c>
      <c r="L25" s="59">
        <v>34584</v>
      </c>
      <c r="M25" s="59">
        <v>32498</v>
      </c>
      <c r="N25" s="66">
        <v>27943</v>
      </c>
      <c r="O25" s="59">
        <v>23068</v>
      </c>
      <c r="P25" s="59">
        <v>22225</v>
      </c>
      <c r="Q25" s="59">
        <v>22495</v>
      </c>
      <c r="R25" s="59">
        <v>23860</v>
      </c>
      <c r="S25" s="64">
        <v>24656</v>
      </c>
      <c r="AC25" s="59"/>
      <c r="AD25" s="59"/>
      <c r="AE25" s="59"/>
      <c r="AF25" s="59"/>
      <c r="AG25" s="59"/>
      <c r="AH25" s="59"/>
      <c r="AI25" s="59"/>
      <c r="AJ25" s="59"/>
      <c r="AK25" s="59"/>
      <c r="AL25" s="59"/>
      <c r="AM25" s="59"/>
      <c r="AN25" s="59"/>
      <c r="AO25" s="59"/>
    </row>
    <row r="26" spans="1:41">
      <c r="A26" s="55" t="s">
        <v>324</v>
      </c>
      <c r="B26" s="65" t="s">
        <v>348</v>
      </c>
      <c r="C26" s="59">
        <v>52507</v>
      </c>
      <c r="D26" s="59">
        <v>55439</v>
      </c>
      <c r="E26" s="59">
        <v>57820</v>
      </c>
      <c r="F26" s="59">
        <v>59399</v>
      </c>
      <c r="G26" s="59">
        <v>57515</v>
      </c>
      <c r="H26" s="59">
        <v>60992</v>
      </c>
      <c r="I26" s="59">
        <v>62101</v>
      </c>
      <c r="J26" s="59">
        <v>63856</v>
      </c>
      <c r="K26" s="59">
        <v>66198</v>
      </c>
      <c r="L26" s="59">
        <v>70247</v>
      </c>
      <c r="M26" s="59">
        <v>71869</v>
      </c>
      <c r="N26" s="66">
        <v>74889</v>
      </c>
      <c r="O26" s="59">
        <v>80209</v>
      </c>
      <c r="P26" s="59">
        <v>81221</v>
      </c>
      <c r="Q26" s="59">
        <v>78062</v>
      </c>
      <c r="R26" s="59">
        <v>78639</v>
      </c>
      <c r="S26" s="64">
        <v>82494</v>
      </c>
      <c r="AC26" s="59"/>
      <c r="AD26" s="59"/>
      <c r="AE26" s="59"/>
      <c r="AF26" s="59"/>
      <c r="AG26" s="59"/>
      <c r="AH26" s="59"/>
      <c r="AI26" s="59"/>
      <c r="AJ26" s="59"/>
      <c r="AK26" s="59"/>
      <c r="AL26" s="59"/>
      <c r="AM26" s="59"/>
      <c r="AN26" s="59"/>
      <c r="AO26" s="59"/>
    </row>
    <row r="27" spans="1:41">
      <c r="A27" s="55" t="s">
        <v>324</v>
      </c>
      <c r="B27" s="65" t="s">
        <v>349</v>
      </c>
      <c r="C27" s="59">
        <v>562747</v>
      </c>
      <c r="D27" s="59">
        <v>582413</v>
      </c>
      <c r="E27" s="59">
        <v>616836</v>
      </c>
      <c r="F27" s="59">
        <v>628351</v>
      </c>
      <c r="G27" s="59">
        <v>643431</v>
      </c>
      <c r="H27" s="59">
        <v>638044</v>
      </c>
      <c r="I27" s="59">
        <v>665203</v>
      </c>
      <c r="J27" s="59">
        <v>710661</v>
      </c>
      <c r="K27" s="59">
        <v>744700</v>
      </c>
      <c r="L27" s="59">
        <v>798862</v>
      </c>
      <c r="M27" s="59">
        <v>824295</v>
      </c>
      <c r="N27" s="59">
        <v>819676</v>
      </c>
      <c r="O27" s="59">
        <v>852439</v>
      </c>
      <c r="P27" s="59">
        <v>873990</v>
      </c>
      <c r="Q27" s="59">
        <v>903467</v>
      </c>
      <c r="R27" s="59">
        <v>940296</v>
      </c>
      <c r="S27" s="64">
        <v>939952</v>
      </c>
      <c r="AC27" s="59"/>
      <c r="AD27" s="59"/>
      <c r="AE27" s="59"/>
      <c r="AF27" s="59"/>
      <c r="AG27" s="59"/>
      <c r="AH27" s="59"/>
      <c r="AI27" s="59"/>
      <c r="AJ27" s="59"/>
      <c r="AK27" s="59"/>
      <c r="AL27" s="59"/>
      <c r="AM27" s="59"/>
      <c r="AN27" s="59"/>
      <c r="AO27" s="59"/>
    </row>
    <row r="28" spans="1:41">
      <c r="A28" s="55" t="s">
        <v>324</v>
      </c>
      <c r="B28" s="65" t="s">
        <v>350</v>
      </c>
      <c r="C28" s="59">
        <v>136109</v>
      </c>
      <c r="D28" s="59">
        <v>140634</v>
      </c>
      <c r="E28" s="59">
        <v>162571</v>
      </c>
      <c r="F28" s="59">
        <v>164073</v>
      </c>
      <c r="G28" s="59">
        <v>175658</v>
      </c>
      <c r="H28" s="59">
        <v>177284</v>
      </c>
      <c r="I28" s="59">
        <v>180382</v>
      </c>
      <c r="J28" s="59">
        <v>177589</v>
      </c>
      <c r="K28" s="59">
        <v>179914</v>
      </c>
      <c r="L28" s="59">
        <v>194825</v>
      </c>
      <c r="M28" s="59">
        <v>194404</v>
      </c>
      <c r="N28" s="66">
        <v>201150</v>
      </c>
      <c r="O28" s="59">
        <v>243160</v>
      </c>
      <c r="P28" s="59">
        <v>229730</v>
      </c>
      <c r="Q28" s="59">
        <v>216720</v>
      </c>
      <c r="R28" s="59">
        <v>230614</v>
      </c>
      <c r="S28" s="64">
        <v>235106</v>
      </c>
      <c r="AC28" s="59"/>
      <c r="AD28" s="59"/>
      <c r="AE28" s="59"/>
      <c r="AF28" s="59"/>
      <c r="AG28" s="59"/>
      <c r="AH28" s="59"/>
      <c r="AI28" s="59"/>
      <c r="AJ28" s="59"/>
      <c r="AK28" s="59"/>
      <c r="AL28" s="59"/>
      <c r="AM28" s="59"/>
      <c r="AN28" s="59"/>
      <c r="AO28" s="59"/>
    </row>
    <row r="29" spans="1:41">
      <c r="A29" s="55" t="s">
        <v>324</v>
      </c>
      <c r="B29" s="65" t="s">
        <v>351</v>
      </c>
      <c r="C29" s="59">
        <v>27443</v>
      </c>
      <c r="D29" s="59">
        <v>28100</v>
      </c>
      <c r="E29" s="59">
        <v>28512</v>
      </c>
      <c r="F29" s="59">
        <v>28004</v>
      </c>
      <c r="G29" s="59">
        <v>25017</v>
      </c>
      <c r="H29" s="59">
        <v>24156</v>
      </c>
      <c r="I29" s="59">
        <v>18802</v>
      </c>
      <c r="J29" s="59">
        <v>22287</v>
      </c>
      <c r="K29" s="59">
        <v>20783</v>
      </c>
      <c r="L29" s="59">
        <v>20170</v>
      </c>
      <c r="M29" s="59">
        <v>19369</v>
      </c>
      <c r="N29" s="66">
        <v>17813</v>
      </c>
      <c r="O29" s="59">
        <v>15133</v>
      </c>
      <c r="P29" s="59">
        <v>15555</v>
      </c>
      <c r="Q29" s="59">
        <v>15075</v>
      </c>
      <c r="R29" s="59">
        <v>16254</v>
      </c>
      <c r="S29" s="64">
        <v>16811</v>
      </c>
      <c r="AC29" s="59"/>
      <c r="AD29" s="59"/>
      <c r="AE29" s="59"/>
      <c r="AF29" s="59"/>
      <c r="AG29" s="59"/>
      <c r="AH29" s="59"/>
      <c r="AI29" s="59"/>
      <c r="AJ29" s="59"/>
      <c r="AK29" s="59"/>
      <c r="AL29" s="59"/>
      <c r="AM29" s="59"/>
      <c r="AN29" s="59"/>
      <c r="AO29" s="59"/>
    </row>
    <row r="30" spans="1:41">
      <c r="A30" s="55" t="s">
        <v>324</v>
      </c>
      <c r="B30" s="65" t="s">
        <v>352</v>
      </c>
      <c r="C30" s="59">
        <v>25236</v>
      </c>
      <c r="D30" s="59">
        <v>23449</v>
      </c>
      <c r="E30" s="59">
        <v>22422</v>
      </c>
      <c r="F30" s="59">
        <v>22183</v>
      </c>
      <c r="G30" s="59">
        <v>19526</v>
      </c>
      <c r="H30" s="59">
        <v>18189</v>
      </c>
      <c r="I30" s="59">
        <v>15530</v>
      </c>
      <c r="J30" s="59">
        <v>14612</v>
      </c>
      <c r="K30" s="59">
        <v>13860</v>
      </c>
      <c r="L30" s="59">
        <v>12878</v>
      </c>
      <c r="M30" s="59">
        <v>11856</v>
      </c>
      <c r="N30" s="66">
        <v>11583</v>
      </c>
      <c r="O30" s="59">
        <v>9924</v>
      </c>
      <c r="P30" s="59">
        <v>10516</v>
      </c>
      <c r="Q30" s="59">
        <v>10316</v>
      </c>
      <c r="R30" s="59">
        <v>10282</v>
      </c>
      <c r="S30" s="64">
        <v>10409</v>
      </c>
      <c r="AC30" s="59"/>
      <c r="AD30" s="59"/>
      <c r="AE30" s="59"/>
      <c r="AF30" s="59"/>
      <c r="AG30" s="59"/>
      <c r="AH30" s="59"/>
      <c r="AI30" s="59"/>
      <c r="AJ30" s="59"/>
      <c r="AK30" s="59"/>
      <c r="AL30" s="59"/>
      <c r="AM30" s="59"/>
      <c r="AN30" s="59"/>
      <c r="AO30" s="59"/>
    </row>
    <row r="31" spans="1:41">
      <c r="A31" s="55" t="s">
        <v>324</v>
      </c>
      <c r="B31" s="65" t="s">
        <v>353</v>
      </c>
      <c r="C31" s="59">
        <v>55592</v>
      </c>
      <c r="D31" s="59">
        <v>55972</v>
      </c>
      <c r="E31" s="59">
        <v>59528</v>
      </c>
      <c r="F31" s="59">
        <v>62366</v>
      </c>
      <c r="G31" s="59">
        <v>53818</v>
      </c>
      <c r="H31" s="59">
        <v>54397</v>
      </c>
      <c r="I31" s="59">
        <v>51301</v>
      </c>
      <c r="J31" s="59">
        <v>53086</v>
      </c>
      <c r="K31" s="59">
        <v>51945</v>
      </c>
      <c r="L31" s="59">
        <v>58187</v>
      </c>
      <c r="M31" s="59">
        <v>55823</v>
      </c>
      <c r="N31" s="66">
        <v>51056</v>
      </c>
      <c r="O31" s="59">
        <v>58506</v>
      </c>
      <c r="P31" s="59">
        <v>55313</v>
      </c>
      <c r="Q31" s="59">
        <v>52536</v>
      </c>
      <c r="R31" s="59">
        <v>51759</v>
      </c>
      <c r="S31" s="64">
        <v>51941</v>
      </c>
      <c r="AC31" s="59"/>
      <c r="AD31" s="59"/>
      <c r="AE31" s="59"/>
      <c r="AF31" s="59"/>
      <c r="AG31" s="59"/>
      <c r="AH31" s="59"/>
      <c r="AI31" s="59"/>
      <c r="AJ31" s="59"/>
      <c r="AK31" s="59"/>
      <c r="AL31" s="59"/>
      <c r="AM31" s="59"/>
      <c r="AN31" s="59"/>
      <c r="AO31" s="59"/>
    </row>
    <row r="32" spans="1:41">
      <c r="A32" s="55" t="s">
        <v>324</v>
      </c>
      <c r="B32" s="65" t="s">
        <v>354</v>
      </c>
      <c r="C32" s="59">
        <v>37472</v>
      </c>
      <c r="D32" s="59">
        <v>39698</v>
      </c>
      <c r="E32" s="59">
        <v>42194</v>
      </c>
      <c r="F32" s="59">
        <v>43724</v>
      </c>
      <c r="G32" s="59">
        <v>42874</v>
      </c>
      <c r="H32" s="59">
        <v>42271</v>
      </c>
      <c r="I32" s="59">
        <v>42360</v>
      </c>
      <c r="J32" s="59">
        <v>42939</v>
      </c>
      <c r="K32" s="59">
        <v>44649</v>
      </c>
      <c r="L32" s="59">
        <v>46974</v>
      </c>
      <c r="M32" s="59">
        <v>47786</v>
      </c>
      <c r="N32" s="66">
        <v>44909</v>
      </c>
      <c r="O32" s="59">
        <v>39263</v>
      </c>
      <c r="P32" s="59">
        <v>38800</v>
      </c>
      <c r="Q32" s="59">
        <v>37936</v>
      </c>
      <c r="R32" s="59">
        <v>37059</v>
      </c>
      <c r="S32" s="64">
        <v>36844</v>
      </c>
      <c r="AC32" s="59"/>
      <c r="AD32" s="59"/>
      <c r="AE32" s="59"/>
      <c r="AF32" s="59"/>
      <c r="AG32" s="59"/>
      <c r="AH32" s="59"/>
      <c r="AI32" s="59"/>
      <c r="AJ32" s="59"/>
      <c r="AK32" s="59"/>
      <c r="AL32" s="59"/>
      <c r="AM32" s="59"/>
      <c r="AN32" s="59"/>
      <c r="AO32" s="59"/>
    </row>
    <row r="33" spans="1:41">
      <c r="A33" s="55" t="s">
        <v>324</v>
      </c>
      <c r="B33" s="65" t="s">
        <v>355</v>
      </c>
      <c r="C33" s="59">
        <v>47975</v>
      </c>
      <c r="D33" s="59">
        <v>50432</v>
      </c>
      <c r="E33" s="59">
        <v>45490</v>
      </c>
      <c r="F33" s="59">
        <v>53088</v>
      </c>
      <c r="G33" s="59">
        <v>69066</v>
      </c>
      <c r="H33" s="59">
        <v>51176</v>
      </c>
      <c r="I33" s="59">
        <v>82119</v>
      </c>
      <c r="J33" s="59">
        <v>105662</v>
      </c>
      <c r="K33" s="59">
        <v>142706</v>
      </c>
      <c r="L33" s="59">
        <v>140854</v>
      </c>
      <c r="M33" s="59">
        <v>154948</v>
      </c>
      <c r="N33" s="66">
        <v>156777</v>
      </c>
      <c r="O33" s="59">
        <v>114617</v>
      </c>
      <c r="P33" s="59">
        <v>129979</v>
      </c>
      <c r="Q33" s="59">
        <v>169180</v>
      </c>
      <c r="R33" s="59">
        <v>181701</v>
      </c>
      <c r="S33" s="64">
        <v>169741</v>
      </c>
      <c r="AC33" s="59"/>
      <c r="AD33" s="59"/>
      <c r="AE33" s="59"/>
      <c r="AF33" s="59"/>
      <c r="AG33" s="59"/>
      <c r="AH33" s="59"/>
      <c r="AI33" s="59"/>
      <c r="AJ33" s="59"/>
      <c r="AK33" s="59"/>
      <c r="AL33" s="59"/>
      <c r="AM33" s="59"/>
      <c r="AN33" s="59"/>
      <c r="AO33" s="59"/>
    </row>
    <row r="34" spans="1:41">
      <c r="A34" s="55" t="s">
        <v>324</v>
      </c>
      <c r="B34" s="65" t="s">
        <v>356</v>
      </c>
      <c r="C34" s="59">
        <v>174914</v>
      </c>
      <c r="D34" s="59">
        <v>182037</v>
      </c>
      <c r="E34" s="59">
        <v>189790</v>
      </c>
      <c r="F34" s="59">
        <v>189018</v>
      </c>
      <c r="G34" s="59">
        <v>193419</v>
      </c>
      <c r="H34" s="59">
        <v>207080</v>
      </c>
      <c r="I34" s="59">
        <v>211458</v>
      </c>
      <c r="J34" s="59">
        <v>230121</v>
      </c>
      <c r="K34" s="59">
        <v>227299</v>
      </c>
      <c r="L34" s="59">
        <v>260582</v>
      </c>
      <c r="M34" s="59">
        <v>276412</v>
      </c>
      <c r="N34" s="66">
        <v>280057</v>
      </c>
      <c r="O34" s="59">
        <v>310296</v>
      </c>
      <c r="P34" s="59">
        <v>330822</v>
      </c>
      <c r="Q34" s="59">
        <v>337154</v>
      </c>
      <c r="R34" s="59">
        <v>341542</v>
      </c>
      <c r="S34" s="64">
        <v>345728</v>
      </c>
      <c r="AC34" s="59"/>
      <c r="AD34" s="59"/>
      <c r="AE34" s="59"/>
      <c r="AF34" s="59"/>
      <c r="AG34" s="59"/>
      <c r="AH34" s="59"/>
      <c r="AI34" s="59"/>
      <c r="AJ34" s="59"/>
      <c r="AK34" s="59"/>
      <c r="AL34" s="59"/>
      <c r="AM34" s="59"/>
      <c r="AN34" s="59"/>
      <c r="AO34" s="59"/>
    </row>
    <row r="35" spans="1:41">
      <c r="A35" s="55" t="s">
        <v>324</v>
      </c>
      <c r="B35" s="65" t="s">
        <v>357</v>
      </c>
      <c r="C35" s="59">
        <v>58008</v>
      </c>
      <c r="D35" s="59">
        <v>62090</v>
      </c>
      <c r="E35" s="59">
        <v>66329</v>
      </c>
      <c r="F35" s="59">
        <v>65895</v>
      </c>
      <c r="G35" s="59">
        <v>64053</v>
      </c>
      <c r="H35" s="59">
        <v>63490</v>
      </c>
      <c r="I35" s="59">
        <v>63251</v>
      </c>
      <c r="J35" s="59">
        <v>64366</v>
      </c>
      <c r="K35" s="59">
        <v>63543</v>
      </c>
      <c r="L35" s="59">
        <v>64392</v>
      </c>
      <c r="M35" s="59">
        <v>63696</v>
      </c>
      <c r="N35" s="66">
        <v>56330</v>
      </c>
      <c r="O35" s="59">
        <v>61540</v>
      </c>
      <c r="P35" s="59">
        <v>63274</v>
      </c>
      <c r="Q35" s="59">
        <v>64551</v>
      </c>
      <c r="R35" s="59">
        <v>71085</v>
      </c>
      <c r="S35" s="64">
        <v>73373</v>
      </c>
      <c r="AC35" s="59"/>
      <c r="AD35" s="59"/>
      <c r="AE35" s="59"/>
      <c r="AF35" s="59"/>
      <c r="AG35" s="59"/>
      <c r="AH35" s="59"/>
      <c r="AI35" s="59"/>
      <c r="AJ35" s="59"/>
      <c r="AK35" s="59"/>
      <c r="AL35" s="59"/>
      <c r="AM35" s="59"/>
      <c r="AN35" s="59"/>
      <c r="AO35" s="59"/>
    </row>
    <row r="36" spans="1:41">
      <c r="A36" s="55" t="s">
        <v>324</v>
      </c>
      <c r="B36" s="65" t="s">
        <v>358</v>
      </c>
      <c r="C36" s="59">
        <v>530163</v>
      </c>
      <c r="D36" s="59">
        <v>565537</v>
      </c>
      <c r="E36" s="59">
        <v>585912</v>
      </c>
      <c r="F36" s="59">
        <v>624982</v>
      </c>
      <c r="G36" s="59">
        <v>617923</v>
      </c>
      <c r="H36" s="59">
        <v>617210</v>
      </c>
      <c r="I36" s="59">
        <v>647140</v>
      </c>
      <c r="J36" s="59">
        <v>703487</v>
      </c>
      <c r="K36" s="59">
        <v>759368</v>
      </c>
      <c r="L36" s="59">
        <v>815675</v>
      </c>
      <c r="M36" s="59">
        <v>860843</v>
      </c>
      <c r="N36" s="59">
        <v>877814</v>
      </c>
      <c r="O36" s="59">
        <v>822846</v>
      </c>
      <c r="P36" s="59">
        <v>868469</v>
      </c>
      <c r="Q36" s="59">
        <v>907257</v>
      </c>
      <c r="R36" s="59">
        <v>965696</v>
      </c>
      <c r="S36" s="64">
        <v>998496</v>
      </c>
      <c r="AC36" s="59"/>
      <c r="AD36" s="59"/>
      <c r="AE36" s="59"/>
      <c r="AF36" s="59"/>
      <c r="AG36" s="59"/>
      <c r="AH36" s="59"/>
      <c r="AI36" s="59"/>
      <c r="AJ36" s="59"/>
      <c r="AK36" s="59"/>
      <c r="AL36" s="59"/>
      <c r="AM36" s="59"/>
      <c r="AN36" s="59"/>
      <c r="AO36" s="59"/>
    </row>
    <row r="37" spans="1:41">
      <c r="A37" s="55" t="s">
        <v>324</v>
      </c>
      <c r="B37" s="65" t="s">
        <v>359</v>
      </c>
      <c r="C37" s="59">
        <v>588376</v>
      </c>
      <c r="D37" s="59">
        <v>635762</v>
      </c>
      <c r="E37" s="59">
        <v>661729</v>
      </c>
      <c r="F37" s="59">
        <v>695614</v>
      </c>
      <c r="G37" s="59">
        <v>713514</v>
      </c>
      <c r="H37" s="59">
        <v>738289</v>
      </c>
      <c r="I37" s="59">
        <v>775840</v>
      </c>
      <c r="J37" s="59">
        <v>802663</v>
      </c>
      <c r="K37" s="59">
        <v>848767</v>
      </c>
      <c r="L37" s="59">
        <v>878064</v>
      </c>
      <c r="M37" s="59">
        <v>877606</v>
      </c>
      <c r="N37" s="59">
        <v>856111</v>
      </c>
      <c r="O37" s="59">
        <v>842134</v>
      </c>
      <c r="P37" s="59">
        <v>868800</v>
      </c>
      <c r="Q37" s="59">
        <v>891689</v>
      </c>
      <c r="R37" s="59">
        <v>932560</v>
      </c>
      <c r="S37" s="64">
        <v>971357</v>
      </c>
      <c r="AC37" s="59"/>
      <c r="AD37" s="59"/>
      <c r="AE37" s="59"/>
      <c r="AF37" s="59"/>
      <c r="AG37" s="59"/>
      <c r="AH37" s="59"/>
      <c r="AI37" s="59"/>
      <c r="AJ37" s="59"/>
      <c r="AK37" s="59"/>
      <c r="AL37" s="59"/>
      <c r="AM37" s="59"/>
      <c r="AN37" s="59"/>
      <c r="AO37" s="59"/>
    </row>
    <row r="38" spans="1:41">
      <c r="A38" s="55" t="s">
        <v>324</v>
      </c>
      <c r="B38" s="68" t="s">
        <v>438</v>
      </c>
      <c r="C38" s="59">
        <v>129069</v>
      </c>
      <c r="D38" s="59">
        <v>130655</v>
      </c>
      <c r="E38" s="59">
        <v>142874</v>
      </c>
      <c r="F38" s="59">
        <v>146406</v>
      </c>
      <c r="G38" s="59">
        <v>140912</v>
      </c>
      <c r="H38" s="59">
        <v>153688</v>
      </c>
      <c r="I38" s="59">
        <v>154671</v>
      </c>
      <c r="J38" s="59">
        <v>158555</v>
      </c>
      <c r="K38" s="59">
        <v>161744</v>
      </c>
      <c r="L38" s="59">
        <v>165321</v>
      </c>
      <c r="M38" s="59">
        <v>165857</v>
      </c>
      <c r="N38" s="59">
        <v>150139</v>
      </c>
      <c r="O38" s="59">
        <v>133038</v>
      </c>
      <c r="P38" s="59">
        <v>148082</v>
      </c>
      <c r="Q38" s="59">
        <v>154989</v>
      </c>
      <c r="R38" s="59">
        <v>166654</v>
      </c>
      <c r="S38" s="64">
        <v>176027</v>
      </c>
      <c r="AC38" s="59"/>
      <c r="AD38" s="59"/>
      <c r="AE38" s="59"/>
      <c r="AF38" s="59"/>
      <c r="AG38" s="59"/>
      <c r="AH38" s="59"/>
      <c r="AI38" s="59"/>
      <c r="AJ38" s="59"/>
      <c r="AK38" s="59"/>
      <c r="AL38" s="59"/>
      <c r="AM38" s="59"/>
      <c r="AN38" s="59"/>
      <c r="AO38" s="59"/>
    </row>
    <row r="39" spans="1:41">
      <c r="A39" s="55" t="s">
        <v>324</v>
      </c>
      <c r="B39" s="68" t="s">
        <v>439</v>
      </c>
      <c r="C39" s="59">
        <v>89771</v>
      </c>
      <c r="D39" s="59">
        <v>97877</v>
      </c>
      <c r="E39" s="59">
        <v>99773</v>
      </c>
      <c r="F39" s="59">
        <v>102178</v>
      </c>
      <c r="G39" s="59">
        <v>109106</v>
      </c>
      <c r="H39" s="59">
        <v>112296</v>
      </c>
      <c r="I39" s="59">
        <v>115351</v>
      </c>
      <c r="J39" s="59">
        <v>117715</v>
      </c>
      <c r="K39" s="59">
        <v>123677</v>
      </c>
      <c r="L39" s="59">
        <v>127743</v>
      </c>
      <c r="M39" s="59">
        <v>125005</v>
      </c>
      <c r="N39" s="66">
        <v>129382</v>
      </c>
      <c r="O39" s="59">
        <v>133652</v>
      </c>
      <c r="P39" s="59">
        <v>136687</v>
      </c>
      <c r="Q39" s="59">
        <v>137918</v>
      </c>
      <c r="R39" s="59">
        <v>142657</v>
      </c>
      <c r="S39" s="64">
        <v>148085</v>
      </c>
      <c r="AC39" s="59"/>
      <c r="AD39" s="59"/>
      <c r="AE39" s="59"/>
      <c r="AF39" s="59"/>
      <c r="AG39" s="59"/>
      <c r="AH39" s="59"/>
      <c r="AI39" s="59"/>
      <c r="AJ39" s="59"/>
      <c r="AK39" s="59"/>
      <c r="AL39" s="59"/>
      <c r="AM39" s="59"/>
      <c r="AN39" s="59"/>
      <c r="AO39" s="59"/>
    </row>
    <row r="40" spans="1:41">
      <c r="A40" s="55" t="s">
        <v>324</v>
      </c>
      <c r="B40" s="68" t="s">
        <v>440</v>
      </c>
      <c r="C40" s="59">
        <v>87223</v>
      </c>
      <c r="D40" s="59">
        <v>94484</v>
      </c>
      <c r="E40" s="59">
        <v>97806</v>
      </c>
      <c r="F40" s="59">
        <v>104128</v>
      </c>
      <c r="G40" s="59">
        <v>107310</v>
      </c>
      <c r="H40" s="59">
        <v>110763</v>
      </c>
      <c r="I40" s="59">
        <v>119566</v>
      </c>
      <c r="J40" s="59">
        <v>124256</v>
      </c>
      <c r="K40" s="59">
        <v>130295</v>
      </c>
      <c r="L40" s="59">
        <v>127371</v>
      </c>
      <c r="M40" s="59">
        <v>124593</v>
      </c>
      <c r="N40" s="66">
        <v>127259</v>
      </c>
      <c r="O40" s="59">
        <v>131736</v>
      </c>
      <c r="P40" s="59">
        <v>132675</v>
      </c>
      <c r="Q40" s="59">
        <v>136974</v>
      </c>
      <c r="R40" s="59">
        <v>138245</v>
      </c>
      <c r="S40" s="64">
        <v>141382</v>
      </c>
      <c r="AC40" s="59"/>
      <c r="AD40" s="59"/>
      <c r="AE40" s="59"/>
      <c r="AF40" s="59"/>
      <c r="AG40" s="59"/>
      <c r="AH40" s="59"/>
      <c r="AI40" s="59"/>
      <c r="AJ40" s="59"/>
      <c r="AK40" s="59"/>
      <c r="AL40" s="59"/>
      <c r="AM40" s="59"/>
      <c r="AN40" s="59"/>
      <c r="AO40" s="59"/>
    </row>
    <row r="41" spans="1:41">
      <c r="A41" s="55" t="s">
        <v>324</v>
      </c>
      <c r="B41" s="68" t="s">
        <v>441</v>
      </c>
      <c r="C41" s="59">
        <v>282313</v>
      </c>
      <c r="D41" s="59">
        <v>312746</v>
      </c>
      <c r="E41" s="59">
        <v>321276</v>
      </c>
      <c r="F41" s="59">
        <v>342901</v>
      </c>
      <c r="G41" s="59">
        <v>356185</v>
      </c>
      <c r="H41" s="59">
        <v>361542</v>
      </c>
      <c r="I41" s="59">
        <v>386252</v>
      </c>
      <c r="J41" s="59">
        <v>402136</v>
      </c>
      <c r="K41" s="59">
        <v>433050</v>
      </c>
      <c r="L41" s="59">
        <v>457628</v>
      </c>
      <c r="M41" s="59">
        <v>462151</v>
      </c>
      <c r="N41" s="66">
        <v>449331</v>
      </c>
      <c r="O41" s="59">
        <v>443708</v>
      </c>
      <c r="P41" s="59">
        <v>451356</v>
      </c>
      <c r="Q41" s="59">
        <v>461809</v>
      </c>
      <c r="R41" s="59">
        <v>485005</v>
      </c>
      <c r="S41" s="64">
        <v>505863</v>
      </c>
      <c r="AC41" s="59"/>
      <c r="AD41" s="59"/>
      <c r="AE41" s="59"/>
      <c r="AF41" s="59"/>
      <c r="AG41" s="59"/>
      <c r="AH41" s="59"/>
      <c r="AI41" s="59"/>
      <c r="AJ41" s="59"/>
      <c r="AK41" s="59"/>
      <c r="AL41" s="59"/>
      <c r="AM41" s="59"/>
      <c r="AN41" s="59"/>
      <c r="AO41" s="59"/>
    </row>
    <row r="42" spans="1:41">
      <c r="A42" s="55" t="s">
        <v>324</v>
      </c>
      <c r="B42" s="65" t="s">
        <v>360</v>
      </c>
      <c r="C42" s="59">
        <v>256054</v>
      </c>
      <c r="D42" s="59">
        <v>278230</v>
      </c>
      <c r="E42" s="59">
        <v>288277</v>
      </c>
      <c r="F42" s="59">
        <v>305615</v>
      </c>
      <c r="G42" s="59">
        <v>307765</v>
      </c>
      <c r="H42" s="59">
        <v>305254</v>
      </c>
      <c r="I42" s="59">
        <v>320862</v>
      </c>
      <c r="J42" s="59">
        <v>351124</v>
      </c>
      <c r="K42" s="59">
        <v>375119</v>
      </c>
      <c r="L42" s="59">
        <v>407597</v>
      </c>
      <c r="M42" s="59">
        <v>409597</v>
      </c>
      <c r="N42" s="66">
        <v>422352</v>
      </c>
      <c r="O42" s="59">
        <v>398843</v>
      </c>
      <c r="P42" s="59">
        <v>425131</v>
      </c>
      <c r="Q42" s="59">
        <v>446857</v>
      </c>
      <c r="R42" s="59">
        <v>464130</v>
      </c>
      <c r="S42" s="64">
        <v>481439</v>
      </c>
      <c r="AC42" s="59"/>
      <c r="AD42" s="59"/>
      <c r="AE42" s="59"/>
      <c r="AF42" s="59"/>
      <c r="AG42" s="59"/>
      <c r="AH42" s="59"/>
      <c r="AI42" s="59"/>
      <c r="AJ42" s="59"/>
      <c r="AK42" s="59"/>
      <c r="AL42" s="59"/>
      <c r="AM42" s="59"/>
      <c r="AN42" s="59"/>
      <c r="AO42" s="59"/>
    </row>
    <row r="43" spans="1:41">
      <c r="A43" s="55" t="s">
        <v>324</v>
      </c>
      <c r="B43" s="65" t="s">
        <v>361</v>
      </c>
      <c r="C43" s="59">
        <v>53142</v>
      </c>
      <c r="D43" s="59">
        <v>53521</v>
      </c>
      <c r="E43" s="59">
        <v>56069</v>
      </c>
      <c r="F43" s="59">
        <v>55983</v>
      </c>
      <c r="G43" s="59">
        <v>47975</v>
      </c>
      <c r="H43" s="59">
        <v>50954</v>
      </c>
      <c r="I43" s="59">
        <v>53086</v>
      </c>
      <c r="J43" s="59">
        <v>58655</v>
      </c>
      <c r="K43" s="59">
        <v>59987</v>
      </c>
      <c r="L43" s="59">
        <v>64602</v>
      </c>
      <c r="M43" s="59">
        <v>68765</v>
      </c>
      <c r="N43" s="66">
        <v>64012</v>
      </c>
      <c r="O43" s="59">
        <v>63725</v>
      </c>
      <c r="P43" s="59">
        <v>72192</v>
      </c>
      <c r="Q43" s="59">
        <v>74304</v>
      </c>
      <c r="R43" s="59">
        <v>75224</v>
      </c>
      <c r="S43" s="64">
        <v>79554</v>
      </c>
      <c r="AC43" s="59"/>
      <c r="AD43" s="59"/>
      <c r="AE43" s="59"/>
      <c r="AF43" s="59"/>
      <c r="AG43" s="59"/>
      <c r="AH43" s="59"/>
      <c r="AI43" s="59"/>
      <c r="AJ43" s="59"/>
      <c r="AK43" s="59"/>
      <c r="AL43" s="59"/>
      <c r="AM43" s="59"/>
      <c r="AN43" s="59"/>
      <c r="AO43" s="59"/>
    </row>
    <row r="44" spans="1:41">
      <c r="A44" s="55" t="s">
        <v>324</v>
      </c>
      <c r="B44" s="65" t="s">
        <v>362</v>
      </c>
      <c r="C44" s="59">
        <v>20036</v>
      </c>
      <c r="D44" s="59">
        <v>22250</v>
      </c>
      <c r="E44" s="59">
        <v>22627</v>
      </c>
      <c r="F44" s="59">
        <v>23347</v>
      </c>
      <c r="G44" s="59">
        <v>23406</v>
      </c>
      <c r="H44" s="59">
        <v>21798</v>
      </c>
      <c r="I44" s="59">
        <v>23530</v>
      </c>
      <c r="J44" s="59">
        <v>25358</v>
      </c>
      <c r="K44" s="59">
        <v>28110</v>
      </c>
      <c r="L44" s="59">
        <v>32163</v>
      </c>
      <c r="M44" s="59">
        <v>32365</v>
      </c>
      <c r="N44" s="66">
        <v>37551</v>
      </c>
      <c r="O44" s="59">
        <v>33680</v>
      </c>
      <c r="P44" s="59">
        <v>35012</v>
      </c>
      <c r="Q44" s="59">
        <v>37931</v>
      </c>
      <c r="R44" s="59">
        <v>42044</v>
      </c>
      <c r="S44" s="64">
        <v>43862</v>
      </c>
      <c r="AC44" s="59"/>
      <c r="AD44" s="59"/>
      <c r="AE44" s="59"/>
      <c r="AF44" s="59"/>
      <c r="AG44" s="59"/>
      <c r="AH44" s="59"/>
      <c r="AI44" s="59"/>
      <c r="AJ44" s="59"/>
      <c r="AK44" s="59"/>
      <c r="AL44" s="59"/>
      <c r="AM44" s="59"/>
      <c r="AN44" s="59"/>
      <c r="AO44" s="59"/>
    </row>
    <row r="45" spans="1:41">
      <c r="A45" s="55" t="s">
        <v>324</v>
      </c>
      <c r="B45" s="65" t="s">
        <v>363</v>
      </c>
      <c r="C45" s="59">
        <v>6613</v>
      </c>
      <c r="D45" s="59">
        <v>6515</v>
      </c>
      <c r="E45" s="59">
        <v>6646</v>
      </c>
      <c r="F45" s="59">
        <v>8096</v>
      </c>
      <c r="G45" s="59">
        <v>8531</v>
      </c>
      <c r="H45" s="59">
        <v>7328</v>
      </c>
      <c r="I45" s="59">
        <v>8574</v>
      </c>
      <c r="J45" s="59">
        <v>9004</v>
      </c>
      <c r="K45" s="59">
        <v>9267</v>
      </c>
      <c r="L45" s="59">
        <v>13165</v>
      </c>
      <c r="M45" s="59">
        <v>14674</v>
      </c>
      <c r="N45" s="66">
        <v>16851</v>
      </c>
      <c r="O45" s="59">
        <v>16609</v>
      </c>
      <c r="P45" s="59">
        <v>15913</v>
      </c>
      <c r="Q45" s="59">
        <v>15539</v>
      </c>
      <c r="R45" s="59">
        <v>15358</v>
      </c>
      <c r="S45" s="64">
        <v>16310</v>
      </c>
      <c r="AC45" s="59"/>
      <c r="AD45" s="59"/>
      <c r="AE45" s="59"/>
      <c r="AF45" s="59"/>
      <c r="AG45" s="59"/>
      <c r="AH45" s="59"/>
      <c r="AI45" s="59"/>
      <c r="AJ45" s="59"/>
      <c r="AK45" s="59"/>
      <c r="AL45" s="59"/>
      <c r="AM45" s="59"/>
      <c r="AN45" s="59"/>
      <c r="AO45" s="59"/>
    </row>
    <row r="46" spans="1:41">
      <c r="A46" s="55" t="s">
        <v>324</v>
      </c>
      <c r="B46" s="65" t="s">
        <v>364</v>
      </c>
      <c r="C46" s="59">
        <v>77411</v>
      </c>
      <c r="D46" s="59">
        <v>85766</v>
      </c>
      <c r="E46" s="59">
        <v>92536</v>
      </c>
      <c r="F46" s="59">
        <v>98297</v>
      </c>
      <c r="G46" s="59">
        <v>97581</v>
      </c>
      <c r="H46" s="59">
        <v>97270</v>
      </c>
      <c r="I46" s="59">
        <v>101606</v>
      </c>
      <c r="J46" s="59">
        <v>109316</v>
      </c>
      <c r="K46" s="59">
        <v>116829</v>
      </c>
      <c r="L46" s="59">
        <v>125160</v>
      </c>
      <c r="M46" s="59">
        <v>123016</v>
      </c>
      <c r="N46" s="66">
        <v>119879</v>
      </c>
      <c r="O46" s="59">
        <v>109285</v>
      </c>
      <c r="P46" s="59">
        <v>113293</v>
      </c>
      <c r="Q46" s="59">
        <v>121745</v>
      </c>
      <c r="R46" s="59">
        <v>127428</v>
      </c>
      <c r="S46" s="64">
        <v>131467</v>
      </c>
      <c r="AC46" s="59"/>
      <c r="AD46" s="59"/>
      <c r="AE46" s="59"/>
      <c r="AF46" s="59"/>
      <c r="AG46" s="59"/>
      <c r="AH46" s="59"/>
      <c r="AI46" s="59"/>
      <c r="AJ46" s="59"/>
      <c r="AK46" s="59"/>
      <c r="AL46" s="59"/>
      <c r="AM46" s="59"/>
      <c r="AN46" s="59"/>
      <c r="AO46" s="59"/>
    </row>
    <row r="47" spans="1:41">
      <c r="A47" s="55" t="s">
        <v>324</v>
      </c>
      <c r="B47" s="65" t="s">
        <v>365</v>
      </c>
      <c r="C47" s="59">
        <v>15059</v>
      </c>
      <c r="D47" s="59">
        <v>16054</v>
      </c>
      <c r="E47" s="59">
        <v>17563</v>
      </c>
      <c r="F47" s="59">
        <v>18344</v>
      </c>
      <c r="G47" s="59">
        <v>19004</v>
      </c>
      <c r="H47" s="59">
        <v>19444</v>
      </c>
      <c r="I47" s="59">
        <v>21434</v>
      </c>
      <c r="J47" s="59">
        <v>23125</v>
      </c>
      <c r="K47" s="59">
        <v>23634</v>
      </c>
      <c r="L47" s="59">
        <v>25938</v>
      </c>
      <c r="M47" s="59">
        <v>26290</v>
      </c>
      <c r="N47" s="59">
        <v>26888</v>
      </c>
      <c r="O47" s="59">
        <v>27244</v>
      </c>
      <c r="P47" s="59">
        <v>28046</v>
      </c>
      <c r="Q47" s="59">
        <v>29516</v>
      </c>
      <c r="R47" s="59">
        <v>29831</v>
      </c>
      <c r="S47" s="64">
        <v>30933</v>
      </c>
      <c r="AC47" s="59"/>
      <c r="AD47" s="59"/>
      <c r="AE47" s="59"/>
      <c r="AF47" s="59"/>
      <c r="AG47" s="59"/>
      <c r="AH47" s="59"/>
      <c r="AI47" s="59"/>
      <c r="AJ47" s="59"/>
      <c r="AK47" s="59"/>
      <c r="AL47" s="59"/>
      <c r="AM47" s="59"/>
      <c r="AN47" s="59"/>
      <c r="AO47" s="59"/>
    </row>
    <row r="48" spans="1:41">
      <c r="A48" s="55" t="s">
        <v>324</v>
      </c>
      <c r="B48" s="65" t="s">
        <v>366</v>
      </c>
      <c r="C48" s="59">
        <v>6925</v>
      </c>
      <c r="D48" s="59">
        <v>9782</v>
      </c>
      <c r="E48" s="59">
        <v>10418</v>
      </c>
      <c r="F48" s="59">
        <v>9311</v>
      </c>
      <c r="G48" s="59">
        <v>16309</v>
      </c>
      <c r="H48" s="59">
        <v>10223</v>
      </c>
      <c r="I48" s="59">
        <v>10547</v>
      </c>
      <c r="J48" s="59">
        <v>10903</v>
      </c>
      <c r="K48" s="59">
        <v>10136</v>
      </c>
      <c r="L48" s="59">
        <v>11022</v>
      </c>
      <c r="M48" s="59">
        <v>13357</v>
      </c>
      <c r="N48" s="66">
        <v>15868</v>
      </c>
      <c r="O48" s="59">
        <v>14018</v>
      </c>
      <c r="P48" s="59">
        <v>18710</v>
      </c>
      <c r="Q48" s="59">
        <v>19417</v>
      </c>
      <c r="R48" s="59">
        <v>20703</v>
      </c>
      <c r="S48" s="64">
        <v>20994</v>
      </c>
      <c r="AC48" s="59"/>
      <c r="AD48" s="59"/>
      <c r="AE48" s="59"/>
      <c r="AF48" s="59"/>
      <c r="AG48" s="59"/>
      <c r="AH48" s="59"/>
      <c r="AI48" s="59"/>
      <c r="AJ48" s="59"/>
      <c r="AK48" s="59"/>
      <c r="AL48" s="59"/>
      <c r="AM48" s="59"/>
      <c r="AN48" s="59"/>
      <c r="AO48" s="59"/>
    </row>
    <row r="49" spans="1:41">
      <c r="A49" s="55" t="s">
        <v>324</v>
      </c>
      <c r="B49" s="65" t="s">
        <v>367</v>
      </c>
      <c r="C49" s="59">
        <v>55869</v>
      </c>
      <c r="D49" s="59">
        <v>59711</v>
      </c>
      <c r="E49" s="59">
        <v>57975</v>
      </c>
      <c r="F49" s="59">
        <v>65747</v>
      </c>
      <c r="G49" s="59">
        <v>69313</v>
      </c>
      <c r="H49" s="59">
        <v>71855</v>
      </c>
      <c r="I49" s="59">
        <v>73473</v>
      </c>
      <c r="J49" s="59">
        <v>81209</v>
      </c>
      <c r="K49" s="59">
        <v>89081</v>
      </c>
      <c r="L49" s="59">
        <v>94747</v>
      </c>
      <c r="M49" s="59">
        <v>89861</v>
      </c>
      <c r="N49" s="66">
        <v>95775</v>
      </c>
      <c r="O49" s="59">
        <v>88407</v>
      </c>
      <c r="P49" s="59">
        <v>95722</v>
      </c>
      <c r="Q49" s="59">
        <v>101823</v>
      </c>
      <c r="R49" s="59">
        <v>105129</v>
      </c>
      <c r="S49" s="64">
        <v>108706</v>
      </c>
      <c r="AC49" s="59"/>
      <c r="AD49" s="59"/>
      <c r="AE49" s="59"/>
      <c r="AF49" s="59"/>
      <c r="AG49" s="59"/>
      <c r="AH49" s="59"/>
      <c r="AI49" s="59"/>
      <c r="AJ49" s="59"/>
      <c r="AK49" s="59"/>
      <c r="AL49" s="59"/>
      <c r="AM49" s="59"/>
      <c r="AN49" s="59"/>
      <c r="AO49" s="59"/>
    </row>
    <row r="50" spans="1:41">
      <c r="A50" s="55" t="s">
        <v>324</v>
      </c>
      <c r="B50" s="65" t="s">
        <v>368</v>
      </c>
      <c r="C50" s="59">
        <v>20997</v>
      </c>
      <c r="D50" s="59">
        <v>24630</v>
      </c>
      <c r="E50" s="59">
        <v>24443</v>
      </c>
      <c r="F50" s="59">
        <v>26490</v>
      </c>
      <c r="G50" s="59">
        <v>25646</v>
      </c>
      <c r="H50" s="59">
        <v>26381</v>
      </c>
      <c r="I50" s="59">
        <v>28613</v>
      </c>
      <c r="J50" s="59">
        <v>33555</v>
      </c>
      <c r="K50" s="59">
        <v>38074</v>
      </c>
      <c r="L50" s="59">
        <v>40799</v>
      </c>
      <c r="M50" s="59">
        <v>41270</v>
      </c>
      <c r="N50" s="66">
        <v>45527</v>
      </c>
      <c r="O50" s="59">
        <v>45875</v>
      </c>
      <c r="P50" s="59">
        <v>46243</v>
      </c>
      <c r="Q50" s="59">
        <v>46582</v>
      </c>
      <c r="R50" s="59">
        <v>48412</v>
      </c>
      <c r="S50" s="64">
        <v>49613</v>
      </c>
      <c r="AC50" s="59"/>
      <c r="AD50" s="59"/>
      <c r="AE50" s="59"/>
      <c r="AF50" s="59"/>
      <c r="AG50" s="59"/>
      <c r="AH50" s="59"/>
      <c r="AI50" s="59"/>
      <c r="AJ50" s="59"/>
      <c r="AK50" s="59"/>
      <c r="AL50" s="59"/>
      <c r="AM50" s="59"/>
      <c r="AN50" s="59"/>
      <c r="AO50" s="59"/>
    </row>
    <row r="51" spans="1:41">
      <c r="A51" s="55" t="s">
        <v>324</v>
      </c>
      <c r="B51" s="65" t="s">
        <v>369</v>
      </c>
      <c r="C51" s="59">
        <v>395716</v>
      </c>
      <c r="D51" s="59">
        <v>435477</v>
      </c>
      <c r="E51" s="59">
        <v>486117</v>
      </c>
      <c r="F51" s="59">
        <v>472222</v>
      </c>
      <c r="G51" s="59">
        <v>501212</v>
      </c>
      <c r="H51" s="59">
        <v>549460</v>
      </c>
      <c r="I51" s="59">
        <v>563974</v>
      </c>
      <c r="J51" s="59">
        <v>620785</v>
      </c>
      <c r="K51" s="59">
        <v>641552</v>
      </c>
      <c r="L51" s="59">
        <v>649017</v>
      </c>
      <c r="M51" s="59">
        <v>702387</v>
      </c>
      <c r="N51" s="66">
        <v>730484</v>
      </c>
      <c r="O51" s="59">
        <v>705347</v>
      </c>
      <c r="P51" s="59">
        <v>730179</v>
      </c>
      <c r="Q51" s="59">
        <v>728431</v>
      </c>
      <c r="R51" s="59">
        <v>741604</v>
      </c>
      <c r="S51" s="64">
        <v>779185</v>
      </c>
      <c r="AC51" s="59"/>
      <c r="AD51" s="59"/>
      <c r="AE51" s="59"/>
      <c r="AF51" s="59"/>
      <c r="AG51" s="59"/>
      <c r="AH51" s="59"/>
      <c r="AI51" s="59"/>
      <c r="AJ51" s="59"/>
      <c r="AK51" s="59"/>
      <c r="AL51" s="59"/>
      <c r="AM51" s="59"/>
      <c r="AN51" s="59"/>
      <c r="AO51" s="59"/>
    </row>
    <row r="52" spans="1:41">
      <c r="A52" s="55" t="s">
        <v>324</v>
      </c>
      <c r="B52" s="65" t="s">
        <v>442</v>
      </c>
      <c r="C52" s="59">
        <v>97634</v>
      </c>
      <c r="D52" s="59">
        <v>108492</v>
      </c>
      <c r="E52" s="59">
        <v>139560</v>
      </c>
      <c r="F52" s="59">
        <v>116126</v>
      </c>
      <c r="G52" s="59">
        <v>115696</v>
      </c>
      <c r="H52" s="59">
        <v>136601</v>
      </c>
      <c r="I52" s="59">
        <v>145289</v>
      </c>
      <c r="J52" s="59">
        <v>160663</v>
      </c>
      <c r="K52" s="59">
        <v>172476</v>
      </c>
      <c r="L52" s="59">
        <v>161370</v>
      </c>
      <c r="M52" s="59">
        <v>190366</v>
      </c>
      <c r="N52" s="59">
        <v>187148</v>
      </c>
      <c r="O52" s="59">
        <v>175756</v>
      </c>
      <c r="P52" s="59">
        <v>182366</v>
      </c>
      <c r="Q52" s="59">
        <v>188574</v>
      </c>
      <c r="R52" s="59">
        <v>193885</v>
      </c>
      <c r="S52" s="64">
        <v>206739</v>
      </c>
      <c r="AC52" s="59"/>
      <c r="AD52" s="59"/>
      <c r="AE52" s="59"/>
      <c r="AF52" s="59"/>
      <c r="AG52" s="59"/>
      <c r="AH52" s="59"/>
      <c r="AI52" s="59"/>
      <c r="AJ52" s="59"/>
      <c r="AK52" s="59"/>
      <c r="AL52" s="59"/>
      <c r="AM52" s="59"/>
      <c r="AN52" s="59"/>
      <c r="AO52" s="59"/>
    </row>
    <row r="53" spans="1:41">
      <c r="A53" s="55" t="s">
        <v>324</v>
      </c>
      <c r="B53" s="65" t="s">
        <v>371</v>
      </c>
      <c r="C53" s="59">
        <v>40399</v>
      </c>
      <c r="D53" s="59">
        <v>49018</v>
      </c>
      <c r="E53" s="59">
        <v>60489</v>
      </c>
      <c r="F53" s="59">
        <v>54297</v>
      </c>
      <c r="G53" s="59">
        <v>63655</v>
      </c>
      <c r="H53" s="59">
        <v>69835</v>
      </c>
      <c r="I53" s="59">
        <v>66568</v>
      </c>
      <c r="J53" s="59">
        <v>72648</v>
      </c>
      <c r="K53" s="59">
        <v>60843</v>
      </c>
      <c r="L53" s="59">
        <v>65003</v>
      </c>
      <c r="M53" s="59">
        <v>73671</v>
      </c>
      <c r="N53" s="59">
        <v>83206</v>
      </c>
      <c r="O53" s="59">
        <v>90850</v>
      </c>
      <c r="P53" s="59">
        <v>107498</v>
      </c>
      <c r="Q53" s="59">
        <v>105905</v>
      </c>
      <c r="R53" s="59">
        <v>111622</v>
      </c>
      <c r="S53" s="64">
        <v>114880</v>
      </c>
      <c r="AC53" s="59"/>
      <c r="AD53" s="59"/>
      <c r="AE53" s="59"/>
      <c r="AF53" s="59"/>
      <c r="AG53" s="59"/>
      <c r="AH53" s="59"/>
      <c r="AI53" s="59"/>
      <c r="AJ53" s="59"/>
      <c r="AK53" s="59"/>
      <c r="AL53" s="59"/>
      <c r="AM53" s="59"/>
      <c r="AN53" s="59"/>
      <c r="AO53" s="59"/>
    </row>
    <row r="54" spans="1:41">
      <c r="A54" s="55" t="s">
        <v>324</v>
      </c>
      <c r="B54" s="65" t="s">
        <v>372</v>
      </c>
      <c r="C54" s="59">
        <v>227369</v>
      </c>
      <c r="D54" s="59">
        <v>242349</v>
      </c>
      <c r="E54" s="59">
        <v>256749</v>
      </c>
      <c r="F54" s="59">
        <v>277856</v>
      </c>
      <c r="G54" s="59">
        <v>282678</v>
      </c>
      <c r="H54" s="59">
        <v>281979</v>
      </c>
      <c r="I54" s="59">
        <v>289117</v>
      </c>
      <c r="J54" s="59">
        <v>313252</v>
      </c>
      <c r="K54" s="59">
        <v>336424</v>
      </c>
      <c r="L54" s="59">
        <v>341041</v>
      </c>
      <c r="M54" s="59">
        <v>373754</v>
      </c>
      <c r="N54" s="66">
        <v>388783</v>
      </c>
      <c r="O54" s="59">
        <v>372266</v>
      </c>
      <c r="P54" s="59">
        <v>370842</v>
      </c>
      <c r="Q54" s="59">
        <v>361275</v>
      </c>
      <c r="R54" s="59">
        <v>368759</v>
      </c>
      <c r="S54" s="64">
        <v>380074</v>
      </c>
      <c r="AC54" s="59"/>
      <c r="AD54" s="59"/>
      <c r="AE54" s="59"/>
      <c r="AF54" s="59"/>
      <c r="AG54" s="59"/>
      <c r="AH54" s="59"/>
      <c r="AI54" s="59"/>
      <c r="AJ54" s="59"/>
      <c r="AK54" s="59"/>
      <c r="AL54" s="59"/>
      <c r="AM54" s="59"/>
      <c r="AN54" s="59"/>
      <c r="AO54" s="59"/>
    </row>
    <row r="55" spans="1:41">
      <c r="A55" s="55" t="s">
        <v>324</v>
      </c>
      <c r="B55" s="65" t="s">
        <v>443</v>
      </c>
      <c r="C55" s="59">
        <v>30314</v>
      </c>
      <c r="D55" s="59">
        <v>35619</v>
      </c>
      <c r="E55" s="59">
        <v>29319</v>
      </c>
      <c r="F55" s="59">
        <v>23943</v>
      </c>
      <c r="G55" s="59">
        <v>39182</v>
      </c>
      <c r="H55" s="59">
        <v>61045</v>
      </c>
      <c r="I55" s="59">
        <v>63000</v>
      </c>
      <c r="J55" s="59">
        <v>74223</v>
      </c>
      <c r="K55" s="59">
        <v>71809</v>
      </c>
      <c r="L55" s="59">
        <v>81603</v>
      </c>
      <c r="M55" s="59">
        <v>64596</v>
      </c>
      <c r="N55" s="66">
        <v>71346</v>
      </c>
      <c r="O55" s="59">
        <v>66476</v>
      </c>
      <c r="P55" s="59">
        <v>69472</v>
      </c>
      <c r="Q55" s="59">
        <v>72677</v>
      </c>
      <c r="R55" s="59">
        <v>67338</v>
      </c>
      <c r="S55" s="64">
        <v>77493</v>
      </c>
      <c r="AC55" s="59"/>
      <c r="AD55" s="59"/>
      <c r="AE55" s="59"/>
      <c r="AF55" s="59"/>
      <c r="AG55" s="59"/>
      <c r="AH55" s="59"/>
      <c r="AI55" s="59"/>
      <c r="AJ55" s="59"/>
      <c r="AK55" s="59"/>
      <c r="AL55" s="59"/>
      <c r="AM55" s="59"/>
      <c r="AN55" s="59"/>
      <c r="AO55" s="59"/>
    </row>
    <row r="56" spans="1:41">
      <c r="A56" s="55" t="s">
        <v>324</v>
      </c>
      <c r="B56" s="65" t="s">
        <v>374</v>
      </c>
      <c r="C56" s="59">
        <v>1623098</v>
      </c>
      <c r="D56" s="59">
        <v>1722982</v>
      </c>
      <c r="E56" s="59">
        <v>1852948</v>
      </c>
      <c r="F56" s="59">
        <v>1992384</v>
      </c>
      <c r="G56" s="59">
        <v>2156688</v>
      </c>
      <c r="H56" s="59">
        <v>2246377</v>
      </c>
      <c r="I56" s="59">
        <v>2331730</v>
      </c>
      <c r="J56" s="59">
        <v>2424253</v>
      </c>
      <c r="K56" s="59">
        <v>2641063</v>
      </c>
      <c r="L56" s="59">
        <v>2770707</v>
      </c>
      <c r="M56" s="59">
        <v>2877106</v>
      </c>
      <c r="N56" s="66">
        <v>2804513</v>
      </c>
      <c r="O56" s="59">
        <v>2874032</v>
      </c>
      <c r="P56" s="59">
        <v>2951552</v>
      </c>
      <c r="Q56" s="59">
        <v>3052428</v>
      </c>
      <c r="R56" s="59">
        <v>3218172</v>
      </c>
      <c r="S56" s="64">
        <v>3381737</v>
      </c>
      <c r="AC56" s="59"/>
      <c r="AD56" s="59"/>
      <c r="AE56" s="59"/>
      <c r="AF56" s="59"/>
      <c r="AG56" s="59"/>
      <c r="AH56" s="59"/>
      <c r="AI56" s="59"/>
      <c r="AJ56" s="59"/>
      <c r="AK56" s="59"/>
      <c r="AL56" s="59"/>
      <c r="AM56" s="59"/>
      <c r="AN56" s="59"/>
      <c r="AO56" s="59"/>
    </row>
    <row r="57" spans="1:41">
      <c r="A57" s="55" t="s">
        <v>324</v>
      </c>
      <c r="B57" s="65" t="s">
        <v>375</v>
      </c>
      <c r="C57" s="59">
        <v>578583</v>
      </c>
      <c r="D57" s="59">
        <v>639809</v>
      </c>
      <c r="E57" s="59">
        <v>679479</v>
      </c>
      <c r="F57" s="59">
        <v>750436</v>
      </c>
      <c r="G57" s="59">
        <v>817492</v>
      </c>
      <c r="H57" s="59">
        <v>835186</v>
      </c>
      <c r="I57" s="59">
        <v>866781</v>
      </c>
      <c r="J57" s="59">
        <v>890279</v>
      </c>
      <c r="K57" s="59">
        <v>991844</v>
      </c>
      <c r="L57" s="59">
        <v>1048838</v>
      </c>
      <c r="M57" s="59">
        <v>1040521</v>
      </c>
      <c r="N57" s="66">
        <v>907226</v>
      </c>
      <c r="O57" s="59">
        <v>969254</v>
      </c>
      <c r="P57" s="59">
        <v>1005832</v>
      </c>
      <c r="Q57" s="59">
        <v>1038026</v>
      </c>
      <c r="R57" s="59">
        <v>1125779</v>
      </c>
      <c r="S57" s="64">
        <v>1206931</v>
      </c>
      <c r="AC57" s="59"/>
      <c r="AD57" s="59"/>
      <c r="AE57" s="59"/>
      <c r="AF57" s="59"/>
      <c r="AG57" s="59"/>
      <c r="AH57" s="59"/>
      <c r="AI57" s="59"/>
      <c r="AJ57" s="59"/>
      <c r="AK57" s="59"/>
      <c r="AL57" s="59"/>
      <c r="AM57" s="59"/>
      <c r="AN57" s="59"/>
      <c r="AO57" s="59"/>
    </row>
    <row r="58" spans="1:41">
      <c r="A58" s="55" t="s">
        <v>324</v>
      </c>
      <c r="B58" s="65" t="s">
        <v>376</v>
      </c>
      <c r="C58" s="59">
        <v>234130</v>
      </c>
      <c r="D58" s="59">
        <v>269056</v>
      </c>
      <c r="E58" s="59">
        <v>308675</v>
      </c>
      <c r="F58" s="59">
        <v>328034</v>
      </c>
      <c r="G58" s="59">
        <v>354651</v>
      </c>
      <c r="H58" s="59">
        <v>401612</v>
      </c>
      <c r="I58" s="59">
        <v>419209</v>
      </c>
      <c r="J58" s="59">
        <v>390442</v>
      </c>
      <c r="K58" s="59">
        <v>426193</v>
      </c>
      <c r="L58" s="59">
        <v>436701</v>
      </c>
      <c r="M58" s="59">
        <v>420460</v>
      </c>
      <c r="N58" s="59">
        <v>417408</v>
      </c>
      <c r="O58" s="59">
        <v>399458</v>
      </c>
      <c r="P58" s="59">
        <v>410157</v>
      </c>
      <c r="Q58" s="59">
        <v>437783</v>
      </c>
      <c r="R58" s="59">
        <v>470210</v>
      </c>
      <c r="S58" s="64">
        <v>519334</v>
      </c>
      <c r="AC58" s="59"/>
      <c r="AD58" s="59"/>
      <c r="AE58" s="59"/>
      <c r="AF58" s="59"/>
      <c r="AG58" s="59"/>
      <c r="AH58" s="59"/>
      <c r="AI58" s="59"/>
      <c r="AJ58" s="59"/>
      <c r="AK58" s="59"/>
      <c r="AL58" s="59"/>
      <c r="AM58" s="59"/>
      <c r="AN58" s="59"/>
      <c r="AO58" s="59"/>
    </row>
    <row r="59" spans="1:41">
      <c r="A59" s="55" t="s">
        <v>324</v>
      </c>
      <c r="B59" s="65" t="s">
        <v>377</v>
      </c>
      <c r="C59" s="59">
        <v>120282</v>
      </c>
      <c r="D59" s="59">
        <v>119663</v>
      </c>
      <c r="E59" s="59">
        <v>118352</v>
      </c>
      <c r="F59" s="59">
        <v>131042</v>
      </c>
      <c r="G59" s="59">
        <v>183338</v>
      </c>
      <c r="H59" s="59">
        <v>163355</v>
      </c>
      <c r="I59" s="59">
        <v>145017</v>
      </c>
      <c r="J59" s="59">
        <v>156039</v>
      </c>
      <c r="K59" s="59">
        <v>195402</v>
      </c>
      <c r="L59" s="59">
        <v>223633</v>
      </c>
      <c r="M59" s="59">
        <v>200617</v>
      </c>
      <c r="N59" s="66">
        <v>119930</v>
      </c>
      <c r="O59" s="59">
        <v>186701</v>
      </c>
      <c r="P59" s="59">
        <v>199473</v>
      </c>
      <c r="Q59" s="59">
        <v>190332</v>
      </c>
      <c r="R59" s="59">
        <v>218250</v>
      </c>
      <c r="S59" s="64">
        <v>223825</v>
      </c>
      <c r="AC59" s="59"/>
      <c r="AD59" s="59"/>
      <c r="AE59" s="59"/>
      <c r="AF59" s="59"/>
      <c r="AG59" s="59"/>
      <c r="AH59" s="59"/>
      <c r="AI59" s="59"/>
      <c r="AJ59" s="59"/>
      <c r="AK59" s="59"/>
      <c r="AL59" s="59"/>
      <c r="AM59" s="59"/>
      <c r="AN59" s="59"/>
      <c r="AO59" s="59"/>
    </row>
    <row r="60" spans="1:41">
      <c r="A60" s="55" t="s">
        <v>324</v>
      </c>
      <c r="B60" s="65" t="s">
        <v>378</v>
      </c>
      <c r="C60" s="59">
        <v>216715</v>
      </c>
      <c r="D60" s="59">
        <v>237630</v>
      </c>
      <c r="E60" s="59">
        <v>235128</v>
      </c>
      <c r="F60" s="59">
        <v>275761</v>
      </c>
      <c r="G60" s="59">
        <v>262717</v>
      </c>
      <c r="H60" s="59">
        <v>251702</v>
      </c>
      <c r="I60" s="59">
        <v>280436</v>
      </c>
      <c r="J60" s="59">
        <v>320255</v>
      </c>
      <c r="K60" s="59">
        <v>343555</v>
      </c>
      <c r="L60" s="59">
        <v>363782</v>
      </c>
      <c r="M60" s="59">
        <v>392633</v>
      </c>
      <c r="N60" s="66">
        <v>339636</v>
      </c>
      <c r="O60" s="59">
        <v>357572</v>
      </c>
      <c r="P60" s="59">
        <v>365176</v>
      </c>
      <c r="Q60" s="59">
        <v>379452</v>
      </c>
      <c r="R60" s="59">
        <v>398872</v>
      </c>
      <c r="S60" s="64">
        <v>421445</v>
      </c>
      <c r="AC60" s="59"/>
      <c r="AD60" s="59"/>
      <c r="AE60" s="59"/>
      <c r="AF60" s="59"/>
      <c r="AG60" s="59"/>
      <c r="AH60" s="59"/>
      <c r="AI60" s="59"/>
      <c r="AJ60" s="59"/>
      <c r="AK60" s="59"/>
      <c r="AL60" s="59"/>
      <c r="AM60" s="59"/>
      <c r="AN60" s="59"/>
      <c r="AO60" s="59"/>
    </row>
    <row r="61" spans="1:41">
      <c r="A61" s="55" t="s">
        <v>324</v>
      </c>
      <c r="B61" s="65" t="s">
        <v>379</v>
      </c>
      <c r="C61" s="59">
        <v>7455</v>
      </c>
      <c r="D61" s="59">
        <v>13459</v>
      </c>
      <c r="E61" s="59">
        <v>17324</v>
      </c>
      <c r="F61" s="59">
        <v>15600</v>
      </c>
      <c r="G61" s="59">
        <v>16786</v>
      </c>
      <c r="H61" s="59">
        <v>18517</v>
      </c>
      <c r="I61" s="59">
        <v>22119</v>
      </c>
      <c r="J61" s="59">
        <v>23543</v>
      </c>
      <c r="K61" s="59">
        <v>26693</v>
      </c>
      <c r="L61" s="59">
        <v>24722</v>
      </c>
      <c r="M61" s="59">
        <v>26811</v>
      </c>
      <c r="N61" s="59">
        <v>30252</v>
      </c>
      <c r="O61" s="59">
        <v>25524</v>
      </c>
      <c r="P61" s="59">
        <v>31026</v>
      </c>
      <c r="Q61" s="59">
        <v>30458</v>
      </c>
      <c r="R61" s="59">
        <v>38447</v>
      </c>
      <c r="S61" s="64">
        <v>42326</v>
      </c>
      <c r="AC61" s="59"/>
      <c r="AD61" s="59"/>
      <c r="AE61" s="59"/>
      <c r="AF61" s="59"/>
      <c r="AG61" s="59"/>
      <c r="AH61" s="59"/>
      <c r="AI61" s="59"/>
      <c r="AJ61" s="59"/>
      <c r="AK61" s="59"/>
      <c r="AL61" s="59"/>
      <c r="AM61" s="59"/>
      <c r="AN61" s="59"/>
      <c r="AO61" s="59"/>
    </row>
    <row r="62" spans="1:41">
      <c r="A62" s="55" t="s">
        <v>324</v>
      </c>
      <c r="B62" s="65" t="s">
        <v>380</v>
      </c>
      <c r="C62" s="59">
        <v>1044516</v>
      </c>
      <c r="D62" s="59">
        <v>1083173</v>
      </c>
      <c r="E62" s="59">
        <v>1173468</v>
      </c>
      <c r="F62" s="59">
        <v>1241947</v>
      </c>
      <c r="G62" s="59">
        <v>1339196</v>
      </c>
      <c r="H62" s="59">
        <v>1411191</v>
      </c>
      <c r="I62" s="59">
        <v>1464949</v>
      </c>
      <c r="J62" s="59">
        <v>1533974</v>
      </c>
      <c r="K62" s="59">
        <v>1649219</v>
      </c>
      <c r="L62" s="59">
        <v>1721869</v>
      </c>
      <c r="M62" s="59">
        <v>1836585</v>
      </c>
      <c r="N62" s="59">
        <v>1897287</v>
      </c>
      <c r="O62" s="59">
        <v>1904778</v>
      </c>
      <c r="P62" s="59">
        <v>1945721</v>
      </c>
      <c r="Q62" s="59">
        <v>2014402</v>
      </c>
      <c r="R62" s="59">
        <v>2092393</v>
      </c>
      <c r="S62" s="64">
        <v>2174806</v>
      </c>
      <c r="AC62" s="59"/>
      <c r="AD62" s="59"/>
      <c r="AE62" s="59"/>
      <c r="AF62" s="59"/>
      <c r="AG62" s="59"/>
      <c r="AH62" s="59"/>
      <c r="AI62" s="59"/>
      <c r="AJ62" s="59"/>
      <c r="AK62" s="59"/>
      <c r="AL62" s="59"/>
      <c r="AM62" s="59"/>
      <c r="AN62" s="59"/>
      <c r="AO62" s="59"/>
    </row>
    <row r="63" spans="1:41">
      <c r="A63" s="55" t="s">
        <v>324</v>
      </c>
      <c r="B63" s="65" t="s">
        <v>381</v>
      </c>
      <c r="C63" s="59">
        <v>937699</v>
      </c>
      <c r="D63" s="59">
        <v>969683</v>
      </c>
      <c r="E63" s="59">
        <v>1045740</v>
      </c>
      <c r="F63" s="59">
        <v>1105440</v>
      </c>
      <c r="G63" s="59">
        <v>1189291</v>
      </c>
      <c r="H63" s="59">
        <v>1263149</v>
      </c>
      <c r="I63" s="59">
        <v>1320367</v>
      </c>
      <c r="J63" s="59">
        <v>1392758</v>
      </c>
      <c r="K63" s="59">
        <v>1503645</v>
      </c>
      <c r="L63" s="59">
        <v>1551875</v>
      </c>
      <c r="M63" s="59">
        <v>1670844</v>
      </c>
      <c r="N63" s="66">
        <v>1718954</v>
      </c>
      <c r="O63" s="59">
        <v>1740571</v>
      </c>
      <c r="P63" s="59">
        <v>1783933</v>
      </c>
      <c r="Q63" s="59">
        <v>1849196</v>
      </c>
      <c r="R63" s="59">
        <v>1914768</v>
      </c>
      <c r="S63" s="64">
        <v>1988655</v>
      </c>
      <c r="AC63" s="59"/>
      <c r="AD63" s="59"/>
      <c r="AE63" s="59"/>
      <c r="AF63" s="59"/>
      <c r="AG63" s="59"/>
      <c r="AH63" s="59"/>
      <c r="AI63" s="59"/>
      <c r="AJ63" s="59"/>
      <c r="AK63" s="59"/>
      <c r="AL63" s="59"/>
      <c r="AM63" s="59"/>
      <c r="AN63" s="59"/>
      <c r="AO63" s="59"/>
    </row>
    <row r="64" spans="1:41">
      <c r="A64" s="69" t="s">
        <v>324</v>
      </c>
      <c r="B64" s="68" t="s">
        <v>444</v>
      </c>
      <c r="C64" s="59">
        <v>778520</v>
      </c>
      <c r="D64" s="59">
        <v>820607</v>
      </c>
      <c r="E64" s="59">
        <v>875254</v>
      </c>
      <c r="F64" s="59">
        <v>930474</v>
      </c>
      <c r="G64" s="59">
        <v>996903</v>
      </c>
      <c r="H64" s="59">
        <v>1046018</v>
      </c>
      <c r="I64" s="59">
        <v>1083236</v>
      </c>
      <c r="J64" s="59">
        <v>1149157</v>
      </c>
      <c r="K64" s="59">
        <v>1228033</v>
      </c>
      <c r="L64" s="59">
        <v>1305332</v>
      </c>
      <c r="M64" s="59">
        <v>1356424</v>
      </c>
      <c r="N64" s="66">
        <v>1426918</v>
      </c>
      <c r="O64" s="59">
        <v>1464900</v>
      </c>
      <c r="P64" s="59">
        <v>1479001</v>
      </c>
      <c r="Q64" s="59">
        <v>1523172</v>
      </c>
      <c r="R64" s="59">
        <v>1562677</v>
      </c>
      <c r="S64" s="64">
        <v>1620739</v>
      </c>
      <c r="AC64" s="59"/>
      <c r="AD64" s="59"/>
      <c r="AE64" s="59"/>
      <c r="AF64" s="59"/>
      <c r="AG64" s="59"/>
      <c r="AH64" s="59"/>
      <c r="AI64" s="59"/>
      <c r="AJ64" s="59"/>
      <c r="AK64" s="59"/>
      <c r="AL64" s="59"/>
      <c r="AM64" s="59"/>
      <c r="AN64" s="59"/>
      <c r="AO64" s="59"/>
    </row>
    <row r="65" spans="1:41">
      <c r="A65" s="69" t="s">
        <v>324</v>
      </c>
      <c r="B65" s="68" t="s">
        <v>445</v>
      </c>
      <c r="C65" s="59">
        <v>159179</v>
      </c>
      <c r="D65" s="59">
        <v>149075</v>
      </c>
      <c r="E65" s="59">
        <v>170487</v>
      </c>
      <c r="F65" s="59">
        <v>174966</v>
      </c>
      <c r="G65" s="59">
        <v>192388</v>
      </c>
      <c r="H65" s="59">
        <v>217132</v>
      </c>
      <c r="I65" s="59">
        <v>237131</v>
      </c>
      <c r="J65" s="59">
        <v>243600</v>
      </c>
      <c r="K65" s="59">
        <v>275612</v>
      </c>
      <c r="L65" s="59">
        <v>246543</v>
      </c>
      <c r="M65" s="59">
        <v>314420</v>
      </c>
      <c r="N65" s="66">
        <v>292036</v>
      </c>
      <c r="O65" s="59">
        <v>275671</v>
      </c>
      <c r="P65" s="59">
        <v>304932</v>
      </c>
      <c r="Q65" s="59">
        <v>326025</v>
      </c>
      <c r="R65" s="59">
        <v>352090</v>
      </c>
      <c r="S65" s="64">
        <v>367915</v>
      </c>
      <c r="AC65" s="59"/>
      <c r="AD65" s="59"/>
      <c r="AE65" s="59"/>
      <c r="AF65" s="59"/>
      <c r="AG65" s="59"/>
      <c r="AH65" s="59"/>
      <c r="AI65" s="59"/>
      <c r="AJ65" s="59"/>
      <c r="AK65" s="59"/>
      <c r="AL65" s="59"/>
      <c r="AM65" s="59"/>
      <c r="AN65" s="59"/>
      <c r="AO65" s="59"/>
    </row>
    <row r="66" spans="1:41">
      <c r="A66" s="55" t="s">
        <v>324</v>
      </c>
      <c r="B66" s="65" t="s">
        <v>382</v>
      </c>
      <c r="C66" s="59">
        <v>106817</v>
      </c>
      <c r="D66" s="59">
        <v>113490</v>
      </c>
      <c r="E66" s="59">
        <v>127728</v>
      </c>
      <c r="F66" s="59">
        <v>136507</v>
      </c>
      <c r="G66" s="59">
        <v>149905</v>
      </c>
      <c r="H66" s="59">
        <v>148042</v>
      </c>
      <c r="I66" s="59">
        <v>144582</v>
      </c>
      <c r="J66" s="59">
        <v>141216</v>
      </c>
      <c r="K66" s="59">
        <v>145574</v>
      </c>
      <c r="L66" s="59">
        <v>169995</v>
      </c>
      <c r="M66" s="59">
        <v>165741</v>
      </c>
      <c r="N66" s="66">
        <v>178333</v>
      </c>
      <c r="O66" s="59">
        <v>164207</v>
      </c>
      <c r="P66" s="59">
        <v>161788</v>
      </c>
      <c r="Q66" s="59">
        <v>165206</v>
      </c>
      <c r="R66" s="59">
        <v>177625</v>
      </c>
      <c r="S66" s="64">
        <v>186152</v>
      </c>
      <c r="AC66" s="59"/>
      <c r="AD66" s="59"/>
      <c r="AE66" s="59"/>
      <c r="AF66" s="59"/>
      <c r="AG66" s="59"/>
      <c r="AH66" s="59"/>
      <c r="AI66" s="59"/>
      <c r="AJ66" s="59"/>
      <c r="AK66" s="59"/>
      <c r="AL66" s="59"/>
      <c r="AM66" s="59"/>
      <c r="AN66" s="59"/>
      <c r="AO66" s="59"/>
    </row>
    <row r="67" spans="1:41">
      <c r="A67" s="55" t="s">
        <v>324</v>
      </c>
      <c r="B67" s="65" t="s">
        <v>383</v>
      </c>
      <c r="C67" s="59">
        <v>845502</v>
      </c>
      <c r="D67" s="59">
        <v>919411</v>
      </c>
      <c r="E67" s="59">
        <v>1002958</v>
      </c>
      <c r="F67" s="59">
        <v>1111168</v>
      </c>
      <c r="G67" s="59">
        <v>1161460</v>
      </c>
      <c r="H67" s="59">
        <v>1195477</v>
      </c>
      <c r="I67" s="59">
        <v>1248286</v>
      </c>
      <c r="J67" s="59">
        <v>1340537</v>
      </c>
      <c r="K67" s="59">
        <v>1442711</v>
      </c>
      <c r="L67" s="59">
        <v>1541585</v>
      </c>
      <c r="M67" s="59">
        <v>1657218</v>
      </c>
      <c r="N67" s="66">
        <v>1753090</v>
      </c>
      <c r="O67" s="59">
        <v>1661133</v>
      </c>
      <c r="P67" s="59">
        <v>1729714</v>
      </c>
      <c r="Q67" s="59">
        <v>1812629</v>
      </c>
      <c r="R67" s="59">
        <v>1917440</v>
      </c>
      <c r="S67" s="64">
        <v>1981713</v>
      </c>
      <c r="AC67" s="59"/>
      <c r="AD67" s="59"/>
      <c r="AE67" s="59"/>
      <c r="AF67" s="59"/>
      <c r="AG67" s="59"/>
      <c r="AH67" s="59"/>
      <c r="AI67" s="59"/>
      <c r="AJ67" s="59"/>
      <c r="AK67" s="59"/>
      <c r="AL67" s="59"/>
      <c r="AM67" s="59"/>
      <c r="AN67" s="59"/>
      <c r="AO67" s="59"/>
    </row>
    <row r="68" spans="1:41">
      <c r="A68" s="55" t="s">
        <v>324</v>
      </c>
      <c r="B68" s="65" t="s">
        <v>384</v>
      </c>
      <c r="C68" s="59">
        <v>503273</v>
      </c>
      <c r="D68" s="59">
        <v>546844</v>
      </c>
      <c r="E68" s="59">
        <v>600152</v>
      </c>
      <c r="F68" s="59">
        <v>656024</v>
      </c>
      <c r="G68" s="59">
        <v>691557</v>
      </c>
      <c r="H68" s="59">
        <v>718163</v>
      </c>
      <c r="I68" s="59">
        <v>739508</v>
      </c>
      <c r="J68" s="59">
        <v>787405</v>
      </c>
      <c r="K68" s="59">
        <v>842818</v>
      </c>
      <c r="L68" s="59">
        <v>903735</v>
      </c>
      <c r="M68" s="59">
        <v>967317</v>
      </c>
      <c r="N68" s="59">
        <v>1053337</v>
      </c>
      <c r="O68" s="59">
        <v>1000361</v>
      </c>
      <c r="P68" s="59">
        <v>1022001</v>
      </c>
      <c r="Q68" s="59">
        <v>1074069</v>
      </c>
      <c r="R68" s="59">
        <v>1127001</v>
      </c>
      <c r="S68" s="64">
        <v>1154791</v>
      </c>
      <c r="AC68" s="59"/>
      <c r="AD68" s="59"/>
      <c r="AE68" s="59"/>
      <c r="AF68" s="59"/>
      <c r="AG68" s="59"/>
      <c r="AH68" s="59"/>
      <c r="AI68" s="59"/>
      <c r="AJ68" s="59"/>
      <c r="AK68" s="59"/>
      <c r="AL68" s="59"/>
      <c r="AM68" s="59"/>
      <c r="AN68" s="59"/>
      <c r="AO68" s="59"/>
    </row>
    <row r="69" spans="1:41">
      <c r="A69" s="55" t="s">
        <v>324</v>
      </c>
      <c r="B69" s="65" t="s">
        <v>385</v>
      </c>
      <c r="C69" s="59">
        <v>107127</v>
      </c>
      <c r="D69" s="59">
        <v>117793</v>
      </c>
      <c r="E69" s="59">
        <v>125168</v>
      </c>
      <c r="F69" s="59">
        <v>133629</v>
      </c>
      <c r="G69" s="59">
        <v>145781</v>
      </c>
      <c r="H69" s="59">
        <v>153672</v>
      </c>
      <c r="I69" s="59">
        <v>166427</v>
      </c>
      <c r="J69" s="59">
        <v>180865</v>
      </c>
      <c r="K69" s="59">
        <v>193891</v>
      </c>
      <c r="L69" s="59">
        <v>202928</v>
      </c>
      <c r="M69" s="59">
        <v>215331</v>
      </c>
      <c r="N69" s="59">
        <v>238106</v>
      </c>
      <c r="O69" s="59">
        <v>213934</v>
      </c>
      <c r="P69" s="59">
        <v>206249</v>
      </c>
      <c r="Q69" s="59">
        <v>217826</v>
      </c>
      <c r="R69" s="59">
        <v>222163</v>
      </c>
      <c r="S69" s="64">
        <v>224629</v>
      </c>
      <c r="AC69" s="59"/>
      <c r="AD69" s="59"/>
      <c r="AE69" s="59"/>
      <c r="AF69" s="59"/>
      <c r="AG69" s="59"/>
      <c r="AH69" s="59"/>
      <c r="AI69" s="59"/>
      <c r="AJ69" s="59"/>
      <c r="AK69" s="59"/>
      <c r="AL69" s="59"/>
      <c r="AM69" s="59"/>
      <c r="AN69" s="59"/>
      <c r="AO69" s="59"/>
    </row>
    <row r="70" spans="1:41">
      <c r="A70" s="55" t="s">
        <v>324</v>
      </c>
      <c r="B70" s="65" t="s">
        <v>386</v>
      </c>
      <c r="C70" s="59">
        <v>75259</v>
      </c>
      <c r="D70" s="59">
        <v>88659</v>
      </c>
      <c r="E70" s="59">
        <v>102611</v>
      </c>
      <c r="F70" s="59">
        <v>113591</v>
      </c>
      <c r="G70" s="59">
        <v>117849</v>
      </c>
      <c r="H70" s="59">
        <v>109944</v>
      </c>
      <c r="I70" s="59">
        <v>115718</v>
      </c>
      <c r="J70" s="59">
        <v>122975</v>
      </c>
      <c r="K70" s="59">
        <v>134958</v>
      </c>
      <c r="L70" s="59">
        <v>149018</v>
      </c>
      <c r="M70" s="59">
        <v>167141</v>
      </c>
      <c r="N70" s="66">
        <v>177472</v>
      </c>
      <c r="O70" s="59">
        <v>180391</v>
      </c>
      <c r="P70" s="59">
        <v>189914</v>
      </c>
      <c r="Q70" s="59">
        <v>206973</v>
      </c>
      <c r="R70" s="59">
        <v>228443</v>
      </c>
      <c r="S70" s="64">
        <v>234619</v>
      </c>
      <c r="AC70" s="59"/>
      <c r="AD70" s="59"/>
      <c r="AE70" s="59"/>
      <c r="AF70" s="59"/>
      <c r="AG70" s="59"/>
      <c r="AH70" s="59"/>
      <c r="AI70" s="59"/>
      <c r="AJ70" s="59"/>
      <c r="AK70" s="59"/>
      <c r="AL70" s="59"/>
      <c r="AM70" s="59"/>
      <c r="AN70" s="59"/>
      <c r="AO70" s="59"/>
    </row>
    <row r="71" spans="1:41">
      <c r="A71" s="55" t="s">
        <v>324</v>
      </c>
      <c r="B71" s="65" t="s">
        <v>387</v>
      </c>
      <c r="C71" s="59">
        <v>320886</v>
      </c>
      <c r="D71" s="59">
        <v>340392</v>
      </c>
      <c r="E71" s="59">
        <v>372374</v>
      </c>
      <c r="F71" s="59">
        <v>408804</v>
      </c>
      <c r="G71" s="59">
        <v>427927</v>
      </c>
      <c r="H71" s="59">
        <v>454547</v>
      </c>
      <c r="I71" s="59">
        <v>457363</v>
      </c>
      <c r="J71" s="59">
        <v>483565</v>
      </c>
      <c r="K71" s="59">
        <v>513969</v>
      </c>
      <c r="L71" s="59">
        <v>551789</v>
      </c>
      <c r="M71" s="59">
        <v>584845</v>
      </c>
      <c r="N71" s="66">
        <v>637759</v>
      </c>
      <c r="O71" s="59">
        <v>606036</v>
      </c>
      <c r="P71" s="59">
        <v>625838</v>
      </c>
      <c r="Q71" s="59">
        <v>649270</v>
      </c>
      <c r="R71" s="59">
        <v>676395</v>
      </c>
      <c r="S71" s="64">
        <v>695543</v>
      </c>
      <c r="AC71" s="59"/>
      <c r="AD71" s="59"/>
      <c r="AE71" s="59"/>
      <c r="AF71" s="59"/>
      <c r="AG71" s="59"/>
      <c r="AH71" s="59"/>
      <c r="AI71" s="59"/>
      <c r="AJ71" s="59"/>
      <c r="AK71" s="59"/>
      <c r="AL71" s="59"/>
      <c r="AM71" s="59"/>
      <c r="AN71" s="59"/>
      <c r="AO71" s="59"/>
    </row>
    <row r="72" spans="1:41">
      <c r="A72" s="55" t="s">
        <v>324</v>
      </c>
      <c r="B72" s="65" t="s">
        <v>388</v>
      </c>
      <c r="C72" s="59">
        <v>126705</v>
      </c>
      <c r="D72" s="59">
        <v>140994</v>
      </c>
      <c r="E72" s="59">
        <v>150283</v>
      </c>
      <c r="F72" s="59">
        <v>173206</v>
      </c>
      <c r="G72" s="59">
        <v>174415</v>
      </c>
      <c r="H72" s="59">
        <v>176606</v>
      </c>
      <c r="I72" s="59">
        <v>187483</v>
      </c>
      <c r="J72" s="59">
        <v>206668</v>
      </c>
      <c r="K72" s="59">
        <v>219345</v>
      </c>
      <c r="L72" s="59">
        <v>238491</v>
      </c>
      <c r="M72" s="59">
        <v>259539</v>
      </c>
      <c r="N72" s="59">
        <v>261516</v>
      </c>
      <c r="O72" s="59">
        <v>247136</v>
      </c>
      <c r="P72" s="59">
        <v>268205</v>
      </c>
      <c r="Q72" s="59">
        <v>281044</v>
      </c>
      <c r="R72" s="59">
        <v>306195</v>
      </c>
      <c r="S72" s="64">
        <v>323165</v>
      </c>
      <c r="AC72" s="59"/>
      <c r="AD72" s="59"/>
      <c r="AE72" s="59"/>
      <c r="AF72" s="59"/>
      <c r="AG72" s="59"/>
      <c r="AH72" s="59"/>
      <c r="AI72" s="59"/>
      <c r="AJ72" s="59"/>
      <c r="AK72" s="59"/>
      <c r="AL72" s="59"/>
      <c r="AM72" s="59"/>
      <c r="AN72" s="59"/>
      <c r="AO72" s="59"/>
    </row>
    <row r="73" spans="1:41">
      <c r="A73" s="55" t="s">
        <v>324</v>
      </c>
      <c r="B73" s="65" t="s">
        <v>389</v>
      </c>
      <c r="C73" s="59">
        <v>215524</v>
      </c>
      <c r="D73" s="59">
        <v>231573</v>
      </c>
      <c r="E73" s="59">
        <v>252523</v>
      </c>
      <c r="F73" s="59">
        <v>281938</v>
      </c>
      <c r="G73" s="59">
        <v>295488</v>
      </c>
      <c r="H73" s="59">
        <v>300709</v>
      </c>
      <c r="I73" s="59">
        <v>321295</v>
      </c>
      <c r="J73" s="59">
        <v>346464</v>
      </c>
      <c r="K73" s="59">
        <v>380548</v>
      </c>
      <c r="L73" s="59">
        <v>399359</v>
      </c>
      <c r="M73" s="59">
        <v>430362</v>
      </c>
      <c r="N73" s="59">
        <v>438237</v>
      </c>
      <c r="O73" s="59">
        <v>413636</v>
      </c>
      <c r="P73" s="59">
        <v>439508</v>
      </c>
      <c r="Q73" s="59">
        <v>457515</v>
      </c>
      <c r="R73" s="59">
        <v>484244</v>
      </c>
      <c r="S73" s="64">
        <v>503758</v>
      </c>
      <c r="AC73" s="59"/>
      <c r="AD73" s="59"/>
      <c r="AE73" s="59"/>
      <c r="AF73" s="59"/>
      <c r="AG73" s="59"/>
      <c r="AH73" s="59"/>
      <c r="AI73" s="59"/>
      <c r="AJ73" s="59"/>
      <c r="AK73" s="59"/>
      <c r="AL73" s="59"/>
      <c r="AM73" s="59"/>
      <c r="AN73" s="59"/>
      <c r="AO73" s="59"/>
    </row>
    <row r="74" spans="1:41">
      <c r="A74" s="55" t="s">
        <v>324</v>
      </c>
      <c r="B74" s="65" t="s">
        <v>390</v>
      </c>
      <c r="C74" s="59">
        <v>193590</v>
      </c>
      <c r="D74" s="59">
        <v>208834</v>
      </c>
      <c r="E74" s="59">
        <v>227464</v>
      </c>
      <c r="F74" s="59">
        <v>255733</v>
      </c>
      <c r="G74" s="59">
        <v>266703</v>
      </c>
      <c r="H74" s="59">
        <v>269969</v>
      </c>
      <c r="I74" s="59">
        <v>288625</v>
      </c>
      <c r="J74" s="59">
        <v>314078</v>
      </c>
      <c r="K74" s="59">
        <v>346586</v>
      </c>
      <c r="L74" s="59">
        <v>367414</v>
      </c>
      <c r="M74" s="59">
        <v>394722</v>
      </c>
      <c r="N74" s="59">
        <v>401950</v>
      </c>
      <c r="O74" s="59">
        <v>376448</v>
      </c>
      <c r="P74" s="59">
        <v>393992</v>
      </c>
      <c r="Q74" s="59">
        <v>417753</v>
      </c>
      <c r="R74" s="59">
        <v>442793</v>
      </c>
      <c r="S74" s="64">
        <v>460940</v>
      </c>
      <c r="AC74" s="59"/>
      <c r="AD74" s="59"/>
      <c r="AE74" s="59"/>
      <c r="AF74" s="59"/>
      <c r="AG74" s="59"/>
      <c r="AH74" s="59"/>
      <c r="AI74" s="59"/>
      <c r="AJ74" s="59"/>
      <c r="AK74" s="59"/>
      <c r="AL74" s="59"/>
      <c r="AM74" s="59"/>
      <c r="AN74" s="59"/>
      <c r="AO74" s="59"/>
    </row>
    <row r="75" spans="1:41">
      <c r="A75" s="55" t="s">
        <v>324</v>
      </c>
      <c r="B75" s="65" t="s">
        <v>391</v>
      </c>
      <c r="C75" s="59">
        <v>21935</v>
      </c>
      <c r="D75" s="59">
        <v>22738</v>
      </c>
      <c r="E75" s="59">
        <v>25058</v>
      </c>
      <c r="F75" s="59">
        <v>26205</v>
      </c>
      <c r="G75" s="59">
        <v>28785</v>
      </c>
      <c r="H75" s="59">
        <v>30740</v>
      </c>
      <c r="I75" s="59">
        <v>32670</v>
      </c>
      <c r="J75" s="59">
        <v>32385</v>
      </c>
      <c r="K75" s="59">
        <v>33963</v>
      </c>
      <c r="L75" s="59">
        <v>31945</v>
      </c>
      <c r="M75" s="59">
        <v>35641</v>
      </c>
      <c r="N75" s="66">
        <v>36287</v>
      </c>
      <c r="O75" s="59">
        <v>37187</v>
      </c>
      <c r="P75" s="59">
        <v>45516</v>
      </c>
      <c r="Q75" s="59">
        <v>39762</v>
      </c>
      <c r="R75" s="59">
        <v>41451</v>
      </c>
      <c r="S75" s="64">
        <v>42818</v>
      </c>
      <c r="AC75" s="59"/>
      <c r="AD75" s="59"/>
      <c r="AE75" s="59"/>
      <c r="AF75" s="59"/>
      <c r="AG75" s="59"/>
      <c r="AH75" s="59"/>
      <c r="AI75" s="59"/>
      <c r="AJ75" s="59"/>
      <c r="AK75" s="59"/>
      <c r="AL75" s="59"/>
      <c r="AM75" s="59"/>
      <c r="AN75" s="59"/>
      <c r="AO75" s="59"/>
    </row>
    <row r="76" spans="1:41">
      <c r="A76" s="55" t="s">
        <v>324</v>
      </c>
      <c r="B76" s="65" t="s">
        <v>392</v>
      </c>
      <c r="C76" s="59">
        <v>581189</v>
      </c>
      <c r="D76" s="59">
        <v>605718</v>
      </c>
      <c r="E76" s="59">
        <v>641757</v>
      </c>
      <c r="F76" s="59">
        <v>681448</v>
      </c>
      <c r="G76" s="59">
        <v>733629</v>
      </c>
      <c r="H76" s="59">
        <v>791366</v>
      </c>
      <c r="I76" s="59">
        <v>844545</v>
      </c>
      <c r="J76" s="59">
        <v>905587</v>
      </c>
      <c r="K76" s="59">
        <v>949879</v>
      </c>
      <c r="L76" s="59">
        <v>1012912</v>
      </c>
      <c r="M76" s="59">
        <v>1064588</v>
      </c>
      <c r="N76" s="66">
        <v>1145309</v>
      </c>
      <c r="O76" s="59">
        <v>1214033</v>
      </c>
      <c r="P76" s="59">
        <v>1248460</v>
      </c>
      <c r="Q76" s="59">
        <v>1287042</v>
      </c>
      <c r="R76" s="59">
        <v>1333546</v>
      </c>
      <c r="S76" s="64">
        <v>1380352</v>
      </c>
      <c r="AC76" s="59"/>
      <c r="AD76" s="59"/>
      <c r="AE76" s="59"/>
      <c r="AF76" s="59"/>
      <c r="AG76" s="59"/>
      <c r="AH76" s="59"/>
      <c r="AI76" s="59"/>
      <c r="AJ76" s="59"/>
      <c r="AK76" s="59"/>
      <c r="AL76" s="59"/>
      <c r="AM76" s="59"/>
      <c r="AN76" s="59"/>
      <c r="AO76" s="59"/>
    </row>
    <row r="77" spans="1:41">
      <c r="A77" s="55" t="s">
        <v>324</v>
      </c>
      <c r="B77" s="65" t="s">
        <v>393</v>
      </c>
      <c r="C77" s="59">
        <v>71750</v>
      </c>
      <c r="D77" s="59">
        <v>74486</v>
      </c>
      <c r="E77" s="59">
        <v>80386</v>
      </c>
      <c r="F77" s="59">
        <v>86067</v>
      </c>
      <c r="G77" s="59">
        <v>91658</v>
      </c>
      <c r="H77" s="59">
        <v>98623</v>
      </c>
      <c r="I77" s="59">
        <v>106519</v>
      </c>
      <c r="J77" s="59">
        <v>116747</v>
      </c>
      <c r="K77" s="59">
        <v>121000</v>
      </c>
      <c r="L77" s="59">
        <v>129910</v>
      </c>
      <c r="M77" s="59">
        <v>138670</v>
      </c>
      <c r="N77" s="66">
        <v>149285</v>
      </c>
      <c r="O77" s="59">
        <v>162991</v>
      </c>
      <c r="P77" s="59">
        <v>169271</v>
      </c>
      <c r="Q77" s="59">
        <v>175464</v>
      </c>
      <c r="R77" s="59">
        <v>181249</v>
      </c>
      <c r="S77" s="64">
        <v>184567</v>
      </c>
      <c r="AC77" s="59"/>
      <c r="AD77" s="59"/>
      <c r="AE77" s="59"/>
      <c r="AF77" s="59"/>
      <c r="AG77" s="59"/>
      <c r="AH77" s="59"/>
      <c r="AI77" s="59"/>
      <c r="AJ77" s="59"/>
      <c r="AK77" s="59"/>
      <c r="AL77" s="59"/>
      <c r="AM77" s="59"/>
      <c r="AN77" s="59"/>
      <c r="AO77" s="59"/>
    </row>
    <row r="78" spans="1:41">
      <c r="A78" s="55" t="s">
        <v>324</v>
      </c>
      <c r="B78" s="65" t="s">
        <v>394</v>
      </c>
      <c r="C78" s="59">
        <v>509439</v>
      </c>
      <c r="D78" s="59">
        <v>531232</v>
      </c>
      <c r="E78" s="59">
        <v>561372</v>
      </c>
      <c r="F78" s="59">
        <v>595381</v>
      </c>
      <c r="G78" s="59">
        <v>641971</v>
      </c>
      <c r="H78" s="59">
        <v>692744</v>
      </c>
      <c r="I78" s="59">
        <v>738026</v>
      </c>
      <c r="J78" s="59">
        <v>788841</v>
      </c>
      <c r="K78" s="59">
        <v>828880</v>
      </c>
      <c r="L78" s="59">
        <v>883002</v>
      </c>
      <c r="M78" s="59">
        <v>925919</v>
      </c>
      <c r="N78" s="59">
        <v>996023</v>
      </c>
      <c r="O78" s="59">
        <v>1051042</v>
      </c>
      <c r="P78" s="59">
        <v>1079189</v>
      </c>
      <c r="Q78" s="59">
        <v>1111578</v>
      </c>
      <c r="R78" s="59">
        <v>1152297</v>
      </c>
      <c r="S78" s="64">
        <v>1195785</v>
      </c>
      <c r="AC78" s="59"/>
      <c r="AD78" s="59"/>
      <c r="AE78" s="59"/>
      <c r="AF78" s="59"/>
      <c r="AG78" s="59"/>
      <c r="AH78" s="59"/>
      <c r="AI78" s="59"/>
      <c r="AJ78" s="59"/>
      <c r="AK78" s="59"/>
      <c r="AL78" s="59"/>
      <c r="AM78" s="59"/>
      <c r="AN78" s="59"/>
      <c r="AO78" s="59"/>
    </row>
    <row r="79" spans="1:41">
      <c r="A79" s="55" t="s">
        <v>324</v>
      </c>
      <c r="B79" s="65" t="s">
        <v>395</v>
      </c>
      <c r="C79" s="59">
        <v>251234</v>
      </c>
      <c r="D79" s="59">
        <v>258553</v>
      </c>
      <c r="E79" s="59">
        <v>271193</v>
      </c>
      <c r="F79" s="59">
        <v>288414</v>
      </c>
      <c r="G79" s="59">
        <v>312224</v>
      </c>
      <c r="H79" s="59">
        <v>335422</v>
      </c>
      <c r="I79" s="59">
        <v>352161</v>
      </c>
      <c r="J79" s="59">
        <v>377031</v>
      </c>
      <c r="K79" s="59">
        <v>398480</v>
      </c>
      <c r="L79" s="59">
        <v>424555</v>
      </c>
      <c r="M79" s="59">
        <v>443395</v>
      </c>
      <c r="N79" s="59">
        <v>475849</v>
      </c>
      <c r="O79" s="59">
        <v>498278</v>
      </c>
      <c r="P79" s="59">
        <v>517567</v>
      </c>
      <c r="Q79" s="59">
        <v>535993</v>
      </c>
      <c r="R79" s="59">
        <v>557983</v>
      </c>
      <c r="S79" s="64">
        <v>576560</v>
      </c>
      <c r="AC79" s="59"/>
      <c r="AD79" s="59"/>
      <c r="AE79" s="59"/>
      <c r="AF79" s="59"/>
      <c r="AG79" s="59"/>
      <c r="AH79" s="59"/>
      <c r="AI79" s="59"/>
      <c r="AJ79" s="59"/>
      <c r="AK79" s="59"/>
      <c r="AL79" s="59"/>
      <c r="AM79" s="59"/>
      <c r="AN79" s="59"/>
      <c r="AO79" s="59"/>
    </row>
    <row r="80" spans="1:41">
      <c r="A80" s="55" t="s">
        <v>324</v>
      </c>
      <c r="B80" s="65" t="s">
        <v>446</v>
      </c>
      <c r="C80" s="59">
        <v>158307</v>
      </c>
      <c r="D80" s="59">
        <v>165794</v>
      </c>
      <c r="E80" s="59">
        <v>174360</v>
      </c>
      <c r="F80" s="59">
        <v>181975</v>
      </c>
      <c r="G80" s="59">
        <v>196337</v>
      </c>
      <c r="H80" s="59">
        <v>213470</v>
      </c>
      <c r="I80" s="59">
        <v>231497</v>
      </c>
      <c r="J80" s="59">
        <v>249909</v>
      </c>
      <c r="K80" s="59">
        <v>260702</v>
      </c>
      <c r="L80" s="59">
        <v>279665</v>
      </c>
      <c r="M80" s="59">
        <v>295140</v>
      </c>
      <c r="N80" s="66">
        <v>319922</v>
      </c>
      <c r="O80" s="59">
        <v>343639</v>
      </c>
      <c r="P80" s="59">
        <v>345934</v>
      </c>
      <c r="Q80" s="59">
        <v>357964</v>
      </c>
      <c r="R80" s="59">
        <v>371559</v>
      </c>
      <c r="S80" s="64">
        <v>383021</v>
      </c>
      <c r="AC80" s="59"/>
      <c r="AD80" s="59"/>
      <c r="AE80" s="59"/>
      <c r="AF80" s="59"/>
      <c r="AG80" s="59"/>
      <c r="AH80" s="59"/>
      <c r="AI80" s="59"/>
      <c r="AJ80" s="59"/>
      <c r="AK80" s="59"/>
      <c r="AL80" s="59"/>
      <c r="AM80" s="59"/>
      <c r="AN80" s="59"/>
      <c r="AO80" s="59"/>
    </row>
    <row r="81" spans="1:41">
      <c r="A81" s="55" t="s">
        <v>324</v>
      </c>
      <c r="B81" s="65" t="s">
        <v>447</v>
      </c>
      <c r="C81" s="59">
        <v>60494</v>
      </c>
      <c r="D81" s="59">
        <v>64006</v>
      </c>
      <c r="E81" s="59">
        <v>68083</v>
      </c>
      <c r="F81" s="59">
        <v>72517</v>
      </c>
      <c r="G81" s="59">
        <v>77539</v>
      </c>
      <c r="H81" s="59">
        <v>84053</v>
      </c>
      <c r="I81" s="59">
        <v>89095</v>
      </c>
      <c r="J81" s="59">
        <v>93969</v>
      </c>
      <c r="K81" s="59">
        <v>97107</v>
      </c>
      <c r="L81" s="59">
        <v>101959</v>
      </c>
      <c r="M81" s="59">
        <v>106953</v>
      </c>
      <c r="N81" s="66">
        <v>114209</v>
      </c>
      <c r="O81" s="59">
        <v>120061</v>
      </c>
      <c r="P81" s="59">
        <v>124021</v>
      </c>
      <c r="Q81" s="59">
        <v>126390</v>
      </c>
      <c r="R81" s="59">
        <v>129362</v>
      </c>
      <c r="S81" s="64">
        <v>133119</v>
      </c>
      <c r="AC81" s="59"/>
      <c r="AD81" s="59"/>
      <c r="AE81" s="59"/>
      <c r="AF81" s="59"/>
      <c r="AG81" s="59"/>
      <c r="AH81" s="59"/>
      <c r="AI81" s="59"/>
      <c r="AJ81" s="59"/>
      <c r="AK81" s="59"/>
      <c r="AL81" s="59"/>
      <c r="AM81" s="59"/>
      <c r="AN81" s="59"/>
      <c r="AO81" s="59"/>
    </row>
    <row r="82" spans="1:41">
      <c r="A82" s="55" t="s">
        <v>324</v>
      </c>
      <c r="B82" s="65" t="s">
        <v>397</v>
      </c>
      <c r="C82" s="59">
        <v>39403</v>
      </c>
      <c r="D82" s="59">
        <v>42879</v>
      </c>
      <c r="E82" s="59">
        <v>47736</v>
      </c>
      <c r="F82" s="59">
        <v>52474</v>
      </c>
      <c r="G82" s="59">
        <v>55872</v>
      </c>
      <c r="H82" s="59">
        <v>59798</v>
      </c>
      <c r="I82" s="59">
        <v>65274</v>
      </c>
      <c r="J82" s="59">
        <v>67931</v>
      </c>
      <c r="K82" s="59">
        <v>72590</v>
      </c>
      <c r="L82" s="59">
        <v>76823</v>
      </c>
      <c r="M82" s="59">
        <v>80431</v>
      </c>
      <c r="N82" s="59">
        <v>86044</v>
      </c>
      <c r="O82" s="59">
        <v>89065</v>
      </c>
      <c r="P82" s="59">
        <v>91666</v>
      </c>
      <c r="Q82" s="59">
        <v>91231</v>
      </c>
      <c r="R82" s="59">
        <v>93393</v>
      </c>
      <c r="S82" s="64">
        <v>103085</v>
      </c>
      <c r="AC82" s="59"/>
      <c r="AD82" s="59"/>
      <c r="AE82" s="59"/>
      <c r="AF82" s="59"/>
      <c r="AG82" s="59"/>
      <c r="AH82" s="59"/>
      <c r="AI82" s="59"/>
      <c r="AJ82" s="59"/>
      <c r="AK82" s="59"/>
      <c r="AL82" s="59"/>
      <c r="AM82" s="59"/>
      <c r="AN82" s="59"/>
      <c r="AO82" s="59"/>
    </row>
    <row r="83" spans="1:41">
      <c r="A83" s="55" t="s">
        <v>324</v>
      </c>
      <c r="B83" s="65" t="s">
        <v>398</v>
      </c>
      <c r="C83" s="59">
        <v>301639</v>
      </c>
      <c r="D83" s="59">
        <v>321320</v>
      </c>
      <c r="E83" s="59">
        <v>353300</v>
      </c>
      <c r="F83" s="59">
        <v>385823</v>
      </c>
      <c r="G83" s="59">
        <v>389251</v>
      </c>
      <c r="H83" s="59">
        <v>413199</v>
      </c>
      <c r="I83" s="59">
        <v>432226</v>
      </c>
      <c r="J83" s="59">
        <v>461447</v>
      </c>
      <c r="K83" s="59">
        <v>481271</v>
      </c>
      <c r="L83" s="59">
        <v>509974</v>
      </c>
      <c r="M83" s="59">
        <v>532105</v>
      </c>
      <c r="N83" s="66">
        <v>535064</v>
      </c>
      <c r="O83" s="59">
        <v>522304</v>
      </c>
      <c r="P83" s="59">
        <v>540671</v>
      </c>
      <c r="Q83" s="59">
        <v>561380</v>
      </c>
      <c r="R83" s="59">
        <v>595350</v>
      </c>
      <c r="S83" s="64">
        <v>621719</v>
      </c>
      <c r="AC83" s="59"/>
      <c r="AD83" s="59"/>
      <c r="AE83" s="59"/>
      <c r="AF83" s="59"/>
      <c r="AG83" s="59"/>
      <c r="AH83" s="59"/>
      <c r="AI83" s="59"/>
      <c r="AJ83" s="59"/>
      <c r="AK83" s="59"/>
      <c r="AL83" s="59"/>
      <c r="AM83" s="59"/>
      <c r="AN83" s="59"/>
      <c r="AO83" s="59"/>
    </row>
    <row r="84" spans="1:41">
      <c r="A84" s="55" t="s">
        <v>324</v>
      </c>
      <c r="B84" s="65" t="s">
        <v>399</v>
      </c>
      <c r="C84" s="59">
        <v>80375</v>
      </c>
      <c r="D84" s="59">
        <v>82843</v>
      </c>
      <c r="E84" s="59">
        <v>90409</v>
      </c>
      <c r="F84" s="59">
        <v>98977</v>
      </c>
      <c r="G84" s="59">
        <v>96552</v>
      </c>
      <c r="H84" s="59">
        <v>103756</v>
      </c>
      <c r="I84" s="59">
        <v>111111</v>
      </c>
      <c r="J84" s="59">
        <v>117987</v>
      </c>
      <c r="K84" s="59">
        <v>122261</v>
      </c>
      <c r="L84" s="59">
        <v>130279</v>
      </c>
      <c r="M84" s="59">
        <v>137638</v>
      </c>
      <c r="N84" s="66">
        <v>140134</v>
      </c>
      <c r="O84" s="59">
        <v>138842</v>
      </c>
      <c r="P84" s="59">
        <v>144446</v>
      </c>
      <c r="Q84" s="59">
        <v>147482</v>
      </c>
      <c r="R84" s="59">
        <v>155875</v>
      </c>
      <c r="S84" s="64">
        <v>163605</v>
      </c>
      <c r="AC84" s="59"/>
      <c r="AD84" s="59"/>
      <c r="AE84" s="59"/>
      <c r="AF84" s="59"/>
      <c r="AG84" s="59"/>
      <c r="AH84" s="59"/>
      <c r="AI84" s="59"/>
      <c r="AJ84" s="59"/>
      <c r="AK84" s="59"/>
      <c r="AL84" s="59"/>
      <c r="AM84" s="59"/>
      <c r="AN84" s="59"/>
      <c r="AO84" s="59"/>
    </row>
    <row r="85" spans="1:41">
      <c r="A85" s="55" t="s">
        <v>324</v>
      </c>
      <c r="B85" s="65" t="s">
        <v>400</v>
      </c>
      <c r="C85" s="59">
        <v>37136</v>
      </c>
      <c r="D85" s="59">
        <v>40515</v>
      </c>
      <c r="E85" s="59">
        <v>44387</v>
      </c>
      <c r="F85" s="59">
        <v>49224</v>
      </c>
      <c r="G85" s="59">
        <v>51435</v>
      </c>
      <c r="H85" s="59">
        <v>56483</v>
      </c>
      <c r="I85" s="59">
        <v>61588</v>
      </c>
      <c r="J85" s="59">
        <v>64811</v>
      </c>
      <c r="K85" s="59">
        <v>66786</v>
      </c>
      <c r="L85" s="59">
        <v>73063</v>
      </c>
      <c r="M85" s="59">
        <v>74966</v>
      </c>
      <c r="N85" s="59">
        <v>78174</v>
      </c>
      <c r="O85" s="59">
        <v>78762</v>
      </c>
      <c r="P85" s="59">
        <v>78767</v>
      </c>
      <c r="Q85" s="59">
        <v>80642</v>
      </c>
      <c r="R85" s="59">
        <v>85084</v>
      </c>
      <c r="S85" s="64">
        <v>90168</v>
      </c>
      <c r="AC85" s="59"/>
      <c r="AD85" s="59"/>
      <c r="AE85" s="59"/>
      <c r="AF85" s="59"/>
      <c r="AG85" s="59"/>
      <c r="AH85" s="59"/>
      <c r="AI85" s="59"/>
      <c r="AJ85" s="59"/>
      <c r="AK85" s="59"/>
      <c r="AL85" s="59"/>
      <c r="AM85" s="59"/>
      <c r="AN85" s="59"/>
      <c r="AO85" s="59"/>
    </row>
    <row r="86" spans="1:41">
      <c r="A86" s="55" t="s">
        <v>324</v>
      </c>
      <c r="B86" s="65" t="s">
        <v>401</v>
      </c>
      <c r="C86" s="59">
        <v>43239</v>
      </c>
      <c r="D86" s="59">
        <v>42328</v>
      </c>
      <c r="E86" s="59">
        <v>46022</v>
      </c>
      <c r="F86" s="59">
        <v>49753</v>
      </c>
      <c r="G86" s="59">
        <v>45117</v>
      </c>
      <c r="H86" s="59">
        <v>47272</v>
      </c>
      <c r="I86" s="59">
        <v>49523</v>
      </c>
      <c r="J86" s="59">
        <v>53175</v>
      </c>
      <c r="K86" s="59">
        <v>55475</v>
      </c>
      <c r="L86" s="59">
        <v>57217</v>
      </c>
      <c r="M86" s="59">
        <v>62672</v>
      </c>
      <c r="N86" s="59">
        <v>61959</v>
      </c>
      <c r="O86" s="59">
        <v>60081</v>
      </c>
      <c r="P86" s="59">
        <v>65679</v>
      </c>
      <c r="Q86" s="59">
        <v>66840</v>
      </c>
      <c r="R86" s="59">
        <v>70791</v>
      </c>
      <c r="S86" s="64">
        <v>73437</v>
      </c>
      <c r="AC86" s="59"/>
      <c r="AD86" s="59"/>
      <c r="AE86" s="59"/>
      <c r="AF86" s="59"/>
      <c r="AG86" s="59"/>
      <c r="AH86" s="59"/>
      <c r="AI86" s="59"/>
      <c r="AJ86" s="59"/>
      <c r="AK86" s="59"/>
      <c r="AL86" s="59"/>
      <c r="AM86" s="59"/>
      <c r="AN86" s="59"/>
      <c r="AO86" s="59"/>
    </row>
    <row r="87" spans="1:41">
      <c r="A87" s="55" t="s">
        <v>324</v>
      </c>
      <c r="B87" s="65" t="s">
        <v>402</v>
      </c>
      <c r="C87" s="59">
        <v>221264</v>
      </c>
      <c r="D87" s="59">
        <v>238477</v>
      </c>
      <c r="E87" s="59">
        <v>262891</v>
      </c>
      <c r="F87" s="59">
        <v>286846</v>
      </c>
      <c r="G87" s="59">
        <v>292698</v>
      </c>
      <c r="H87" s="59">
        <v>309443</v>
      </c>
      <c r="I87" s="59">
        <v>321115</v>
      </c>
      <c r="J87" s="59">
        <v>343460</v>
      </c>
      <c r="K87" s="59">
        <v>359009</v>
      </c>
      <c r="L87" s="59">
        <v>379695</v>
      </c>
      <c r="M87" s="59">
        <v>394467</v>
      </c>
      <c r="N87" s="59">
        <v>394930</v>
      </c>
      <c r="O87" s="59">
        <v>383462</v>
      </c>
      <c r="P87" s="59">
        <v>396225</v>
      </c>
      <c r="Q87" s="59">
        <v>413899</v>
      </c>
      <c r="R87" s="59">
        <v>439475</v>
      </c>
      <c r="S87" s="64">
        <v>458114</v>
      </c>
      <c r="AC87" s="59"/>
      <c r="AD87" s="59"/>
      <c r="AE87" s="59"/>
      <c r="AF87" s="59"/>
      <c r="AG87" s="59"/>
      <c r="AH87" s="59"/>
      <c r="AI87" s="59"/>
      <c r="AJ87" s="59"/>
      <c r="AK87" s="59"/>
      <c r="AL87" s="59"/>
      <c r="AM87" s="59"/>
      <c r="AN87" s="59"/>
      <c r="AO87" s="59"/>
    </row>
    <row r="88" spans="1:41">
      <c r="A88" s="55" t="s">
        <v>324</v>
      </c>
      <c r="B88" s="65" t="s">
        <v>403</v>
      </c>
      <c r="C88" s="59">
        <v>70555</v>
      </c>
      <c r="D88" s="59">
        <v>75327</v>
      </c>
      <c r="E88" s="59">
        <v>83796</v>
      </c>
      <c r="F88" s="59">
        <v>93010</v>
      </c>
      <c r="G88" s="59">
        <v>90000</v>
      </c>
      <c r="H88" s="59">
        <v>92787</v>
      </c>
      <c r="I88" s="59">
        <v>94270</v>
      </c>
      <c r="J88" s="59">
        <v>102574</v>
      </c>
      <c r="K88" s="59">
        <v>109044</v>
      </c>
      <c r="L88" s="59">
        <v>115762</v>
      </c>
      <c r="M88" s="59">
        <v>124078</v>
      </c>
      <c r="N88" s="66">
        <v>122725</v>
      </c>
      <c r="O88" s="59">
        <v>106640</v>
      </c>
      <c r="P88" s="59">
        <v>110687</v>
      </c>
      <c r="Q88" s="59">
        <v>119889</v>
      </c>
      <c r="R88" s="59">
        <v>126844</v>
      </c>
      <c r="S88" s="64">
        <v>132746</v>
      </c>
      <c r="AC88" s="59"/>
      <c r="AD88" s="59"/>
      <c r="AE88" s="59"/>
      <c r="AF88" s="59"/>
      <c r="AG88" s="59"/>
      <c r="AH88" s="59"/>
      <c r="AI88" s="59"/>
      <c r="AJ88" s="59"/>
      <c r="AK88" s="59"/>
      <c r="AL88" s="59"/>
      <c r="AM88" s="59"/>
      <c r="AN88" s="59"/>
      <c r="AO88" s="59"/>
    </row>
    <row r="89" spans="1:41">
      <c r="A89" s="55" t="s">
        <v>324</v>
      </c>
      <c r="B89" s="65" t="s">
        <v>404</v>
      </c>
      <c r="C89" s="59">
        <v>150708</v>
      </c>
      <c r="D89" s="59">
        <v>163150</v>
      </c>
      <c r="E89" s="59">
        <v>179095</v>
      </c>
      <c r="F89" s="59">
        <v>193836</v>
      </c>
      <c r="G89" s="59">
        <v>202698</v>
      </c>
      <c r="H89" s="59">
        <v>216656</v>
      </c>
      <c r="I89" s="59">
        <v>226845</v>
      </c>
      <c r="J89" s="59">
        <v>240886</v>
      </c>
      <c r="K89" s="59">
        <v>249965</v>
      </c>
      <c r="L89" s="59">
        <v>263933</v>
      </c>
      <c r="M89" s="59">
        <v>270390</v>
      </c>
      <c r="N89" s="66">
        <v>272205</v>
      </c>
      <c r="O89" s="59">
        <v>276822</v>
      </c>
      <c r="P89" s="59">
        <v>285538</v>
      </c>
      <c r="Q89" s="59">
        <v>294010</v>
      </c>
      <c r="R89" s="59">
        <v>312631</v>
      </c>
      <c r="S89" s="64">
        <v>325368</v>
      </c>
      <c r="AC89" s="59"/>
      <c r="AD89" s="59"/>
      <c r="AE89" s="59"/>
      <c r="AF89" s="59"/>
      <c r="AG89" s="59"/>
      <c r="AH89" s="59"/>
      <c r="AI89" s="59"/>
      <c r="AJ89" s="59"/>
      <c r="AK89" s="59"/>
      <c r="AL89" s="59"/>
      <c r="AM89" s="59"/>
      <c r="AN89" s="59"/>
      <c r="AO89" s="59"/>
    </row>
    <row r="90" spans="1:41">
      <c r="A90" s="55" t="s">
        <v>324</v>
      </c>
      <c r="B90" s="65" t="s">
        <v>415</v>
      </c>
      <c r="C90" s="59">
        <v>230792</v>
      </c>
      <c r="D90" s="59">
        <v>248816</v>
      </c>
      <c r="E90" s="59">
        <v>260938</v>
      </c>
      <c r="F90" s="59">
        <v>279926</v>
      </c>
      <c r="G90" s="59">
        <v>266451</v>
      </c>
      <c r="H90" s="59">
        <v>285942</v>
      </c>
      <c r="I90" s="59">
        <v>284899</v>
      </c>
      <c r="J90" s="59">
        <v>298477</v>
      </c>
      <c r="K90" s="59">
        <v>311721</v>
      </c>
      <c r="L90" s="59">
        <v>325716</v>
      </c>
      <c r="M90" s="59">
        <v>330527</v>
      </c>
      <c r="N90" s="59">
        <v>330843</v>
      </c>
      <c r="O90" s="59">
        <v>329510</v>
      </c>
      <c r="P90" s="59">
        <v>332405</v>
      </c>
      <c r="Q90" s="59">
        <v>338892</v>
      </c>
      <c r="R90" s="59">
        <v>355667</v>
      </c>
      <c r="S90" s="64">
        <v>369308</v>
      </c>
      <c r="AC90" s="59"/>
      <c r="AD90" s="59"/>
      <c r="AE90" s="59"/>
      <c r="AF90" s="59"/>
      <c r="AG90" s="59"/>
      <c r="AH90" s="59"/>
      <c r="AI90" s="59"/>
      <c r="AJ90" s="59"/>
      <c r="AK90" s="59"/>
      <c r="AL90" s="59"/>
      <c r="AM90" s="59"/>
      <c r="AN90" s="59"/>
      <c r="AO90" s="59"/>
    </row>
    <row r="91" spans="1:41">
      <c r="A91" s="55" t="s">
        <v>324</v>
      </c>
      <c r="B91" s="65" t="s">
        <v>174</v>
      </c>
      <c r="C91" s="59">
        <v>1149121</v>
      </c>
      <c r="D91" s="59">
        <v>1195152</v>
      </c>
      <c r="E91" s="59">
        <v>1257462</v>
      </c>
      <c r="F91" s="59">
        <v>1328768</v>
      </c>
      <c r="G91" s="59">
        <v>1398277</v>
      </c>
      <c r="H91" s="59">
        <v>1477987</v>
      </c>
      <c r="I91" s="59">
        <v>1559702</v>
      </c>
      <c r="J91" s="59">
        <v>1646938</v>
      </c>
      <c r="K91" s="59">
        <v>1727430</v>
      </c>
      <c r="L91" s="59">
        <v>1810443</v>
      </c>
      <c r="M91" s="59">
        <v>1905245</v>
      </c>
      <c r="N91" s="66">
        <v>2002405</v>
      </c>
      <c r="O91" s="59">
        <v>2065760</v>
      </c>
      <c r="P91" s="59">
        <v>2137864</v>
      </c>
      <c r="Q91" s="59">
        <v>2169488</v>
      </c>
      <c r="R91" s="59">
        <v>2191188</v>
      </c>
      <c r="S91" s="64">
        <v>2211647</v>
      </c>
      <c r="AC91" s="59"/>
      <c r="AD91" s="59"/>
      <c r="AE91" s="59"/>
      <c r="AF91" s="59"/>
      <c r="AG91" s="59"/>
      <c r="AH91" s="59"/>
      <c r="AI91" s="59"/>
      <c r="AJ91" s="59"/>
      <c r="AK91" s="59"/>
      <c r="AL91" s="59"/>
      <c r="AM91" s="59"/>
      <c r="AN91" s="59"/>
      <c r="AO91" s="59"/>
    </row>
    <row r="92" spans="1:41">
      <c r="A92" s="55" t="s">
        <v>324</v>
      </c>
      <c r="B92" s="65" t="s">
        <v>219</v>
      </c>
      <c r="C92" s="59">
        <v>389448</v>
      </c>
      <c r="D92" s="59">
        <v>394600</v>
      </c>
      <c r="E92" s="59">
        <v>404644</v>
      </c>
      <c r="F92" s="59">
        <v>421902</v>
      </c>
      <c r="G92" s="59">
        <v>429268</v>
      </c>
      <c r="H92" s="59">
        <v>460792</v>
      </c>
      <c r="I92" s="59">
        <v>496228</v>
      </c>
      <c r="J92" s="59">
        <v>523668</v>
      </c>
      <c r="K92" s="59">
        <v>550354</v>
      </c>
      <c r="L92" s="59">
        <v>575234</v>
      </c>
      <c r="M92" s="59">
        <v>602350</v>
      </c>
      <c r="N92" s="66">
        <v>633253</v>
      </c>
      <c r="O92" s="59">
        <v>663971</v>
      </c>
      <c r="P92" s="59">
        <v>701131</v>
      </c>
      <c r="Q92" s="59">
        <v>716283</v>
      </c>
      <c r="R92" s="59">
        <v>717623</v>
      </c>
      <c r="S92" s="64">
        <v>704304</v>
      </c>
      <c r="AC92" s="59"/>
      <c r="AD92" s="59"/>
      <c r="AE92" s="59"/>
      <c r="AF92" s="59"/>
      <c r="AG92" s="59"/>
      <c r="AH92" s="59"/>
      <c r="AI92" s="59"/>
      <c r="AJ92" s="59"/>
      <c r="AK92" s="59"/>
      <c r="AL92" s="59"/>
      <c r="AM92" s="59"/>
      <c r="AN92" s="59"/>
      <c r="AO92" s="59"/>
    </row>
    <row r="93" spans="1:41">
      <c r="A93" s="55" t="s">
        <v>324</v>
      </c>
      <c r="B93" s="55" t="s">
        <v>448</v>
      </c>
      <c r="C93" s="59">
        <v>332313</v>
      </c>
      <c r="D93" s="59">
        <v>335020</v>
      </c>
      <c r="E93" s="59">
        <v>343676</v>
      </c>
      <c r="F93" s="59">
        <v>358738</v>
      </c>
      <c r="G93" s="59">
        <v>369168</v>
      </c>
      <c r="H93" s="59">
        <v>396150</v>
      </c>
      <c r="I93" s="59">
        <v>432019</v>
      </c>
      <c r="J93" s="59">
        <v>457542</v>
      </c>
      <c r="K93" s="59">
        <v>487457</v>
      </c>
      <c r="L93" s="59">
        <v>509628</v>
      </c>
      <c r="M93" s="59">
        <v>536289</v>
      </c>
      <c r="N93" s="59">
        <v>570306</v>
      </c>
      <c r="O93" s="59">
        <v>603629</v>
      </c>
      <c r="P93" s="59">
        <v>643597</v>
      </c>
      <c r="Q93" s="59">
        <v>664110</v>
      </c>
      <c r="R93" s="59">
        <v>668081</v>
      </c>
      <c r="S93" s="64">
        <v>663588</v>
      </c>
      <c r="AC93" s="59"/>
      <c r="AD93" s="59"/>
      <c r="AE93" s="59"/>
      <c r="AF93" s="59"/>
      <c r="AG93" s="59"/>
      <c r="AH93" s="59"/>
      <c r="AI93" s="59"/>
      <c r="AJ93" s="59"/>
      <c r="AK93" s="59"/>
      <c r="AL93" s="59"/>
      <c r="AM93" s="59"/>
      <c r="AN93" s="59"/>
      <c r="AO93" s="59"/>
    </row>
    <row r="94" spans="1:41">
      <c r="A94" s="69" t="s">
        <v>324</v>
      </c>
      <c r="B94" s="69" t="s">
        <v>449</v>
      </c>
      <c r="C94" s="59">
        <v>210868</v>
      </c>
      <c r="D94" s="59">
        <v>208945</v>
      </c>
      <c r="E94" s="59">
        <v>211010</v>
      </c>
      <c r="F94" s="59">
        <v>216316</v>
      </c>
      <c r="G94" s="59">
        <v>222187</v>
      </c>
      <c r="H94" s="59">
        <v>238309</v>
      </c>
      <c r="I94" s="59">
        <v>262452</v>
      </c>
      <c r="J94" s="59">
        <v>279479</v>
      </c>
      <c r="K94" s="59">
        <v>300464</v>
      </c>
      <c r="L94" s="59">
        <v>314738</v>
      </c>
      <c r="M94" s="59">
        <v>331361</v>
      </c>
      <c r="N94" s="59">
        <v>353445</v>
      </c>
      <c r="O94" s="59">
        <v>373452</v>
      </c>
      <c r="P94" s="59">
        <v>396139</v>
      </c>
      <c r="Q94" s="59">
        <v>409575</v>
      </c>
      <c r="R94" s="59">
        <v>410268</v>
      </c>
      <c r="S94" s="64">
        <v>403847</v>
      </c>
      <c r="AC94" s="59"/>
      <c r="AD94" s="59"/>
      <c r="AE94" s="59"/>
      <c r="AF94" s="59"/>
      <c r="AG94" s="59"/>
      <c r="AH94" s="59"/>
      <c r="AI94" s="59"/>
      <c r="AJ94" s="59"/>
      <c r="AK94" s="59"/>
      <c r="AL94" s="59"/>
      <c r="AM94" s="59"/>
      <c r="AN94" s="59"/>
      <c r="AO94" s="59"/>
    </row>
    <row r="95" spans="1:41">
      <c r="A95" s="69" t="s">
        <v>324</v>
      </c>
      <c r="B95" s="69" t="s">
        <v>450</v>
      </c>
      <c r="C95" s="59">
        <v>121445</v>
      </c>
      <c r="D95" s="59">
        <v>126075</v>
      </c>
      <c r="E95" s="59">
        <v>132666</v>
      </c>
      <c r="F95" s="59">
        <v>142422</v>
      </c>
      <c r="G95" s="59">
        <v>146981</v>
      </c>
      <c r="H95" s="59">
        <v>157841</v>
      </c>
      <c r="I95" s="59">
        <v>169567</v>
      </c>
      <c r="J95" s="59">
        <v>178063</v>
      </c>
      <c r="K95" s="59">
        <v>186993</v>
      </c>
      <c r="L95" s="59">
        <v>194890</v>
      </c>
      <c r="M95" s="59">
        <v>204928</v>
      </c>
      <c r="N95" s="59">
        <v>216861</v>
      </c>
      <c r="O95" s="59">
        <v>230177</v>
      </c>
      <c r="P95" s="59">
        <v>247458</v>
      </c>
      <c r="Q95" s="59">
        <v>254535</v>
      </c>
      <c r="R95" s="59">
        <v>257813</v>
      </c>
      <c r="S95" s="64">
        <v>259741</v>
      </c>
      <c r="AC95" s="59"/>
      <c r="AD95" s="59"/>
      <c r="AE95" s="59"/>
      <c r="AF95" s="59"/>
      <c r="AG95" s="59"/>
      <c r="AH95" s="59"/>
      <c r="AI95" s="59"/>
      <c r="AJ95" s="59"/>
      <c r="AK95" s="59"/>
      <c r="AL95" s="59"/>
      <c r="AM95" s="59"/>
      <c r="AN95" s="59"/>
      <c r="AO95" s="59"/>
    </row>
    <row r="96" spans="1:41" ht="15">
      <c r="A96" s="55" t="s">
        <v>324</v>
      </c>
      <c r="B96" s="70" t="s">
        <v>451</v>
      </c>
      <c r="C96" s="59">
        <v>57135</v>
      </c>
      <c r="D96" s="59">
        <v>59580</v>
      </c>
      <c r="E96" s="59">
        <v>60968</v>
      </c>
      <c r="F96" s="59">
        <v>63164</v>
      </c>
      <c r="G96" s="59">
        <v>60100</v>
      </c>
      <c r="H96" s="59">
        <v>64642</v>
      </c>
      <c r="I96" s="59">
        <v>64209</v>
      </c>
      <c r="J96" s="59">
        <v>66126</v>
      </c>
      <c r="K96" s="59">
        <v>62897</v>
      </c>
      <c r="L96" s="59">
        <v>65606</v>
      </c>
      <c r="M96" s="59">
        <v>66061</v>
      </c>
      <c r="N96" s="59">
        <v>62947</v>
      </c>
      <c r="O96" s="59">
        <v>60342</v>
      </c>
      <c r="P96" s="59">
        <v>57534</v>
      </c>
      <c r="Q96" s="59">
        <v>52173</v>
      </c>
      <c r="R96" s="59">
        <v>49542</v>
      </c>
      <c r="S96" s="64">
        <v>40716</v>
      </c>
      <c r="AC96" s="59"/>
      <c r="AD96" s="59"/>
      <c r="AE96" s="59"/>
      <c r="AF96" s="59"/>
      <c r="AG96" s="59"/>
      <c r="AH96" s="59"/>
      <c r="AI96" s="59"/>
      <c r="AJ96" s="59"/>
      <c r="AK96" s="59"/>
      <c r="AL96" s="59"/>
      <c r="AM96" s="59"/>
      <c r="AN96" s="59"/>
      <c r="AO96" s="59"/>
    </row>
    <row r="97" spans="1:41">
      <c r="A97" s="55" t="s">
        <v>324</v>
      </c>
      <c r="B97" s="65" t="s">
        <v>221</v>
      </c>
      <c r="C97" s="59">
        <v>759673</v>
      </c>
      <c r="D97" s="59">
        <v>800552</v>
      </c>
      <c r="E97" s="59">
        <v>852817</v>
      </c>
      <c r="F97" s="59">
        <v>906866</v>
      </c>
      <c r="G97" s="59">
        <v>969010</v>
      </c>
      <c r="H97" s="59">
        <v>1017196</v>
      </c>
      <c r="I97" s="59">
        <v>1063475</v>
      </c>
      <c r="J97" s="59">
        <v>1123269</v>
      </c>
      <c r="K97" s="59">
        <v>1177075</v>
      </c>
      <c r="L97" s="59">
        <v>1235210</v>
      </c>
      <c r="M97" s="59">
        <v>1302894</v>
      </c>
      <c r="N97" s="59">
        <v>1369152</v>
      </c>
      <c r="O97" s="59">
        <v>1401790</v>
      </c>
      <c r="P97" s="59">
        <v>1436733</v>
      </c>
      <c r="Q97" s="59">
        <v>1453205</v>
      </c>
      <c r="R97" s="59">
        <v>1473565</v>
      </c>
      <c r="S97" s="64">
        <v>1507343</v>
      </c>
      <c r="AC97" s="59"/>
      <c r="AD97" s="59"/>
      <c r="AE97" s="59"/>
      <c r="AF97" s="59"/>
      <c r="AG97" s="59"/>
      <c r="AH97" s="59"/>
      <c r="AI97" s="59"/>
      <c r="AJ97" s="59"/>
      <c r="AK97" s="59"/>
      <c r="AL97" s="59"/>
      <c r="AM97" s="59"/>
      <c r="AN97" s="59"/>
      <c r="AO97" s="59"/>
    </row>
    <row r="98" spans="1:41">
      <c r="A98" s="55" t="s">
        <v>324</v>
      </c>
      <c r="B98" s="65" t="s">
        <v>452</v>
      </c>
      <c r="C98" s="59">
        <v>694685</v>
      </c>
      <c r="D98" s="59">
        <v>732292</v>
      </c>
      <c r="E98" s="59">
        <v>780049</v>
      </c>
      <c r="F98" s="59">
        <v>831808</v>
      </c>
      <c r="G98" s="59">
        <v>891285</v>
      </c>
      <c r="H98" s="59">
        <v>937799</v>
      </c>
      <c r="I98" s="59">
        <v>981703</v>
      </c>
      <c r="J98" s="59">
        <v>1037900</v>
      </c>
      <c r="K98" s="59">
        <v>1086816</v>
      </c>
      <c r="L98" s="59">
        <v>1142829</v>
      </c>
      <c r="M98" s="59">
        <v>1210193</v>
      </c>
      <c r="N98" s="59">
        <v>1273165</v>
      </c>
      <c r="O98" s="59">
        <v>1303990</v>
      </c>
      <c r="P98" s="59">
        <v>1332322</v>
      </c>
      <c r="Q98" s="59">
        <v>1343009</v>
      </c>
      <c r="R98" s="59">
        <v>1359594</v>
      </c>
      <c r="S98" s="64">
        <v>1390021</v>
      </c>
      <c r="AC98" s="59"/>
      <c r="AD98" s="59"/>
      <c r="AE98" s="59"/>
      <c r="AF98" s="59"/>
      <c r="AG98" s="59"/>
      <c r="AH98" s="59"/>
      <c r="AI98" s="59"/>
      <c r="AJ98" s="59"/>
      <c r="AK98" s="59"/>
      <c r="AL98" s="59"/>
      <c r="AM98" s="59"/>
      <c r="AN98" s="59"/>
      <c r="AO98" s="59"/>
    </row>
    <row r="99" spans="1:41">
      <c r="A99" s="55" t="s">
        <v>324</v>
      </c>
      <c r="B99" s="65" t="s">
        <v>453</v>
      </c>
      <c r="C99" s="59">
        <v>64988</v>
      </c>
      <c r="D99" s="59">
        <v>68260</v>
      </c>
      <c r="E99" s="59">
        <v>72768</v>
      </c>
      <c r="F99" s="59">
        <v>75058</v>
      </c>
      <c r="G99" s="59">
        <v>77725</v>
      </c>
      <c r="H99" s="59">
        <v>79397</v>
      </c>
      <c r="I99" s="59">
        <v>81772</v>
      </c>
      <c r="J99" s="59">
        <v>85369</v>
      </c>
      <c r="K99" s="59">
        <v>90259</v>
      </c>
      <c r="L99" s="59">
        <v>92381</v>
      </c>
      <c r="M99" s="59">
        <v>92701</v>
      </c>
      <c r="N99" s="59">
        <v>95987</v>
      </c>
      <c r="O99" s="59">
        <v>97800</v>
      </c>
      <c r="P99" s="59">
        <v>104411</v>
      </c>
      <c r="Q99" s="59">
        <v>110196</v>
      </c>
      <c r="R99" s="59">
        <v>113971</v>
      </c>
      <c r="S99" s="64">
        <v>117322</v>
      </c>
      <c r="AC99" s="59"/>
      <c r="AD99" s="59"/>
      <c r="AE99" s="59"/>
      <c r="AF99" s="59"/>
      <c r="AG99" s="59"/>
      <c r="AH99" s="59"/>
      <c r="AI99" s="59"/>
      <c r="AJ99" s="59"/>
      <c r="AK99" s="59"/>
      <c r="AL99" s="59"/>
      <c r="AM99" s="59"/>
      <c r="AN99" s="59"/>
      <c r="AO99" s="59"/>
    </row>
    <row r="100" spans="1:41">
      <c r="B100" s="55" t="s">
        <v>198</v>
      </c>
      <c r="AC100" s="59"/>
      <c r="AD100" s="59"/>
      <c r="AE100" s="59"/>
      <c r="AF100" s="59"/>
      <c r="AG100" s="59"/>
      <c r="AH100" s="59"/>
      <c r="AI100" s="59"/>
      <c r="AJ100" s="59"/>
      <c r="AK100" s="59"/>
      <c r="AL100" s="59"/>
      <c r="AM100" s="59"/>
      <c r="AN100" s="59"/>
      <c r="AO100" s="59"/>
    </row>
    <row r="101" spans="1:41" ht="14.25">
      <c r="A101" s="55" t="s">
        <v>324</v>
      </c>
      <c r="B101" s="69" t="s">
        <v>454</v>
      </c>
      <c r="C101" s="55">
        <v>1934724</v>
      </c>
      <c r="D101" s="55">
        <v>1996890</v>
      </c>
      <c r="E101" s="55">
        <v>2089172</v>
      </c>
      <c r="F101" s="55">
        <v>2226663</v>
      </c>
      <c r="G101" s="55">
        <v>2191680</v>
      </c>
      <c r="H101" s="55">
        <v>2176816</v>
      </c>
      <c r="I101" s="55">
        <v>2314385</v>
      </c>
      <c r="J101" s="55">
        <v>2516944</v>
      </c>
      <c r="K101" s="55">
        <v>2713495</v>
      </c>
      <c r="L101" s="55">
        <v>2904200</v>
      </c>
      <c r="M101" s="55">
        <v>3025336</v>
      </c>
      <c r="N101" s="55">
        <v>3023086</v>
      </c>
      <c r="O101" s="55">
        <v>2732011</v>
      </c>
      <c r="P101" s="55">
        <v>2864139</v>
      </c>
      <c r="Q101" s="55">
        <v>3049799</v>
      </c>
      <c r="R101" s="55">
        <v>3183229</v>
      </c>
      <c r="S101" s="64">
        <v>3314438</v>
      </c>
      <c r="AC101" s="59"/>
      <c r="AD101" s="59"/>
      <c r="AE101" s="59"/>
      <c r="AF101" s="59"/>
      <c r="AG101" s="59"/>
      <c r="AH101" s="59"/>
      <c r="AI101" s="59"/>
      <c r="AJ101" s="59"/>
      <c r="AK101" s="59"/>
      <c r="AL101" s="59"/>
      <c r="AM101" s="59"/>
      <c r="AN101" s="59"/>
      <c r="AO101" s="59"/>
    </row>
    <row r="102" spans="1:41" ht="14.25">
      <c r="A102" s="55" t="s">
        <v>324</v>
      </c>
      <c r="B102" s="69" t="s">
        <v>455</v>
      </c>
      <c r="C102" s="59">
        <v>5524670</v>
      </c>
      <c r="D102" s="59">
        <v>5897126</v>
      </c>
      <c r="E102" s="59">
        <v>6313992</v>
      </c>
      <c r="F102" s="59">
        <v>6729347</v>
      </c>
      <c r="G102" s="59">
        <v>7031868</v>
      </c>
      <c r="H102" s="59">
        <v>7322712</v>
      </c>
      <c r="I102" s="59">
        <v>7636582</v>
      </c>
      <c r="J102" s="59">
        <v>8111046</v>
      </c>
      <c r="K102" s="59">
        <v>8652802</v>
      </c>
      <c r="L102" s="59">
        <v>9141245</v>
      </c>
      <c r="M102" s="59">
        <v>9547052</v>
      </c>
      <c r="N102" s="59">
        <v>9693093</v>
      </c>
      <c r="O102" s="59">
        <v>9620968</v>
      </c>
      <c r="P102" s="59">
        <v>9962369</v>
      </c>
      <c r="Q102" s="59">
        <v>10298641</v>
      </c>
      <c r="R102" s="59">
        <v>10788741</v>
      </c>
      <c r="S102" s="64">
        <v>11241969</v>
      </c>
      <c r="AC102" s="59"/>
      <c r="AD102" s="59"/>
      <c r="AE102" s="59"/>
      <c r="AF102" s="59"/>
      <c r="AG102" s="59"/>
      <c r="AH102" s="59"/>
      <c r="AI102" s="59"/>
      <c r="AJ102" s="59"/>
      <c r="AK102" s="59"/>
      <c r="AL102" s="59"/>
      <c r="AM102" s="59"/>
      <c r="AN102" s="59"/>
      <c r="AO102" s="59"/>
    </row>
    <row r="103" spans="1:41" ht="14.25">
      <c r="A103" s="55" t="s">
        <v>324</v>
      </c>
      <c r="B103" s="71" t="s">
        <v>456</v>
      </c>
      <c r="C103" s="59">
        <v>507600</v>
      </c>
      <c r="D103" s="59">
        <v>540460</v>
      </c>
      <c r="E103" s="59">
        <v>571600</v>
      </c>
      <c r="F103" s="59">
        <v>623992</v>
      </c>
      <c r="G103" s="59">
        <v>605159</v>
      </c>
      <c r="H103" s="59">
        <v>623135</v>
      </c>
      <c r="I103" s="59">
        <v>659318</v>
      </c>
      <c r="J103" s="59">
        <v>713912</v>
      </c>
      <c r="K103" s="59">
        <v>762416</v>
      </c>
      <c r="L103" s="59">
        <v>800324</v>
      </c>
      <c r="M103" s="59">
        <v>851667</v>
      </c>
      <c r="N103" s="59">
        <v>884031</v>
      </c>
      <c r="O103" s="59">
        <v>852393</v>
      </c>
      <c r="P103" s="59">
        <v>876282</v>
      </c>
      <c r="Q103" s="59">
        <v>894087</v>
      </c>
      <c r="R103" s="59">
        <v>919107</v>
      </c>
      <c r="S103" s="64">
        <v>962538</v>
      </c>
      <c r="AC103" s="59"/>
      <c r="AD103" s="59"/>
      <c r="AE103" s="59"/>
      <c r="AF103" s="59"/>
      <c r="AG103" s="59"/>
      <c r="AH103" s="59"/>
      <c r="AI103" s="59"/>
      <c r="AJ103" s="59"/>
      <c r="AK103" s="59"/>
      <c r="AL103" s="59"/>
      <c r="AM103" s="59"/>
      <c r="AN103" s="59"/>
      <c r="AO103" s="59"/>
    </row>
    <row r="104" spans="1:41">
      <c r="C104" s="59"/>
      <c r="D104" s="59"/>
      <c r="E104" s="59"/>
      <c r="F104" s="59"/>
      <c r="G104" s="59"/>
      <c r="H104" s="59"/>
      <c r="I104" s="59"/>
      <c r="J104" s="59"/>
      <c r="K104" s="59"/>
      <c r="L104" s="59"/>
      <c r="M104" s="59"/>
      <c r="N104" s="59"/>
    </row>
    <row r="105" spans="1:41">
      <c r="A105" s="17" t="s">
        <v>411</v>
      </c>
      <c r="C105" s="59"/>
      <c r="D105" s="59"/>
      <c r="E105" s="59"/>
      <c r="F105" s="59"/>
      <c r="G105" s="59"/>
      <c r="H105" s="59"/>
      <c r="I105" s="59"/>
      <c r="J105" s="59"/>
      <c r="K105" s="59"/>
      <c r="L105" s="59"/>
      <c r="M105" s="59"/>
      <c r="N105" s="59"/>
    </row>
    <row r="106" spans="1:41">
      <c r="A106" s="55" t="s">
        <v>412</v>
      </c>
      <c r="B106" s="55" t="s">
        <v>325</v>
      </c>
      <c r="C106" s="56">
        <v>100</v>
      </c>
      <c r="D106" s="56">
        <v>100</v>
      </c>
      <c r="E106" s="56">
        <v>100</v>
      </c>
      <c r="F106" s="56">
        <v>100</v>
      </c>
      <c r="G106" s="56">
        <v>100</v>
      </c>
      <c r="H106" s="56">
        <v>100</v>
      </c>
      <c r="I106" s="56">
        <v>100</v>
      </c>
      <c r="J106" s="56">
        <v>100</v>
      </c>
      <c r="K106" s="56">
        <v>100</v>
      </c>
      <c r="L106" s="56">
        <v>100</v>
      </c>
      <c r="M106" s="56">
        <v>100</v>
      </c>
      <c r="N106" s="56">
        <v>100</v>
      </c>
      <c r="O106" s="56">
        <v>100</v>
      </c>
      <c r="P106" s="56">
        <v>100</v>
      </c>
      <c r="Q106" s="56">
        <v>100</v>
      </c>
      <c r="R106" s="56">
        <v>100</v>
      </c>
      <c r="S106" s="72">
        <v>100</v>
      </c>
      <c r="U106" s="56"/>
      <c r="V106" s="56"/>
      <c r="W106" s="56"/>
      <c r="X106" s="56"/>
      <c r="Y106" s="56"/>
      <c r="Z106" s="56"/>
      <c r="AA106" s="56"/>
      <c r="AB106" s="56"/>
      <c r="AC106" s="56"/>
      <c r="AD106" s="73"/>
      <c r="AE106" s="73"/>
      <c r="AF106" s="73"/>
      <c r="AG106" s="73"/>
      <c r="AH106" s="73"/>
      <c r="AI106" s="73"/>
      <c r="AJ106" s="73"/>
      <c r="AK106" s="73"/>
      <c r="AL106" s="73"/>
      <c r="AM106" s="73"/>
      <c r="AN106" s="73"/>
      <c r="AO106" s="73"/>
    </row>
    <row r="107" spans="1:41">
      <c r="A107" s="55" t="s">
        <v>412</v>
      </c>
      <c r="B107" s="65" t="s">
        <v>326</v>
      </c>
      <c r="C107" s="56">
        <v>86.7</v>
      </c>
      <c r="D107" s="56">
        <v>86.9</v>
      </c>
      <c r="E107" s="56">
        <v>87</v>
      </c>
      <c r="F107" s="56">
        <v>87.1</v>
      </c>
      <c r="G107" s="56">
        <v>86.8</v>
      </c>
      <c r="H107" s="56">
        <v>86.5</v>
      </c>
      <c r="I107" s="56">
        <v>86.4</v>
      </c>
      <c r="J107" s="56">
        <v>86.6</v>
      </c>
      <c r="K107" s="56">
        <v>86.8</v>
      </c>
      <c r="L107" s="56">
        <v>86.9</v>
      </c>
      <c r="M107" s="56">
        <v>86.8</v>
      </c>
      <c r="N107" s="56">
        <v>86.4</v>
      </c>
      <c r="O107" s="56">
        <v>85.7</v>
      </c>
      <c r="P107" s="56">
        <v>85.7</v>
      </c>
      <c r="Q107" s="56">
        <v>86</v>
      </c>
      <c r="R107" s="56">
        <v>86.4</v>
      </c>
      <c r="S107" s="72">
        <v>86.8</v>
      </c>
      <c r="U107" s="56"/>
      <c r="V107" s="56"/>
      <c r="W107" s="56"/>
      <c r="X107" s="56"/>
      <c r="Y107" s="56"/>
      <c r="Z107" s="56"/>
      <c r="AA107" s="56"/>
      <c r="AB107" s="56"/>
      <c r="AC107" s="56"/>
      <c r="AD107" s="73"/>
      <c r="AE107" s="73"/>
      <c r="AF107" s="73"/>
      <c r="AG107" s="73"/>
      <c r="AH107" s="73"/>
      <c r="AI107" s="73"/>
      <c r="AJ107" s="73"/>
      <c r="AK107" s="73"/>
      <c r="AL107" s="73"/>
      <c r="AM107" s="73"/>
      <c r="AN107" s="73"/>
      <c r="AO107" s="73"/>
    </row>
    <row r="108" spans="1:41">
      <c r="A108" s="55" t="s">
        <v>412</v>
      </c>
      <c r="B108" s="65" t="s">
        <v>327</v>
      </c>
      <c r="C108" s="56">
        <v>1.3</v>
      </c>
      <c r="D108" s="56">
        <v>1.1000000000000001</v>
      </c>
      <c r="E108" s="56">
        <v>1</v>
      </c>
      <c r="F108" s="56">
        <v>1</v>
      </c>
      <c r="G108" s="56">
        <v>0.9</v>
      </c>
      <c r="H108" s="56">
        <v>0.9</v>
      </c>
      <c r="I108" s="56">
        <v>1</v>
      </c>
      <c r="J108" s="56">
        <v>1.2</v>
      </c>
      <c r="K108" s="56">
        <v>1</v>
      </c>
      <c r="L108" s="56">
        <v>0.9</v>
      </c>
      <c r="M108" s="56">
        <v>1</v>
      </c>
      <c r="N108" s="56">
        <v>1</v>
      </c>
      <c r="O108" s="56">
        <v>1</v>
      </c>
      <c r="P108" s="56">
        <v>1.1000000000000001</v>
      </c>
      <c r="Q108" s="56">
        <v>1.3</v>
      </c>
      <c r="R108" s="56">
        <v>1.2</v>
      </c>
      <c r="S108" s="72">
        <v>1.4</v>
      </c>
      <c r="U108" s="56"/>
      <c r="V108" s="56"/>
      <c r="W108" s="56"/>
      <c r="X108" s="56"/>
      <c r="Y108" s="56"/>
      <c r="Z108" s="56"/>
      <c r="AA108" s="56"/>
      <c r="AB108" s="56"/>
      <c r="AC108" s="56"/>
      <c r="AD108" s="73"/>
      <c r="AE108" s="73"/>
      <c r="AF108" s="73"/>
      <c r="AG108" s="73"/>
      <c r="AH108" s="73"/>
      <c r="AI108" s="73"/>
      <c r="AJ108" s="73"/>
      <c r="AK108" s="73"/>
      <c r="AL108" s="73"/>
      <c r="AM108" s="73"/>
      <c r="AN108" s="73"/>
      <c r="AO108" s="73"/>
    </row>
    <row r="109" spans="1:41">
      <c r="A109" s="55" t="s">
        <v>412</v>
      </c>
      <c r="B109" s="65" t="s">
        <v>328</v>
      </c>
      <c r="C109" s="56">
        <v>1</v>
      </c>
      <c r="D109" s="56">
        <v>0.9</v>
      </c>
      <c r="E109" s="56">
        <v>0.7</v>
      </c>
      <c r="F109" s="56">
        <v>0.7</v>
      </c>
      <c r="G109" s="56">
        <v>0.7</v>
      </c>
      <c r="H109" s="56">
        <v>0.7</v>
      </c>
      <c r="I109" s="56">
        <v>0.8</v>
      </c>
      <c r="J109" s="56">
        <v>1</v>
      </c>
      <c r="K109" s="56">
        <v>0.8</v>
      </c>
      <c r="L109" s="56">
        <v>0.7</v>
      </c>
      <c r="M109" s="56">
        <v>0.8</v>
      </c>
      <c r="N109" s="56">
        <v>0.9</v>
      </c>
      <c r="O109" s="56">
        <v>0.8</v>
      </c>
      <c r="P109" s="56">
        <v>0.9</v>
      </c>
      <c r="Q109" s="56">
        <v>1.1000000000000001</v>
      </c>
      <c r="R109" s="56">
        <v>1</v>
      </c>
      <c r="S109" s="72">
        <v>1.1000000000000001</v>
      </c>
      <c r="T109" s="63"/>
      <c r="U109" s="56"/>
      <c r="V109" s="56"/>
      <c r="W109" s="56"/>
      <c r="X109" s="56"/>
      <c r="Y109" s="56"/>
      <c r="Z109" s="56"/>
      <c r="AA109" s="56"/>
      <c r="AB109" s="56"/>
      <c r="AC109" s="56"/>
      <c r="AD109" s="73"/>
      <c r="AE109" s="73"/>
      <c r="AF109" s="73"/>
      <c r="AG109" s="73"/>
      <c r="AH109" s="73"/>
      <c r="AI109" s="73"/>
      <c r="AJ109" s="73"/>
      <c r="AK109" s="73"/>
      <c r="AL109" s="73"/>
      <c r="AM109" s="73"/>
      <c r="AN109" s="73"/>
      <c r="AO109" s="73"/>
    </row>
    <row r="110" spans="1:41">
      <c r="A110" s="55" t="s">
        <v>412</v>
      </c>
      <c r="B110" s="65" t="s">
        <v>329</v>
      </c>
      <c r="C110" s="56">
        <v>0.2</v>
      </c>
      <c r="D110" s="56">
        <v>0.2</v>
      </c>
      <c r="E110" s="56">
        <v>0.2</v>
      </c>
      <c r="F110" s="56">
        <v>0.2</v>
      </c>
      <c r="G110" s="56">
        <v>0.2</v>
      </c>
      <c r="H110" s="56">
        <v>0.2</v>
      </c>
      <c r="I110" s="56">
        <v>0.2</v>
      </c>
      <c r="J110" s="56">
        <v>0.2</v>
      </c>
      <c r="K110" s="56">
        <v>0.2</v>
      </c>
      <c r="L110" s="56">
        <v>0.2</v>
      </c>
      <c r="M110" s="56">
        <v>0.2</v>
      </c>
      <c r="N110" s="56">
        <v>0.2</v>
      </c>
      <c r="O110" s="56">
        <v>0.2</v>
      </c>
      <c r="P110" s="56">
        <v>0.2</v>
      </c>
      <c r="Q110" s="56">
        <v>0.2</v>
      </c>
      <c r="R110" s="56">
        <v>0.2</v>
      </c>
      <c r="S110" s="72">
        <v>0.2</v>
      </c>
      <c r="T110" s="63"/>
      <c r="U110" s="56"/>
      <c r="V110" s="56"/>
      <c r="W110" s="56"/>
      <c r="X110" s="56"/>
      <c r="Y110" s="56"/>
      <c r="Z110" s="56"/>
      <c r="AA110" s="56"/>
      <c r="AB110" s="56"/>
      <c r="AC110" s="56"/>
      <c r="AD110" s="73"/>
      <c r="AE110" s="73"/>
      <c r="AF110" s="73"/>
      <c r="AG110" s="73"/>
      <c r="AH110" s="73"/>
      <c r="AI110" s="73"/>
      <c r="AJ110" s="73"/>
      <c r="AK110" s="73"/>
      <c r="AL110" s="73"/>
      <c r="AM110" s="73"/>
      <c r="AN110" s="73"/>
      <c r="AO110" s="73"/>
    </row>
    <row r="111" spans="1:41">
      <c r="A111" s="55" t="s">
        <v>412</v>
      </c>
      <c r="B111" s="65" t="s">
        <v>330</v>
      </c>
      <c r="C111" s="56">
        <v>1.1000000000000001</v>
      </c>
      <c r="D111" s="56">
        <v>0.9</v>
      </c>
      <c r="E111" s="56">
        <v>0.9</v>
      </c>
      <c r="F111" s="56">
        <v>1.1000000000000001</v>
      </c>
      <c r="G111" s="56">
        <v>1.2</v>
      </c>
      <c r="H111" s="56">
        <v>1</v>
      </c>
      <c r="I111" s="56">
        <v>1.2</v>
      </c>
      <c r="J111" s="56">
        <v>1.4</v>
      </c>
      <c r="K111" s="56">
        <v>1.7</v>
      </c>
      <c r="L111" s="56">
        <v>2</v>
      </c>
      <c r="M111" s="56">
        <v>2.2000000000000002</v>
      </c>
      <c r="N111" s="56">
        <v>2.7</v>
      </c>
      <c r="O111" s="56">
        <v>2</v>
      </c>
      <c r="P111" s="56">
        <v>2.2000000000000002</v>
      </c>
      <c r="Q111" s="56">
        <v>2.6</v>
      </c>
      <c r="R111" s="56">
        <v>2.5</v>
      </c>
      <c r="S111" s="72">
        <v>2.6</v>
      </c>
      <c r="U111" s="56"/>
      <c r="V111" s="56"/>
      <c r="W111" s="56"/>
      <c r="X111" s="56"/>
      <c r="Y111" s="56"/>
      <c r="Z111" s="56"/>
      <c r="AA111" s="56"/>
      <c r="AB111" s="56"/>
      <c r="AC111" s="56"/>
      <c r="AD111" s="73"/>
      <c r="AE111" s="73"/>
      <c r="AF111" s="73"/>
      <c r="AG111" s="73"/>
      <c r="AH111" s="73"/>
      <c r="AI111" s="73"/>
      <c r="AJ111" s="73"/>
      <c r="AK111" s="73"/>
      <c r="AL111" s="73"/>
      <c r="AM111" s="73"/>
      <c r="AN111" s="73"/>
      <c r="AO111" s="73"/>
    </row>
    <row r="112" spans="1:41">
      <c r="A112" s="55" t="s">
        <v>412</v>
      </c>
      <c r="B112" s="65" t="s">
        <v>331</v>
      </c>
      <c r="C112" s="56">
        <v>0.6</v>
      </c>
      <c r="D112" s="56">
        <v>0.4</v>
      </c>
      <c r="E112" s="56">
        <v>0.5</v>
      </c>
      <c r="F112" s="56">
        <v>0.7</v>
      </c>
      <c r="G112" s="56">
        <v>0.7</v>
      </c>
      <c r="H112" s="56">
        <v>0.6</v>
      </c>
      <c r="I112" s="56">
        <v>0.8</v>
      </c>
      <c r="J112" s="56">
        <v>0.9</v>
      </c>
      <c r="K112" s="56">
        <v>1.2</v>
      </c>
      <c r="L112" s="56">
        <v>1.3</v>
      </c>
      <c r="M112" s="56">
        <v>1.4</v>
      </c>
      <c r="N112" s="56">
        <v>1.9</v>
      </c>
      <c r="O112" s="56">
        <v>1.3</v>
      </c>
      <c r="P112" s="56">
        <v>1.4</v>
      </c>
      <c r="Q112" s="56">
        <v>1.6</v>
      </c>
      <c r="R112" s="56">
        <v>1.6</v>
      </c>
      <c r="S112" s="72">
        <v>1.7</v>
      </c>
      <c r="T112" s="63"/>
      <c r="U112" s="56"/>
      <c r="V112" s="56"/>
      <c r="W112" s="56"/>
      <c r="X112" s="56"/>
      <c r="Y112" s="56"/>
      <c r="Z112" s="56"/>
      <c r="AA112" s="56"/>
      <c r="AB112" s="56"/>
      <c r="AC112" s="56"/>
      <c r="AD112" s="73"/>
      <c r="AE112" s="73"/>
      <c r="AF112" s="73"/>
      <c r="AG112" s="73"/>
      <c r="AH112" s="73"/>
      <c r="AI112" s="73"/>
      <c r="AJ112" s="73"/>
      <c r="AK112" s="73"/>
      <c r="AL112" s="73"/>
      <c r="AM112" s="73"/>
      <c r="AN112" s="73"/>
      <c r="AO112" s="73"/>
    </row>
    <row r="113" spans="1:41">
      <c r="A113" s="55" t="s">
        <v>412</v>
      </c>
      <c r="B113" s="65" t="s">
        <v>332</v>
      </c>
      <c r="C113" s="56">
        <v>0.3</v>
      </c>
      <c r="D113" s="56">
        <v>0.3</v>
      </c>
      <c r="E113" s="56">
        <v>0.3</v>
      </c>
      <c r="F113" s="56">
        <v>0.3</v>
      </c>
      <c r="G113" s="56">
        <v>0.3</v>
      </c>
      <c r="H113" s="56">
        <v>0.3</v>
      </c>
      <c r="I113" s="56">
        <v>0.3</v>
      </c>
      <c r="J113" s="56">
        <v>0.3</v>
      </c>
      <c r="K113" s="56">
        <v>0.3</v>
      </c>
      <c r="L113" s="56">
        <v>0.4</v>
      </c>
      <c r="M113" s="56">
        <v>0.4</v>
      </c>
      <c r="N113" s="56">
        <v>0.4</v>
      </c>
      <c r="O113" s="56">
        <v>0.5</v>
      </c>
      <c r="P113" s="56">
        <v>0.5</v>
      </c>
      <c r="Q113" s="56">
        <v>0.6</v>
      </c>
      <c r="R113" s="56">
        <v>0.5</v>
      </c>
      <c r="S113" s="72">
        <v>0.5</v>
      </c>
      <c r="T113" s="63"/>
      <c r="U113" s="56"/>
      <c r="V113" s="56"/>
      <c r="W113" s="56"/>
      <c r="X113" s="56"/>
      <c r="Y113" s="56"/>
      <c r="Z113" s="56"/>
      <c r="AA113" s="56"/>
      <c r="AB113" s="56"/>
      <c r="AC113" s="56"/>
      <c r="AD113" s="73"/>
      <c r="AE113" s="73"/>
      <c r="AF113" s="73"/>
      <c r="AG113" s="73"/>
      <c r="AH113" s="73"/>
      <c r="AI113" s="73"/>
      <c r="AJ113" s="73"/>
      <c r="AK113" s="73"/>
      <c r="AL113" s="73"/>
      <c r="AM113" s="73"/>
      <c r="AN113" s="73"/>
      <c r="AO113" s="73"/>
    </row>
    <row r="114" spans="1:41">
      <c r="A114" s="55" t="s">
        <v>412</v>
      </c>
      <c r="B114" s="65" t="s">
        <v>333</v>
      </c>
      <c r="C114" s="56">
        <v>0.2</v>
      </c>
      <c r="D114" s="56">
        <v>0.1</v>
      </c>
      <c r="E114" s="56">
        <v>0.1</v>
      </c>
      <c r="F114" s="56">
        <v>0.1</v>
      </c>
      <c r="G114" s="56">
        <v>0.2</v>
      </c>
      <c r="H114" s="56">
        <v>0.1</v>
      </c>
      <c r="I114" s="56">
        <v>0.1</v>
      </c>
      <c r="J114" s="56">
        <v>0.2</v>
      </c>
      <c r="K114" s="56">
        <v>0.2</v>
      </c>
      <c r="L114" s="56">
        <v>0.3</v>
      </c>
      <c r="M114" s="56">
        <v>0.3</v>
      </c>
      <c r="N114" s="56">
        <v>0.4</v>
      </c>
      <c r="O114" s="56">
        <v>0.3</v>
      </c>
      <c r="P114" s="56">
        <v>0.3</v>
      </c>
      <c r="Q114" s="56">
        <v>0.4</v>
      </c>
      <c r="R114" s="56">
        <v>0.4</v>
      </c>
      <c r="S114" s="72">
        <v>0.4</v>
      </c>
      <c r="T114" s="63"/>
      <c r="U114" s="56"/>
      <c r="V114" s="56"/>
      <c r="W114" s="56"/>
      <c r="X114" s="56"/>
      <c r="Y114" s="56"/>
      <c r="Z114" s="56"/>
      <c r="AA114" s="56"/>
      <c r="AB114" s="56"/>
      <c r="AC114" s="56"/>
      <c r="AD114" s="73"/>
      <c r="AE114" s="73"/>
      <c r="AF114" s="73"/>
      <c r="AG114" s="73"/>
      <c r="AH114" s="73"/>
      <c r="AI114" s="73"/>
      <c r="AJ114" s="73"/>
      <c r="AK114" s="73"/>
      <c r="AL114" s="73"/>
      <c r="AM114" s="73"/>
      <c r="AN114" s="73"/>
      <c r="AO114" s="73"/>
    </row>
    <row r="115" spans="1:41">
      <c r="A115" s="55" t="s">
        <v>412</v>
      </c>
      <c r="B115" s="65" t="s">
        <v>334</v>
      </c>
      <c r="C115" s="56">
        <v>2</v>
      </c>
      <c r="D115" s="56">
        <v>1.8</v>
      </c>
      <c r="E115" s="56">
        <v>1.9</v>
      </c>
      <c r="F115" s="56">
        <v>1.8</v>
      </c>
      <c r="G115" s="56">
        <v>1.7</v>
      </c>
      <c r="H115" s="56">
        <v>1.6</v>
      </c>
      <c r="I115" s="56">
        <v>1.6</v>
      </c>
      <c r="J115" s="56">
        <v>1.7</v>
      </c>
      <c r="K115" s="56">
        <v>1.5</v>
      </c>
      <c r="L115" s="56">
        <v>1.7</v>
      </c>
      <c r="M115" s="56">
        <v>1.6</v>
      </c>
      <c r="N115" s="56">
        <v>1.6</v>
      </c>
      <c r="O115" s="56">
        <v>1.7</v>
      </c>
      <c r="P115" s="56">
        <v>1.8</v>
      </c>
      <c r="Q115" s="56">
        <v>1.8</v>
      </c>
      <c r="R115" s="56">
        <v>1.6</v>
      </c>
      <c r="S115" s="72">
        <v>1.6</v>
      </c>
      <c r="U115" s="56"/>
      <c r="V115" s="56"/>
      <c r="W115" s="56"/>
      <c r="X115" s="56"/>
      <c r="Y115" s="56"/>
      <c r="Z115" s="56"/>
      <c r="AA115" s="56"/>
      <c r="AB115" s="56"/>
      <c r="AC115" s="56"/>
      <c r="AD115" s="73"/>
      <c r="AE115" s="73"/>
      <c r="AF115" s="73"/>
      <c r="AG115" s="73"/>
      <c r="AH115" s="73"/>
      <c r="AI115" s="73"/>
      <c r="AJ115" s="73"/>
      <c r="AK115" s="73"/>
      <c r="AL115" s="73"/>
      <c r="AM115" s="73"/>
      <c r="AN115" s="73"/>
      <c r="AO115" s="73"/>
    </row>
    <row r="116" spans="1:41">
      <c r="A116" s="55" t="s">
        <v>412</v>
      </c>
      <c r="B116" s="65" t="s">
        <v>335</v>
      </c>
      <c r="C116" s="56">
        <v>4</v>
      </c>
      <c r="D116" s="56">
        <v>4.2</v>
      </c>
      <c r="E116" s="56">
        <v>4.3</v>
      </c>
      <c r="F116" s="56">
        <v>4.5</v>
      </c>
      <c r="G116" s="56">
        <v>4.5999999999999996</v>
      </c>
      <c r="H116" s="56">
        <v>4.5</v>
      </c>
      <c r="I116" s="56">
        <v>4.5999999999999996</v>
      </c>
      <c r="J116" s="56">
        <v>4.8</v>
      </c>
      <c r="K116" s="56">
        <v>5</v>
      </c>
      <c r="L116" s="56">
        <v>5</v>
      </c>
      <c r="M116" s="56">
        <v>4.9000000000000004</v>
      </c>
      <c r="N116" s="56">
        <v>4.4000000000000004</v>
      </c>
      <c r="O116" s="56">
        <v>4</v>
      </c>
      <c r="P116" s="56">
        <v>3.6</v>
      </c>
      <c r="Q116" s="56">
        <v>3.5</v>
      </c>
      <c r="R116" s="56">
        <v>3.6</v>
      </c>
      <c r="S116" s="72">
        <v>3.7</v>
      </c>
      <c r="U116" s="56"/>
      <c r="V116" s="56"/>
      <c r="W116" s="56"/>
      <c r="X116" s="56"/>
      <c r="Y116" s="56"/>
      <c r="Z116" s="56"/>
      <c r="AA116" s="56"/>
      <c r="AB116" s="56"/>
      <c r="AC116" s="56"/>
      <c r="AD116" s="73"/>
      <c r="AE116" s="73"/>
      <c r="AF116" s="73"/>
      <c r="AG116" s="73"/>
      <c r="AH116" s="73"/>
      <c r="AI116" s="73"/>
      <c r="AJ116" s="73"/>
      <c r="AK116" s="73"/>
      <c r="AL116" s="73"/>
      <c r="AM116" s="73"/>
      <c r="AN116" s="73"/>
      <c r="AO116" s="73"/>
    </row>
    <row r="117" spans="1:41">
      <c r="A117" s="55" t="s">
        <v>412</v>
      </c>
      <c r="B117" s="65" t="s">
        <v>336</v>
      </c>
      <c r="C117" s="56">
        <v>16.100000000000001</v>
      </c>
      <c r="D117" s="56">
        <v>15.8</v>
      </c>
      <c r="E117" s="56">
        <v>15.5</v>
      </c>
      <c r="F117" s="56">
        <v>15.1</v>
      </c>
      <c r="G117" s="56">
        <v>13.9</v>
      </c>
      <c r="H117" s="56">
        <v>13.4</v>
      </c>
      <c r="I117" s="56">
        <v>13.3</v>
      </c>
      <c r="J117" s="56">
        <v>13.2</v>
      </c>
      <c r="K117" s="56">
        <v>13</v>
      </c>
      <c r="L117" s="56">
        <v>13</v>
      </c>
      <c r="M117" s="56">
        <v>12.8</v>
      </c>
      <c r="N117" s="56">
        <v>12.3</v>
      </c>
      <c r="O117" s="56">
        <v>12</v>
      </c>
      <c r="P117" s="56">
        <v>12.2</v>
      </c>
      <c r="Q117" s="56">
        <v>12.3</v>
      </c>
      <c r="R117" s="56">
        <v>12.3</v>
      </c>
      <c r="S117" s="72">
        <v>12.1</v>
      </c>
      <c r="U117" s="56"/>
      <c r="V117" s="56"/>
      <c r="W117" s="56"/>
      <c r="X117" s="56"/>
      <c r="Y117" s="56"/>
      <c r="Z117" s="56"/>
      <c r="AA117" s="56"/>
      <c r="AB117" s="56"/>
      <c r="AC117" s="56"/>
      <c r="AD117" s="73"/>
      <c r="AE117" s="73"/>
      <c r="AF117" s="73"/>
      <c r="AG117" s="73"/>
      <c r="AH117" s="73"/>
      <c r="AI117" s="73"/>
      <c r="AJ117" s="73"/>
      <c r="AK117" s="73"/>
      <c r="AL117" s="73"/>
      <c r="AM117" s="73"/>
      <c r="AN117" s="73"/>
      <c r="AO117" s="73"/>
    </row>
    <row r="118" spans="1:41">
      <c r="A118" s="55" t="s">
        <v>412</v>
      </c>
      <c r="B118" s="65" t="s">
        <v>337</v>
      </c>
      <c r="C118" s="56">
        <v>9.6</v>
      </c>
      <c r="D118" s="56">
        <v>9.4</v>
      </c>
      <c r="E118" s="56">
        <v>9.1</v>
      </c>
      <c r="F118" s="56">
        <v>9</v>
      </c>
      <c r="G118" s="56">
        <v>7.9</v>
      </c>
      <c r="H118" s="56">
        <v>7.6</v>
      </c>
      <c r="I118" s="56">
        <v>7.5</v>
      </c>
      <c r="J118" s="56">
        <v>7.4</v>
      </c>
      <c r="K118" s="56">
        <v>7.3</v>
      </c>
      <c r="L118" s="56">
        <v>7.3</v>
      </c>
      <c r="M118" s="56">
        <v>7.1</v>
      </c>
      <c r="N118" s="56">
        <v>6.8</v>
      </c>
      <c r="O118" s="56">
        <v>6.1</v>
      </c>
      <c r="P118" s="56">
        <v>6.4</v>
      </c>
      <c r="Q118" s="56">
        <v>6.5</v>
      </c>
      <c r="R118" s="56">
        <v>6.5</v>
      </c>
      <c r="S118" s="72">
        <v>6.5</v>
      </c>
      <c r="U118" s="56"/>
      <c r="V118" s="56"/>
      <c r="W118" s="56"/>
      <c r="X118" s="56"/>
      <c r="Y118" s="56"/>
      <c r="Z118" s="56"/>
      <c r="AA118" s="56"/>
      <c r="AB118" s="56"/>
      <c r="AC118" s="56"/>
      <c r="AD118" s="73"/>
      <c r="AE118" s="73"/>
      <c r="AF118" s="73"/>
      <c r="AG118" s="73"/>
      <c r="AH118" s="73"/>
      <c r="AI118" s="73"/>
      <c r="AJ118" s="73"/>
      <c r="AK118" s="73"/>
      <c r="AL118" s="73"/>
      <c r="AM118" s="73"/>
      <c r="AN118" s="73"/>
      <c r="AO118" s="73"/>
    </row>
    <row r="119" spans="1:41">
      <c r="A119" s="55" t="s">
        <v>412</v>
      </c>
      <c r="B119" s="65" t="s">
        <v>338</v>
      </c>
      <c r="C119" s="56">
        <v>0.3</v>
      </c>
      <c r="D119" s="56">
        <v>0.3</v>
      </c>
      <c r="E119" s="56">
        <v>0.3</v>
      </c>
      <c r="F119" s="56">
        <v>0.3</v>
      </c>
      <c r="G119" s="56">
        <v>0.3</v>
      </c>
      <c r="H119" s="56">
        <v>0.2</v>
      </c>
      <c r="I119" s="56">
        <v>0.3</v>
      </c>
      <c r="J119" s="56">
        <v>0.3</v>
      </c>
      <c r="K119" s="56">
        <v>0.3</v>
      </c>
      <c r="L119" s="56">
        <v>0.2</v>
      </c>
      <c r="M119" s="56">
        <v>0.2</v>
      </c>
      <c r="N119" s="56">
        <v>0.2</v>
      </c>
      <c r="O119" s="56">
        <v>0.1</v>
      </c>
      <c r="P119" s="56">
        <v>0.1</v>
      </c>
      <c r="Q119" s="56">
        <v>0.1</v>
      </c>
      <c r="R119" s="56">
        <v>0.1</v>
      </c>
      <c r="S119" s="72">
        <v>0.2</v>
      </c>
      <c r="T119" s="63"/>
      <c r="U119" s="56"/>
      <c r="V119" s="56"/>
      <c r="W119" s="56"/>
      <c r="X119" s="56"/>
      <c r="Y119" s="56"/>
      <c r="Z119" s="56"/>
      <c r="AA119" s="56"/>
      <c r="AB119" s="56"/>
      <c r="AC119" s="56"/>
      <c r="AD119" s="73"/>
      <c r="AE119" s="73"/>
      <c r="AF119" s="73"/>
      <c r="AG119" s="73"/>
      <c r="AH119" s="73"/>
      <c r="AI119" s="73"/>
      <c r="AJ119" s="73"/>
      <c r="AK119" s="73"/>
      <c r="AL119" s="73"/>
      <c r="AM119" s="73"/>
      <c r="AN119" s="73"/>
      <c r="AO119" s="73"/>
    </row>
    <row r="120" spans="1:41">
      <c r="A120" s="55" t="s">
        <v>412</v>
      </c>
      <c r="B120" s="65" t="s">
        <v>339</v>
      </c>
      <c r="C120" s="56">
        <v>0.5</v>
      </c>
      <c r="D120" s="56">
        <v>0.5</v>
      </c>
      <c r="E120" s="56">
        <v>0.4</v>
      </c>
      <c r="F120" s="56">
        <v>0.4</v>
      </c>
      <c r="G120" s="56">
        <v>0.4</v>
      </c>
      <c r="H120" s="56">
        <v>0.4</v>
      </c>
      <c r="I120" s="56">
        <v>0.4</v>
      </c>
      <c r="J120" s="56">
        <v>0.4</v>
      </c>
      <c r="K120" s="56">
        <v>0.4</v>
      </c>
      <c r="L120" s="56">
        <v>0.4</v>
      </c>
      <c r="M120" s="56">
        <v>0.3</v>
      </c>
      <c r="N120" s="56">
        <v>0.3</v>
      </c>
      <c r="O120" s="56">
        <v>0.3</v>
      </c>
      <c r="P120" s="56">
        <v>0.2</v>
      </c>
      <c r="Q120" s="56">
        <v>0.2</v>
      </c>
      <c r="R120" s="56">
        <v>0.2</v>
      </c>
      <c r="S120" s="72">
        <v>0.2</v>
      </c>
      <c r="T120" s="63"/>
      <c r="U120" s="56"/>
      <c r="V120" s="56"/>
      <c r="W120" s="56"/>
      <c r="X120" s="56"/>
      <c r="Y120" s="56"/>
      <c r="Z120" s="56"/>
      <c r="AA120" s="56"/>
      <c r="AB120" s="56"/>
      <c r="AC120" s="56"/>
      <c r="AD120" s="73"/>
      <c r="AE120" s="73"/>
      <c r="AF120" s="73"/>
      <c r="AG120" s="73"/>
      <c r="AH120" s="73"/>
      <c r="AI120" s="73"/>
      <c r="AJ120" s="73"/>
      <c r="AK120" s="73"/>
      <c r="AL120" s="73"/>
      <c r="AM120" s="73"/>
      <c r="AN120" s="73"/>
      <c r="AO120" s="73"/>
    </row>
    <row r="121" spans="1:41">
      <c r="A121" s="55" t="s">
        <v>412</v>
      </c>
      <c r="B121" s="65" t="s">
        <v>340</v>
      </c>
      <c r="C121" s="56">
        <v>0.6</v>
      </c>
      <c r="D121" s="56">
        <v>0.5</v>
      </c>
      <c r="E121" s="56">
        <v>0.5</v>
      </c>
      <c r="F121" s="56">
        <v>0.5</v>
      </c>
      <c r="G121" s="56">
        <v>0.4</v>
      </c>
      <c r="H121" s="56">
        <v>0.4</v>
      </c>
      <c r="I121" s="56">
        <v>0.3</v>
      </c>
      <c r="J121" s="56">
        <v>0.5</v>
      </c>
      <c r="K121" s="56">
        <v>0.4</v>
      </c>
      <c r="L121" s="56">
        <v>0.5</v>
      </c>
      <c r="M121" s="56">
        <v>0.4</v>
      </c>
      <c r="N121" s="56">
        <v>0.5</v>
      </c>
      <c r="O121" s="56">
        <v>0.3</v>
      </c>
      <c r="P121" s="56">
        <v>0.3</v>
      </c>
      <c r="Q121" s="56">
        <v>0.4</v>
      </c>
      <c r="R121" s="56">
        <v>0.4</v>
      </c>
      <c r="S121" s="72">
        <v>0.4</v>
      </c>
      <c r="T121" s="63"/>
      <c r="U121" s="56"/>
      <c r="V121" s="56"/>
      <c r="W121" s="56"/>
      <c r="X121" s="56"/>
      <c r="Y121" s="56"/>
      <c r="Z121" s="56"/>
      <c r="AA121" s="56"/>
      <c r="AB121" s="56"/>
      <c r="AC121" s="56"/>
      <c r="AD121" s="73"/>
      <c r="AE121" s="73"/>
      <c r="AF121" s="73"/>
      <c r="AG121" s="73"/>
      <c r="AH121" s="73"/>
      <c r="AI121" s="73"/>
      <c r="AJ121" s="73"/>
      <c r="AK121" s="73"/>
      <c r="AL121" s="73"/>
      <c r="AM121" s="73"/>
      <c r="AN121" s="73"/>
      <c r="AO121" s="73"/>
    </row>
    <row r="122" spans="1:41">
      <c r="A122" s="55" t="s">
        <v>412</v>
      </c>
      <c r="B122" s="65" t="s">
        <v>341</v>
      </c>
      <c r="C122" s="56">
        <v>1.3</v>
      </c>
      <c r="D122" s="56">
        <v>1.2</v>
      </c>
      <c r="E122" s="56">
        <v>1.2</v>
      </c>
      <c r="F122" s="56">
        <v>1.2</v>
      </c>
      <c r="G122" s="56">
        <v>1</v>
      </c>
      <c r="H122" s="56">
        <v>1</v>
      </c>
      <c r="I122" s="56">
        <v>0.9</v>
      </c>
      <c r="J122" s="56">
        <v>0.9</v>
      </c>
      <c r="K122" s="56">
        <v>0.9</v>
      </c>
      <c r="L122" s="56">
        <v>0.9</v>
      </c>
      <c r="M122" s="56">
        <v>0.9</v>
      </c>
      <c r="N122" s="56">
        <v>0.9</v>
      </c>
      <c r="O122" s="56">
        <v>0.8</v>
      </c>
      <c r="P122" s="56">
        <v>0.8</v>
      </c>
      <c r="Q122" s="56">
        <v>0.8</v>
      </c>
      <c r="R122" s="56">
        <v>0.9</v>
      </c>
      <c r="S122" s="72">
        <v>0.8</v>
      </c>
      <c r="T122" s="63"/>
      <c r="U122" s="56"/>
      <c r="V122" s="56"/>
      <c r="W122" s="56"/>
      <c r="X122" s="56"/>
      <c r="Y122" s="56"/>
      <c r="Z122" s="56"/>
      <c r="AA122" s="56"/>
      <c r="AB122" s="56"/>
      <c r="AC122" s="56"/>
      <c r="AD122" s="73"/>
      <c r="AE122" s="73"/>
      <c r="AF122" s="73"/>
      <c r="AG122" s="73"/>
      <c r="AH122" s="73"/>
      <c r="AI122" s="73"/>
      <c r="AJ122" s="73"/>
      <c r="AK122" s="73"/>
      <c r="AL122" s="73"/>
      <c r="AM122" s="73"/>
      <c r="AN122" s="73"/>
      <c r="AO122" s="73"/>
    </row>
    <row r="123" spans="1:41">
      <c r="A123" s="55" t="s">
        <v>412</v>
      </c>
      <c r="B123" s="65" t="s">
        <v>342</v>
      </c>
      <c r="C123" s="56">
        <v>1.2</v>
      </c>
      <c r="D123" s="56">
        <v>1.3</v>
      </c>
      <c r="E123" s="56">
        <v>1.2</v>
      </c>
      <c r="F123" s="56">
        <v>1.1000000000000001</v>
      </c>
      <c r="G123" s="56">
        <v>1</v>
      </c>
      <c r="H123" s="56">
        <v>0.9</v>
      </c>
      <c r="I123" s="56">
        <v>0.8</v>
      </c>
      <c r="J123" s="56">
        <v>0.9</v>
      </c>
      <c r="K123" s="56">
        <v>0.9</v>
      </c>
      <c r="L123" s="56">
        <v>0.9</v>
      </c>
      <c r="M123" s="56">
        <v>0.9</v>
      </c>
      <c r="N123" s="56">
        <v>0.9</v>
      </c>
      <c r="O123" s="56">
        <v>0.8</v>
      </c>
      <c r="P123" s="56">
        <v>0.8</v>
      </c>
      <c r="Q123" s="56">
        <v>0.9</v>
      </c>
      <c r="R123" s="56">
        <v>0.9</v>
      </c>
      <c r="S123" s="72">
        <v>0.9</v>
      </c>
      <c r="T123" s="63"/>
      <c r="U123" s="56"/>
      <c r="V123" s="56"/>
      <c r="W123" s="56"/>
      <c r="X123" s="56"/>
      <c r="Y123" s="56"/>
      <c r="Z123" s="56"/>
      <c r="AA123" s="56"/>
      <c r="AB123" s="56"/>
      <c r="AC123" s="56"/>
      <c r="AD123" s="73"/>
      <c r="AE123" s="73"/>
      <c r="AF123" s="73"/>
      <c r="AG123" s="73"/>
      <c r="AH123" s="73"/>
      <c r="AI123" s="73"/>
      <c r="AJ123" s="73"/>
      <c r="AK123" s="73"/>
      <c r="AL123" s="73"/>
      <c r="AM123" s="73"/>
      <c r="AN123" s="73"/>
      <c r="AO123" s="73"/>
    </row>
    <row r="124" spans="1:41">
      <c r="A124" s="55" t="s">
        <v>412</v>
      </c>
      <c r="B124" s="65" t="s">
        <v>343</v>
      </c>
      <c r="C124" s="56">
        <v>2.2999999999999998</v>
      </c>
      <c r="D124" s="56">
        <v>2.1</v>
      </c>
      <c r="E124" s="56">
        <v>1.9</v>
      </c>
      <c r="F124" s="56">
        <v>2.2000000000000002</v>
      </c>
      <c r="G124" s="56">
        <v>1.6</v>
      </c>
      <c r="H124" s="56">
        <v>1.6</v>
      </c>
      <c r="I124" s="56">
        <v>1.7</v>
      </c>
      <c r="J124" s="56">
        <v>1.6</v>
      </c>
      <c r="K124" s="56">
        <v>1.6</v>
      </c>
      <c r="L124" s="56">
        <v>1.6</v>
      </c>
      <c r="M124" s="56">
        <v>1.6</v>
      </c>
      <c r="N124" s="56">
        <v>1.6</v>
      </c>
      <c r="O124" s="56">
        <v>1.6</v>
      </c>
      <c r="P124" s="56">
        <v>1.7</v>
      </c>
      <c r="Q124" s="56">
        <v>1.6</v>
      </c>
      <c r="R124" s="56">
        <v>1.6</v>
      </c>
      <c r="S124" s="72">
        <v>1.5</v>
      </c>
      <c r="T124" s="63"/>
      <c r="U124" s="56"/>
      <c r="V124" s="56"/>
      <c r="W124" s="56"/>
      <c r="X124" s="56"/>
      <c r="Y124" s="56"/>
      <c r="Z124" s="56"/>
      <c r="AA124" s="56"/>
      <c r="AB124" s="56"/>
      <c r="AC124" s="56"/>
      <c r="AD124" s="73"/>
      <c r="AE124" s="73"/>
      <c r="AF124" s="73"/>
      <c r="AG124" s="73"/>
      <c r="AH124" s="73"/>
      <c r="AI124" s="73"/>
      <c r="AJ124" s="73"/>
      <c r="AK124" s="73"/>
      <c r="AL124" s="73"/>
      <c r="AM124" s="73"/>
      <c r="AN124" s="73"/>
      <c r="AO124" s="73"/>
    </row>
    <row r="125" spans="1:41">
      <c r="A125" s="55" t="s">
        <v>412</v>
      </c>
      <c r="B125" s="65" t="s">
        <v>344</v>
      </c>
      <c r="C125" s="56">
        <v>0.5</v>
      </c>
      <c r="D125" s="56">
        <v>0.4</v>
      </c>
      <c r="E125" s="56">
        <v>0.5</v>
      </c>
      <c r="F125" s="56">
        <v>0.4</v>
      </c>
      <c r="G125" s="56">
        <v>0.4</v>
      </c>
      <c r="H125" s="56">
        <v>0.4</v>
      </c>
      <c r="I125" s="56">
        <v>0.4</v>
      </c>
      <c r="J125" s="56">
        <v>0.3</v>
      </c>
      <c r="K125" s="56">
        <v>0.3</v>
      </c>
      <c r="L125" s="56">
        <v>0.4</v>
      </c>
      <c r="M125" s="56">
        <v>0.3</v>
      </c>
      <c r="N125" s="56">
        <v>0.4</v>
      </c>
      <c r="O125" s="56">
        <v>0.3</v>
      </c>
      <c r="P125" s="56">
        <v>0.3</v>
      </c>
      <c r="Q125" s="56">
        <v>0.3</v>
      </c>
      <c r="R125" s="56">
        <v>0.3</v>
      </c>
      <c r="S125" s="72">
        <v>0.3</v>
      </c>
      <c r="T125" s="63"/>
      <c r="U125" s="56"/>
      <c r="V125" s="56"/>
      <c r="W125" s="56"/>
      <c r="X125" s="56"/>
      <c r="Y125" s="56"/>
      <c r="Z125" s="56"/>
      <c r="AA125" s="56"/>
      <c r="AB125" s="56"/>
      <c r="AC125" s="56"/>
      <c r="AD125" s="73"/>
      <c r="AE125" s="73"/>
      <c r="AF125" s="73"/>
      <c r="AG125" s="73"/>
      <c r="AH125" s="73"/>
      <c r="AI125" s="73"/>
      <c r="AJ125" s="73"/>
      <c r="AK125" s="73"/>
      <c r="AL125" s="73"/>
      <c r="AM125" s="73"/>
      <c r="AN125" s="73"/>
      <c r="AO125" s="73"/>
    </row>
    <row r="126" spans="1:41">
      <c r="A126" s="55" t="s">
        <v>412</v>
      </c>
      <c r="B126" s="65" t="s">
        <v>345</v>
      </c>
      <c r="C126" s="56">
        <v>1.3</v>
      </c>
      <c r="D126" s="56">
        <v>1.4</v>
      </c>
      <c r="E126" s="56">
        <v>1.4</v>
      </c>
      <c r="F126" s="56">
        <v>1.3</v>
      </c>
      <c r="G126" s="56">
        <v>1.2</v>
      </c>
      <c r="H126" s="56">
        <v>1.2</v>
      </c>
      <c r="I126" s="56">
        <v>1.3</v>
      </c>
      <c r="J126" s="56">
        <v>1.1000000000000001</v>
      </c>
      <c r="K126" s="56">
        <v>1</v>
      </c>
      <c r="L126" s="56">
        <v>1</v>
      </c>
      <c r="M126" s="56">
        <v>0.9</v>
      </c>
      <c r="N126" s="56">
        <v>0.6</v>
      </c>
      <c r="O126" s="56">
        <v>0.3</v>
      </c>
      <c r="P126" s="56">
        <v>0.6</v>
      </c>
      <c r="Q126" s="56">
        <v>0.7</v>
      </c>
      <c r="R126" s="56">
        <v>0.8</v>
      </c>
      <c r="S126" s="72">
        <v>0.8</v>
      </c>
      <c r="T126" s="63"/>
      <c r="U126" s="56"/>
      <c r="V126" s="56"/>
      <c r="W126" s="56"/>
      <c r="X126" s="56"/>
      <c r="Y126" s="56"/>
      <c r="Z126" s="56"/>
      <c r="AA126" s="56"/>
      <c r="AB126" s="56"/>
      <c r="AC126" s="56"/>
      <c r="AD126" s="73"/>
      <c r="AE126" s="73"/>
      <c r="AF126" s="73"/>
      <c r="AG126" s="73"/>
      <c r="AH126" s="73"/>
      <c r="AI126" s="73"/>
      <c r="AJ126" s="73"/>
      <c r="AK126" s="73"/>
      <c r="AL126" s="73"/>
      <c r="AM126" s="73"/>
      <c r="AN126" s="73"/>
      <c r="AO126" s="73"/>
    </row>
    <row r="127" spans="1:41">
      <c r="A127" s="55" t="s">
        <v>412</v>
      </c>
      <c r="B127" s="65" t="s">
        <v>346</v>
      </c>
      <c r="C127" s="56">
        <v>0.7</v>
      </c>
      <c r="D127" s="56">
        <v>0.7</v>
      </c>
      <c r="E127" s="56">
        <v>0.8</v>
      </c>
      <c r="F127" s="56">
        <v>0.7</v>
      </c>
      <c r="G127" s="56">
        <v>0.7</v>
      </c>
      <c r="H127" s="56">
        <v>0.7</v>
      </c>
      <c r="I127" s="56">
        <v>0.6</v>
      </c>
      <c r="J127" s="56">
        <v>0.6</v>
      </c>
      <c r="K127" s="56">
        <v>0.7</v>
      </c>
      <c r="L127" s="56">
        <v>0.7</v>
      </c>
      <c r="M127" s="56">
        <v>0.8</v>
      </c>
      <c r="N127" s="56">
        <v>0.8</v>
      </c>
      <c r="O127" s="56">
        <v>0.8</v>
      </c>
      <c r="P127" s="56">
        <v>0.7</v>
      </c>
      <c r="Q127" s="56">
        <v>0.7</v>
      </c>
      <c r="R127" s="56">
        <v>0.7</v>
      </c>
      <c r="S127" s="72">
        <v>0.7</v>
      </c>
      <c r="T127" s="63"/>
      <c r="U127" s="56"/>
      <c r="V127" s="56"/>
      <c r="W127" s="56"/>
      <c r="X127" s="56"/>
      <c r="Y127" s="56"/>
      <c r="Z127" s="56"/>
      <c r="AA127" s="56"/>
      <c r="AB127" s="56"/>
      <c r="AC127" s="56"/>
      <c r="AD127" s="73"/>
      <c r="AE127" s="73"/>
      <c r="AF127" s="73"/>
      <c r="AG127" s="73"/>
      <c r="AH127" s="73"/>
      <c r="AI127" s="73"/>
      <c r="AJ127" s="73"/>
      <c r="AK127" s="73"/>
      <c r="AL127" s="73"/>
      <c r="AM127" s="73"/>
      <c r="AN127" s="73"/>
      <c r="AO127" s="73"/>
    </row>
    <row r="128" spans="1:41">
      <c r="A128" s="55" t="s">
        <v>412</v>
      </c>
      <c r="B128" s="65" t="s">
        <v>347</v>
      </c>
      <c r="C128" s="56">
        <v>0.3</v>
      </c>
      <c r="D128" s="56">
        <v>0.3</v>
      </c>
      <c r="E128" s="56">
        <v>0.3</v>
      </c>
      <c r="F128" s="56">
        <v>0.3</v>
      </c>
      <c r="G128" s="56">
        <v>0.3</v>
      </c>
      <c r="H128" s="56">
        <v>0.3</v>
      </c>
      <c r="I128" s="56">
        <v>0.3</v>
      </c>
      <c r="J128" s="56">
        <v>0.3</v>
      </c>
      <c r="K128" s="56">
        <v>0.3</v>
      </c>
      <c r="L128" s="56">
        <v>0.2</v>
      </c>
      <c r="M128" s="56">
        <v>0.2</v>
      </c>
      <c r="N128" s="56">
        <v>0.2</v>
      </c>
      <c r="O128" s="56">
        <v>0.2</v>
      </c>
      <c r="P128" s="56">
        <v>0.1</v>
      </c>
      <c r="Q128" s="56">
        <v>0.1</v>
      </c>
      <c r="R128" s="56">
        <v>0.1</v>
      </c>
      <c r="S128" s="72">
        <v>0.1</v>
      </c>
      <c r="T128" s="63"/>
      <c r="U128" s="56"/>
      <c r="V128" s="56"/>
      <c r="W128" s="56"/>
      <c r="X128" s="56"/>
      <c r="Y128" s="56"/>
      <c r="Z128" s="56"/>
      <c r="AA128" s="56"/>
      <c r="AB128" s="56"/>
      <c r="AC128" s="56"/>
      <c r="AD128" s="73"/>
      <c r="AE128" s="73"/>
      <c r="AF128" s="73"/>
      <c r="AG128" s="73"/>
      <c r="AH128" s="73"/>
      <c r="AI128" s="73"/>
      <c r="AJ128" s="73"/>
      <c r="AK128" s="73"/>
      <c r="AL128" s="73"/>
      <c r="AM128" s="73"/>
      <c r="AN128" s="73"/>
      <c r="AO128" s="73"/>
    </row>
    <row r="129" spans="1:41">
      <c r="A129" s="55" t="s">
        <v>412</v>
      </c>
      <c r="B129" s="65" t="s">
        <v>348</v>
      </c>
      <c r="C129" s="56">
        <v>0.6</v>
      </c>
      <c r="D129" s="56">
        <v>0.6</v>
      </c>
      <c r="E129" s="56">
        <v>0.6</v>
      </c>
      <c r="F129" s="56">
        <v>0.6</v>
      </c>
      <c r="G129" s="56">
        <v>0.5</v>
      </c>
      <c r="H129" s="56">
        <v>0.6</v>
      </c>
      <c r="I129" s="56">
        <v>0.5</v>
      </c>
      <c r="J129" s="56">
        <v>0.5</v>
      </c>
      <c r="K129" s="56">
        <v>0.5</v>
      </c>
      <c r="L129" s="56">
        <v>0.5</v>
      </c>
      <c r="M129" s="56">
        <v>0.5</v>
      </c>
      <c r="N129" s="56">
        <v>0.5</v>
      </c>
      <c r="O129" s="56">
        <v>0.6</v>
      </c>
      <c r="P129" s="56">
        <v>0.5</v>
      </c>
      <c r="Q129" s="56">
        <v>0.5</v>
      </c>
      <c r="R129" s="56">
        <v>0.5</v>
      </c>
      <c r="S129" s="72">
        <v>0.5</v>
      </c>
      <c r="T129" s="63"/>
      <c r="U129" s="56"/>
      <c r="V129" s="56"/>
      <c r="W129" s="56"/>
      <c r="X129" s="56"/>
      <c r="Y129" s="56"/>
      <c r="Z129" s="56"/>
      <c r="AA129" s="56"/>
      <c r="AB129" s="56"/>
      <c r="AC129" s="56"/>
      <c r="AD129" s="73"/>
      <c r="AE129" s="73"/>
      <c r="AF129" s="73"/>
      <c r="AG129" s="73"/>
      <c r="AH129" s="73"/>
      <c r="AI129" s="73"/>
      <c r="AJ129" s="73"/>
      <c r="AK129" s="73"/>
      <c r="AL129" s="73"/>
      <c r="AM129" s="73"/>
      <c r="AN129" s="73"/>
      <c r="AO129" s="73"/>
    </row>
    <row r="130" spans="1:41">
      <c r="A130" s="55" t="s">
        <v>412</v>
      </c>
      <c r="B130" s="65" t="s">
        <v>349</v>
      </c>
      <c r="C130" s="56">
        <v>6.5</v>
      </c>
      <c r="D130" s="56">
        <v>6.4</v>
      </c>
      <c r="E130" s="56">
        <v>6.4</v>
      </c>
      <c r="F130" s="56">
        <v>6.1</v>
      </c>
      <c r="G130" s="56">
        <v>6.1</v>
      </c>
      <c r="H130" s="56">
        <v>5.8</v>
      </c>
      <c r="I130" s="56">
        <v>5.8</v>
      </c>
      <c r="J130" s="56">
        <v>5.8</v>
      </c>
      <c r="K130" s="56">
        <v>5.7</v>
      </c>
      <c r="L130" s="56">
        <v>5.8</v>
      </c>
      <c r="M130" s="56">
        <v>5.7</v>
      </c>
      <c r="N130" s="56">
        <v>5.6</v>
      </c>
      <c r="O130" s="56">
        <v>5.9</v>
      </c>
      <c r="P130" s="56">
        <v>5.8</v>
      </c>
      <c r="Q130" s="56">
        <v>5.8</v>
      </c>
      <c r="R130" s="56">
        <v>5.8</v>
      </c>
      <c r="S130" s="72">
        <v>5.6</v>
      </c>
      <c r="U130" s="56"/>
      <c r="V130" s="56"/>
      <c r="W130" s="56"/>
      <c r="X130" s="56"/>
      <c r="Y130" s="56"/>
      <c r="Z130" s="56"/>
      <c r="AA130" s="56"/>
      <c r="AB130" s="56"/>
      <c r="AC130" s="56"/>
      <c r="AD130" s="73"/>
      <c r="AE130" s="73"/>
      <c r="AF130" s="73"/>
      <c r="AG130" s="73"/>
      <c r="AH130" s="73"/>
      <c r="AI130" s="73"/>
      <c r="AJ130" s="73"/>
      <c r="AK130" s="73"/>
      <c r="AL130" s="73"/>
      <c r="AM130" s="73"/>
      <c r="AN130" s="73"/>
      <c r="AO130" s="73"/>
    </row>
    <row r="131" spans="1:41">
      <c r="A131" s="55" t="s">
        <v>412</v>
      </c>
      <c r="B131" s="65" t="s">
        <v>350</v>
      </c>
      <c r="C131" s="56">
        <v>1.6</v>
      </c>
      <c r="D131" s="56">
        <v>1.5</v>
      </c>
      <c r="E131" s="56">
        <v>1.7</v>
      </c>
      <c r="F131" s="56">
        <v>1.6</v>
      </c>
      <c r="G131" s="56">
        <v>1.7</v>
      </c>
      <c r="H131" s="56">
        <v>1.6</v>
      </c>
      <c r="I131" s="56">
        <v>1.6</v>
      </c>
      <c r="J131" s="56">
        <v>1.4</v>
      </c>
      <c r="K131" s="56">
        <v>1.4</v>
      </c>
      <c r="L131" s="56">
        <v>1.4</v>
      </c>
      <c r="M131" s="56">
        <v>1.3</v>
      </c>
      <c r="N131" s="56">
        <v>1.4</v>
      </c>
      <c r="O131" s="56">
        <v>1.7</v>
      </c>
      <c r="P131" s="56">
        <v>1.5</v>
      </c>
      <c r="Q131" s="56">
        <v>1.4</v>
      </c>
      <c r="R131" s="56">
        <v>1.4</v>
      </c>
      <c r="S131" s="72">
        <v>1.4</v>
      </c>
      <c r="U131" s="56"/>
      <c r="V131" s="56"/>
      <c r="W131" s="56"/>
      <c r="X131" s="56"/>
      <c r="Y131" s="56"/>
      <c r="Z131" s="56"/>
      <c r="AA131" s="56"/>
      <c r="AB131" s="56"/>
      <c r="AC131" s="56"/>
      <c r="AD131" s="73"/>
      <c r="AE131" s="73"/>
      <c r="AF131" s="73"/>
      <c r="AG131" s="73"/>
      <c r="AH131" s="73"/>
      <c r="AI131" s="73"/>
      <c r="AJ131" s="73"/>
      <c r="AK131" s="73"/>
      <c r="AL131" s="73"/>
      <c r="AM131" s="73"/>
      <c r="AN131" s="73"/>
      <c r="AO131" s="73"/>
    </row>
    <row r="132" spans="1:41">
      <c r="A132" s="55" t="s">
        <v>412</v>
      </c>
      <c r="B132" s="65" t="s">
        <v>351</v>
      </c>
      <c r="C132" s="56">
        <v>0.3</v>
      </c>
      <c r="D132" s="56">
        <v>0.3</v>
      </c>
      <c r="E132" s="56">
        <v>0.3</v>
      </c>
      <c r="F132" s="56">
        <v>0.3</v>
      </c>
      <c r="G132" s="56">
        <v>0.2</v>
      </c>
      <c r="H132" s="56">
        <v>0.2</v>
      </c>
      <c r="I132" s="56">
        <v>0.2</v>
      </c>
      <c r="J132" s="56">
        <v>0.2</v>
      </c>
      <c r="K132" s="56">
        <v>0.2</v>
      </c>
      <c r="L132" s="56">
        <v>0.1</v>
      </c>
      <c r="M132" s="56">
        <v>0.1</v>
      </c>
      <c r="N132" s="56">
        <v>0.1</v>
      </c>
      <c r="O132" s="56">
        <v>0.1</v>
      </c>
      <c r="P132" s="56">
        <v>0.1</v>
      </c>
      <c r="Q132" s="56">
        <v>0.1</v>
      </c>
      <c r="R132" s="56">
        <v>0.1</v>
      </c>
      <c r="S132" s="72">
        <v>0.1</v>
      </c>
      <c r="T132" s="63"/>
      <c r="U132" s="56"/>
      <c r="V132" s="56"/>
      <c r="W132" s="56"/>
      <c r="X132" s="56"/>
      <c r="Y132" s="56"/>
      <c r="Z132" s="56"/>
      <c r="AA132" s="56"/>
      <c r="AB132" s="56"/>
      <c r="AC132" s="56"/>
      <c r="AD132" s="73"/>
      <c r="AE132" s="73"/>
      <c r="AF132" s="73"/>
      <c r="AG132" s="73"/>
      <c r="AH132" s="73"/>
      <c r="AI132" s="73"/>
      <c r="AJ132" s="73"/>
      <c r="AK132" s="73"/>
      <c r="AL132" s="73"/>
      <c r="AM132" s="73"/>
      <c r="AN132" s="73"/>
      <c r="AO132" s="73"/>
    </row>
    <row r="133" spans="1:41">
      <c r="A133" s="55" t="s">
        <v>412</v>
      </c>
      <c r="B133" s="65" t="s">
        <v>352</v>
      </c>
      <c r="C133" s="56">
        <v>0.3</v>
      </c>
      <c r="D133" s="56">
        <v>0.3</v>
      </c>
      <c r="E133" s="56">
        <v>0.2</v>
      </c>
      <c r="F133" s="56">
        <v>0.2</v>
      </c>
      <c r="G133" s="56">
        <v>0.2</v>
      </c>
      <c r="H133" s="56">
        <v>0.2</v>
      </c>
      <c r="I133" s="56">
        <v>0.1</v>
      </c>
      <c r="J133" s="56">
        <v>0.1</v>
      </c>
      <c r="K133" s="56">
        <v>0.1</v>
      </c>
      <c r="L133" s="56">
        <v>0.1</v>
      </c>
      <c r="M133" s="56">
        <v>0.1</v>
      </c>
      <c r="N133" s="56">
        <v>0.1</v>
      </c>
      <c r="O133" s="56">
        <v>0.1</v>
      </c>
      <c r="P133" s="56">
        <v>0.1</v>
      </c>
      <c r="Q133" s="56">
        <v>0.1</v>
      </c>
      <c r="R133" s="56">
        <v>0.1</v>
      </c>
      <c r="S133" s="72">
        <v>0.1</v>
      </c>
      <c r="T133" s="63"/>
      <c r="U133" s="56"/>
      <c r="V133" s="56"/>
      <c r="W133" s="56"/>
      <c r="X133" s="56"/>
      <c r="Y133" s="56"/>
      <c r="Z133" s="56"/>
      <c r="AA133" s="56"/>
      <c r="AB133" s="56"/>
      <c r="AC133" s="56"/>
      <c r="AD133" s="73"/>
      <c r="AE133" s="73"/>
      <c r="AF133" s="73"/>
      <c r="AG133" s="73"/>
      <c r="AH133" s="73"/>
      <c r="AI133" s="73"/>
      <c r="AJ133" s="73"/>
      <c r="AK133" s="73"/>
      <c r="AL133" s="73"/>
      <c r="AM133" s="73"/>
      <c r="AN133" s="73"/>
      <c r="AO133" s="73"/>
    </row>
    <row r="134" spans="1:41">
      <c r="A134" s="55" t="s">
        <v>412</v>
      </c>
      <c r="B134" s="65" t="s">
        <v>353</v>
      </c>
      <c r="C134" s="56">
        <v>0.6</v>
      </c>
      <c r="D134" s="56">
        <v>0.6</v>
      </c>
      <c r="E134" s="56">
        <v>0.6</v>
      </c>
      <c r="F134" s="56">
        <v>0.6</v>
      </c>
      <c r="G134" s="56">
        <v>0.5</v>
      </c>
      <c r="H134" s="56">
        <v>0.5</v>
      </c>
      <c r="I134" s="56">
        <v>0.4</v>
      </c>
      <c r="J134" s="56">
        <v>0.4</v>
      </c>
      <c r="K134" s="56">
        <v>0.4</v>
      </c>
      <c r="L134" s="56">
        <v>0.4</v>
      </c>
      <c r="M134" s="56">
        <v>0.4</v>
      </c>
      <c r="N134" s="56">
        <v>0.3</v>
      </c>
      <c r="O134" s="56">
        <v>0.4</v>
      </c>
      <c r="P134" s="56">
        <v>0.4</v>
      </c>
      <c r="Q134" s="56">
        <v>0.3</v>
      </c>
      <c r="R134" s="56">
        <v>0.3</v>
      </c>
      <c r="S134" s="72">
        <v>0.3</v>
      </c>
      <c r="T134" s="63"/>
      <c r="U134" s="56"/>
      <c r="V134" s="56"/>
      <c r="W134" s="56"/>
      <c r="X134" s="56"/>
      <c r="Y134" s="56"/>
      <c r="Z134" s="56"/>
      <c r="AA134" s="56"/>
      <c r="AB134" s="56"/>
      <c r="AC134" s="56"/>
      <c r="AD134" s="73"/>
      <c r="AE134" s="73"/>
      <c r="AF134" s="73"/>
      <c r="AG134" s="73"/>
      <c r="AH134" s="73"/>
      <c r="AI134" s="73"/>
      <c r="AJ134" s="73"/>
      <c r="AK134" s="73"/>
      <c r="AL134" s="73"/>
      <c r="AM134" s="73"/>
      <c r="AN134" s="73"/>
      <c r="AO134" s="73"/>
    </row>
    <row r="135" spans="1:41">
      <c r="A135" s="55" t="s">
        <v>412</v>
      </c>
      <c r="B135" s="65" t="s">
        <v>354</v>
      </c>
      <c r="C135" s="56">
        <v>0.4</v>
      </c>
      <c r="D135" s="56">
        <v>0.4</v>
      </c>
      <c r="E135" s="56">
        <v>0.4</v>
      </c>
      <c r="F135" s="56">
        <v>0.4</v>
      </c>
      <c r="G135" s="56">
        <v>0.4</v>
      </c>
      <c r="H135" s="56">
        <v>0.4</v>
      </c>
      <c r="I135" s="56">
        <v>0.4</v>
      </c>
      <c r="J135" s="56">
        <v>0.3</v>
      </c>
      <c r="K135" s="56">
        <v>0.3</v>
      </c>
      <c r="L135" s="56">
        <v>0.3</v>
      </c>
      <c r="M135" s="56">
        <v>0.3</v>
      </c>
      <c r="N135" s="56">
        <v>0.3</v>
      </c>
      <c r="O135" s="56">
        <v>0.3</v>
      </c>
      <c r="P135" s="56">
        <v>0.3</v>
      </c>
      <c r="Q135" s="56">
        <v>0.2</v>
      </c>
      <c r="R135" s="56">
        <v>0.2</v>
      </c>
      <c r="S135" s="72">
        <v>0.2</v>
      </c>
      <c r="T135" s="63"/>
      <c r="U135" s="56"/>
      <c r="V135" s="56"/>
      <c r="W135" s="56"/>
      <c r="X135" s="56"/>
      <c r="Y135" s="56"/>
      <c r="Z135" s="56"/>
      <c r="AA135" s="56"/>
      <c r="AB135" s="56"/>
      <c r="AC135" s="56"/>
      <c r="AD135" s="73"/>
      <c r="AE135" s="73"/>
      <c r="AF135" s="73"/>
      <c r="AG135" s="73"/>
      <c r="AH135" s="73"/>
      <c r="AI135" s="73"/>
      <c r="AJ135" s="73"/>
      <c r="AK135" s="73"/>
      <c r="AL135" s="73"/>
      <c r="AM135" s="73"/>
      <c r="AN135" s="73"/>
      <c r="AO135" s="73"/>
    </row>
    <row r="136" spans="1:41">
      <c r="A136" s="55" t="s">
        <v>412</v>
      </c>
      <c r="B136" s="65" t="s">
        <v>355</v>
      </c>
      <c r="C136" s="56">
        <v>0.6</v>
      </c>
      <c r="D136" s="56">
        <v>0.6</v>
      </c>
      <c r="E136" s="56">
        <v>0.5</v>
      </c>
      <c r="F136" s="56">
        <v>0.5</v>
      </c>
      <c r="G136" s="56">
        <v>0.7</v>
      </c>
      <c r="H136" s="56">
        <v>0.5</v>
      </c>
      <c r="I136" s="56">
        <v>0.7</v>
      </c>
      <c r="J136" s="56">
        <v>0.9</v>
      </c>
      <c r="K136" s="56">
        <v>1.1000000000000001</v>
      </c>
      <c r="L136" s="56">
        <v>1</v>
      </c>
      <c r="M136" s="56">
        <v>1.1000000000000001</v>
      </c>
      <c r="N136" s="56">
        <v>1.1000000000000001</v>
      </c>
      <c r="O136" s="56">
        <v>0.8</v>
      </c>
      <c r="P136" s="56">
        <v>0.9</v>
      </c>
      <c r="Q136" s="56">
        <v>1.1000000000000001</v>
      </c>
      <c r="R136" s="56">
        <v>1.1000000000000001</v>
      </c>
      <c r="S136" s="72">
        <v>1</v>
      </c>
      <c r="T136" s="63"/>
      <c r="U136" s="56"/>
      <c r="V136" s="56"/>
      <c r="W136" s="56"/>
      <c r="X136" s="56"/>
      <c r="Y136" s="56"/>
      <c r="Z136" s="56"/>
      <c r="AA136" s="56"/>
      <c r="AB136" s="56"/>
      <c r="AC136" s="56"/>
      <c r="AD136" s="73"/>
      <c r="AE136" s="73"/>
      <c r="AF136" s="73"/>
      <c r="AG136" s="73"/>
      <c r="AH136" s="73"/>
      <c r="AI136" s="73"/>
      <c r="AJ136" s="73"/>
      <c r="AK136" s="73"/>
      <c r="AL136" s="73"/>
      <c r="AM136" s="73"/>
      <c r="AN136" s="73"/>
      <c r="AO136" s="73"/>
    </row>
    <row r="137" spans="1:41">
      <c r="A137" s="55" t="s">
        <v>412</v>
      </c>
      <c r="B137" s="65" t="s">
        <v>356</v>
      </c>
      <c r="C137" s="56">
        <v>2</v>
      </c>
      <c r="D137" s="56">
        <v>2</v>
      </c>
      <c r="E137" s="56">
        <v>2</v>
      </c>
      <c r="F137" s="56">
        <v>1.8</v>
      </c>
      <c r="G137" s="56">
        <v>1.8</v>
      </c>
      <c r="H137" s="56">
        <v>1.9</v>
      </c>
      <c r="I137" s="56">
        <v>1.8</v>
      </c>
      <c r="J137" s="56">
        <v>1.9</v>
      </c>
      <c r="K137" s="56">
        <v>1.7</v>
      </c>
      <c r="L137" s="56">
        <v>1.9</v>
      </c>
      <c r="M137" s="56">
        <v>1.9</v>
      </c>
      <c r="N137" s="56">
        <v>1.9</v>
      </c>
      <c r="O137" s="56">
        <v>2.2000000000000002</v>
      </c>
      <c r="P137" s="56">
        <v>2.2000000000000002</v>
      </c>
      <c r="Q137" s="56">
        <v>2.2000000000000002</v>
      </c>
      <c r="R137" s="56">
        <v>2.1</v>
      </c>
      <c r="S137" s="72">
        <v>2.1</v>
      </c>
      <c r="T137" s="63"/>
      <c r="U137" s="56"/>
      <c r="V137" s="56"/>
      <c r="W137" s="56"/>
      <c r="X137" s="56"/>
      <c r="Y137" s="56"/>
      <c r="Z137" s="56"/>
      <c r="AA137" s="56"/>
      <c r="AB137" s="56"/>
      <c r="AC137" s="56"/>
      <c r="AD137" s="73"/>
      <c r="AE137" s="73"/>
      <c r="AF137" s="73"/>
      <c r="AG137" s="73"/>
      <c r="AH137" s="73"/>
      <c r="AI137" s="73"/>
      <c r="AJ137" s="73"/>
      <c r="AK137" s="73"/>
      <c r="AL137" s="73"/>
      <c r="AM137" s="73"/>
      <c r="AN137" s="73"/>
      <c r="AO137" s="73"/>
    </row>
    <row r="138" spans="1:41">
      <c r="A138" s="55" t="s">
        <v>412</v>
      </c>
      <c r="B138" s="65" t="s">
        <v>357</v>
      </c>
      <c r="C138" s="56">
        <v>0.7</v>
      </c>
      <c r="D138" s="56">
        <v>0.7</v>
      </c>
      <c r="E138" s="56">
        <v>0.7</v>
      </c>
      <c r="F138" s="56">
        <v>0.6</v>
      </c>
      <c r="G138" s="56">
        <v>0.6</v>
      </c>
      <c r="H138" s="56">
        <v>0.6</v>
      </c>
      <c r="I138" s="56">
        <v>0.5</v>
      </c>
      <c r="J138" s="56">
        <v>0.5</v>
      </c>
      <c r="K138" s="56">
        <v>0.5</v>
      </c>
      <c r="L138" s="56">
        <v>0.5</v>
      </c>
      <c r="M138" s="56">
        <v>0.4</v>
      </c>
      <c r="N138" s="56">
        <v>0.4</v>
      </c>
      <c r="O138" s="56">
        <v>0.4</v>
      </c>
      <c r="P138" s="56">
        <v>0.4</v>
      </c>
      <c r="Q138" s="56">
        <v>0.4</v>
      </c>
      <c r="R138" s="56">
        <v>0.4</v>
      </c>
      <c r="S138" s="72">
        <v>0.4</v>
      </c>
      <c r="T138" s="63"/>
      <c r="U138" s="56"/>
      <c r="V138" s="56"/>
      <c r="W138" s="56"/>
      <c r="X138" s="56"/>
      <c r="Y138" s="56"/>
      <c r="Z138" s="56"/>
      <c r="AA138" s="56"/>
      <c r="AB138" s="56"/>
      <c r="AC138" s="56"/>
      <c r="AD138" s="73"/>
      <c r="AE138" s="73"/>
      <c r="AF138" s="73"/>
      <c r="AG138" s="73"/>
      <c r="AH138" s="73"/>
      <c r="AI138" s="73"/>
      <c r="AJ138" s="73"/>
      <c r="AK138" s="73"/>
      <c r="AL138" s="73"/>
      <c r="AM138" s="73"/>
      <c r="AN138" s="73"/>
      <c r="AO138" s="73"/>
    </row>
    <row r="139" spans="1:41">
      <c r="A139" s="55" t="s">
        <v>412</v>
      </c>
      <c r="B139" s="65" t="s">
        <v>358</v>
      </c>
      <c r="C139" s="56">
        <v>6.2</v>
      </c>
      <c r="D139" s="56">
        <v>6.2</v>
      </c>
      <c r="E139" s="56">
        <v>6.1</v>
      </c>
      <c r="F139" s="56">
        <v>6.1</v>
      </c>
      <c r="G139" s="56">
        <v>5.8</v>
      </c>
      <c r="H139" s="56">
        <v>5.6</v>
      </c>
      <c r="I139" s="56">
        <v>5.6</v>
      </c>
      <c r="J139" s="56">
        <v>5.7</v>
      </c>
      <c r="K139" s="56">
        <v>5.8</v>
      </c>
      <c r="L139" s="56">
        <v>5.9</v>
      </c>
      <c r="M139" s="56">
        <v>5.9</v>
      </c>
      <c r="N139" s="56">
        <v>6</v>
      </c>
      <c r="O139" s="56">
        <v>5.7</v>
      </c>
      <c r="P139" s="56">
        <v>5.8</v>
      </c>
      <c r="Q139" s="56">
        <v>5.8</v>
      </c>
      <c r="R139" s="56">
        <v>6</v>
      </c>
      <c r="S139" s="72">
        <v>6</v>
      </c>
      <c r="U139" s="56"/>
      <c r="V139" s="56"/>
      <c r="W139" s="56"/>
      <c r="X139" s="56"/>
      <c r="Y139" s="56"/>
      <c r="Z139" s="56"/>
      <c r="AA139" s="56"/>
      <c r="AB139" s="56"/>
      <c r="AC139" s="56"/>
      <c r="AD139" s="73"/>
      <c r="AE139" s="73"/>
      <c r="AF139" s="73"/>
      <c r="AG139" s="73"/>
      <c r="AH139" s="73"/>
      <c r="AI139" s="73"/>
      <c r="AJ139" s="73"/>
      <c r="AK139" s="73"/>
      <c r="AL139" s="73"/>
      <c r="AM139" s="73"/>
      <c r="AN139" s="73"/>
      <c r="AO139" s="73"/>
    </row>
    <row r="140" spans="1:41">
      <c r="A140" s="55" t="s">
        <v>412</v>
      </c>
      <c r="B140" s="65" t="s">
        <v>359</v>
      </c>
      <c r="C140" s="56">
        <v>6.8</v>
      </c>
      <c r="D140" s="56">
        <v>7</v>
      </c>
      <c r="E140" s="56">
        <v>6.8</v>
      </c>
      <c r="F140" s="56">
        <v>6.8</v>
      </c>
      <c r="G140" s="56">
        <v>6.7</v>
      </c>
      <c r="H140" s="56">
        <v>6.7</v>
      </c>
      <c r="I140" s="56">
        <v>6.7</v>
      </c>
      <c r="J140" s="56">
        <v>6.5</v>
      </c>
      <c r="K140" s="56">
        <v>6.5</v>
      </c>
      <c r="L140" s="56">
        <v>6.3</v>
      </c>
      <c r="M140" s="56">
        <v>6.1</v>
      </c>
      <c r="N140" s="56">
        <v>5.8</v>
      </c>
      <c r="O140" s="56">
        <v>5.8</v>
      </c>
      <c r="P140" s="56">
        <v>5.8</v>
      </c>
      <c r="Q140" s="56">
        <v>5.7</v>
      </c>
      <c r="R140" s="56">
        <v>5.8</v>
      </c>
      <c r="S140" s="72">
        <v>5.8</v>
      </c>
      <c r="U140" s="56"/>
      <c r="V140" s="56"/>
      <c r="W140" s="56"/>
      <c r="X140" s="56"/>
      <c r="Y140" s="56"/>
      <c r="Z140" s="56"/>
      <c r="AA140" s="56"/>
      <c r="AB140" s="56"/>
      <c r="AC140" s="56"/>
      <c r="AD140" s="73"/>
      <c r="AE140" s="73"/>
      <c r="AF140" s="73"/>
      <c r="AG140" s="73"/>
      <c r="AH140" s="73"/>
      <c r="AI140" s="73"/>
      <c r="AJ140" s="73"/>
      <c r="AK140" s="73"/>
      <c r="AL140" s="73"/>
      <c r="AM140" s="73"/>
      <c r="AN140" s="73"/>
      <c r="AO140" s="73"/>
    </row>
    <row r="141" spans="1:41">
      <c r="A141" s="55" t="s">
        <v>412</v>
      </c>
      <c r="B141" s="68" t="s">
        <v>438</v>
      </c>
      <c r="C141" s="56">
        <v>1.5</v>
      </c>
      <c r="D141" s="56">
        <v>1.4</v>
      </c>
      <c r="E141" s="56">
        <v>1.5</v>
      </c>
      <c r="F141" s="56">
        <v>1.4</v>
      </c>
      <c r="G141" s="56">
        <v>1.3</v>
      </c>
      <c r="H141" s="56">
        <v>1.4</v>
      </c>
      <c r="I141" s="56">
        <v>1.3</v>
      </c>
      <c r="J141" s="56">
        <v>1.3</v>
      </c>
      <c r="K141" s="56">
        <v>1.2</v>
      </c>
      <c r="L141" s="56">
        <v>1.2</v>
      </c>
      <c r="M141" s="56">
        <v>1.1000000000000001</v>
      </c>
      <c r="N141" s="56">
        <v>1</v>
      </c>
      <c r="O141" s="56">
        <v>0.9</v>
      </c>
      <c r="P141" s="56">
        <v>1</v>
      </c>
      <c r="Q141" s="56">
        <v>1</v>
      </c>
      <c r="R141" s="56">
        <v>1</v>
      </c>
      <c r="S141" s="72">
        <v>1</v>
      </c>
      <c r="T141" s="63"/>
      <c r="U141" s="56"/>
      <c r="V141" s="56"/>
      <c r="W141" s="56"/>
      <c r="X141" s="56"/>
      <c r="Y141" s="56"/>
      <c r="Z141" s="56"/>
      <c r="AA141" s="56"/>
      <c r="AB141" s="56"/>
      <c r="AC141" s="56"/>
      <c r="AD141" s="73"/>
      <c r="AE141" s="73"/>
      <c r="AF141" s="73"/>
      <c r="AG141" s="73"/>
      <c r="AH141" s="73"/>
      <c r="AI141" s="73"/>
      <c r="AJ141" s="73"/>
      <c r="AK141" s="73"/>
      <c r="AL141" s="73"/>
      <c r="AM141" s="73"/>
      <c r="AN141" s="73"/>
      <c r="AO141" s="73"/>
    </row>
    <row r="142" spans="1:41">
      <c r="A142" s="55" t="s">
        <v>412</v>
      </c>
      <c r="B142" s="68" t="s">
        <v>439</v>
      </c>
      <c r="C142" s="56">
        <v>1</v>
      </c>
      <c r="D142" s="56">
        <v>1.1000000000000001</v>
      </c>
      <c r="E142" s="56">
        <v>1</v>
      </c>
      <c r="F142" s="56">
        <v>1</v>
      </c>
      <c r="G142" s="56">
        <v>1</v>
      </c>
      <c r="H142" s="56">
        <v>1</v>
      </c>
      <c r="I142" s="56">
        <v>1</v>
      </c>
      <c r="J142" s="56">
        <v>1</v>
      </c>
      <c r="K142" s="56">
        <v>0.9</v>
      </c>
      <c r="L142" s="56">
        <v>0.9</v>
      </c>
      <c r="M142" s="56">
        <v>0.9</v>
      </c>
      <c r="N142" s="56">
        <v>0.9</v>
      </c>
      <c r="O142" s="56">
        <v>0.9</v>
      </c>
      <c r="P142" s="56">
        <v>0.9</v>
      </c>
      <c r="Q142" s="56">
        <v>0.9</v>
      </c>
      <c r="R142" s="56">
        <v>0.9</v>
      </c>
      <c r="S142" s="72">
        <v>0.9</v>
      </c>
      <c r="T142" s="63"/>
      <c r="U142" s="56"/>
      <c r="V142" s="56"/>
      <c r="W142" s="56"/>
      <c r="X142" s="56"/>
      <c r="Y142" s="56"/>
      <c r="Z142" s="56"/>
      <c r="AA142" s="56"/>
      <c r="AB142" s="56"/>
      <c r="AC142" s="56"/>
      <c r="AD142" s="73"/>
      <c r="AE142" s="73"/>
      <c r="AF142" s="73"/>
      <c r="AG142" s="73"/>
      <c r="AH142" s="73"/>
      <c r="AI142" s="73"/>
      <c r="AJ142" s="73"/>
      <c r="AK142" s="73"/>
      <c r="AL142" s="73"/>
      <c r="AM142" s="73"/>
      <c r="AN142" s="73"/>
      <c r="AO142" s="73"/>
    </row>
    <row r="143" spans="1:41">
      <c r="A143" s="55" t="s">
        <v>412</v>
      </c>
      <c r="B143" s="68" t="s">
        <v>440</v>
      </c>
      <c r="C143" s="56">
        <v>1</v>
      </c>
      <c r="D143" s="56">
        <v>1</v>
      </c>
      <c r="E143" s="56">
        <v>1</v>
      </c>
      <c r="F143" s="56">
        <v>1</v>
      </c>
      <c r="G143" s="56">
        <v>1</v>
      </c>
      <c r="H143" s="56">
        <v>1</v>
      </c>
      <c r="I143" s="56">
        <v>1</v>
      </c>
      <c r="J143" s="56">
        <v>1</v>
      </c>
      <c r="K143" s="56">
        <v>1</v>
      </c>
      <c r="L143" s="56">
        <v>0.9</v>
      </c>
      <c r="M143" s="56">
        <v>0.9</v>
      </c>
      <c r="N143" s="56">
        <v>0.9</v>
      </c>
      <c r="O143" s="56">
        <v>0.9</v>
      </c>
      <c r="P143" s="56">
        <v>0.9</v>
      </c>
      <c r="Q143" s="56">
        <v>0.9</v>
      </c>
      <c r="R143" s="56">
        <v>0.9</v>
      </c>
      <c r="S143" s="72">
        <v>0.8</v>
      </c>
      <c r="T143" s="63"/>
      <c r="U143" s="56"/>
      <c r="V143" s="56"/>
      <c r="W143" s="56"/>
      <c r="X143" s="56"/>
      <c r="Y143" s="56"/>
      <c r="Z143" s="56"/>
      <c r="AA143" s="56"/>
      <c r="AB143" s="56"/>
      <c r="AC143" s="56"/>
      <c r="AD143" s="73"/>
      <c r="AE143" s="73"/>
      <c r="AF143" s="73"/>
      <c r="AG143" s="73"/>
      <c r="AH143" s="73"/>
      <c r="AI143" s="73"/>
      <c r="AJ143" s="73"/>
      <c r="AK143" s="73"/>
      <c r="AL143" s="73"/>
      <c r="AM143" s="73"/>
      <c r="AN143" s="73"/>
      <c r="AO143" s="73"/>
    </row>
    <row r="144" spans="1:41">
      <c r="A144" s="55" t="s">
        <v>412</v>
      </c>
      <c r="B144" s="68" t="s">
        <v>441</v>
      </c>
      <c r="C144" s="56">
        <v>3.3</v>
      </c>
      <c r="D144" s="56">
        <v>3.4</v>
      </c>
      <c r="E144" s="56">
        <v>3.3</v>
      </c>
      <c r="F144" s="56">
        <v>3.3</v>
      </c>
      <c r="G144" s="56">
        <v>3.4</v>
      </c>
      <c r="H144" s="56">
        <v>3.3</v>
      </c>
      <c r="I144" s="56">
        <v>3.4</v>
      </c>
      <c r="J144" s="56">
        <v>3.3</v>
      </c>
      <c r="K144" s="56">
        <v>3.3</v>
      </c>
      <c r="L144" s="56">
        <v>3.3</v>
      </c>
      <c r="M144" s="56">
        <v>3.2</v>
      </c>
      <c r="N144" s="56">
        <v>3.1</v>
      </c>
      <c r="O144" s="56">
        <v>3.1</v>
      </c>
      <c r="P144" s="56">
        <v>3</v>
      </c>
      <c r="Q144" s="56">
        <v>3</v>
      </c>
      <c r="R144" s="56">
        <v>3</v>
      </c>
      <c r="S144" s="72">
        <v>3</v>
      </c>
      <c r="T144" s="63"/>
      <c r="U144" s="56"/>
      <c r="V144" s="56"/>
      <c r="W144" s="56"/>
      <c r="X144" s="56"/>
      <c r="Y144" s="56"/>
      <c r="Z144" s="56"/>
      <c r="AA144" s="56"/>
      <c r="AB144" s="56"/>
      <c r="AC144" s="56"/>
      <c r="AD144" s="73"/>
      <c r="AE144" s="73"/>
      <c r="AF144" s="73"/>
      <c r="AG144" s="73"/>
      <c r="AH144" s="73"/>
      <c r="AI144" s="73"/>
      <c r="AJ144" s="73"/>
      <c r="AK144" s="73"/>
      <c r="AL144" s="73"/>
      <c r="AM144" s="73"/>
      <c r="AN144" s="73"/>
      <c r="AO144" s="73"/>
    </row>
    <row r="145" spans="1:41">
      <c r="A145" s="55" t="s">
        <v>412</v>
      </c>
      <c r="B145" s="65" t="s">
        <v>360</v>
      </c>
      <c r="C145" s="56">
        <v>3</v>
      </c>
      <c r="D145" s="56">
        <v>3.1</v>
      </c>
      <c r="E145" s="56">
        <v>3</v>
      </c>
      <c r="F145" s="56">
        <v>3</v>
      </c>
      <c r="G145" s="56">
        <v>2.9</v>
      </c>
      <c r="H145" s="56">
        <v>2.8</v>
      </c>
      <c r="I145" s="56">
        <v>2.8</v>
      </c>
      <c r="J145" s="56">
        <v>2.9</v>
      </c>
      <c r="K145" s="56">
        <v>2.9</v>
      </c>
      <c r="L145" s="56">
        <v>2.9</v>
      </c>
      <c r="M145" s="56">
        <v>2.8</v>
      </c>
      <c r="N145" s="56">
        <v>2.9</v>
      </c>
      <c r="O145" s="56">
        <v>2.8</v>
      </c>
      <c r="P145" s="56">
        <v>2.8</v>
      </c>
      <c r="Q145" s="56">
        <v>2.9</v>
      </c>
      <c r="R145" s="56">
        <v>2.9</v>
      </c>
      <c r="S145" s="72">
        <v>2.9</v>
      </c>
      <c r="U145" s="56"/>
      <c r="V145" s="56"/>
      <c r="W145" s="56"/>
      <c r="X145" s="56"/>
      <c r="Y145" s="56"/>
      <c r="Z145" s="56"/>
      <c r="AA145" s="56"/>
      <c r="AB145" s="56"/>
      <c r="AC145" s="56"/>
      <c r="AD145" s="73"/>
      <c r="AE145" s="73"/>
      <c r="AF145" s="73"/>
      <c r="AG145" s="73"/>
      <c r="AH145" s="73"/>
      <c r="AI145" s="73"/>
      <c r="AJ145" s="73"/>
      <c r="AK145" s="73"/>
      <c r="AL145" s="73"/>
      <c r="AM145" s="73"/>
      <c r="AN145" s="73"/>
      <c r="AO145" s="73"/>
    </row>
    <row r="146" spans="1:41">
      <c r="A146" s="55" t="s">
        <v>412</v>
      </c>
      <c r="B146" s="65" t="s">
        <v>361</v>
      </c>
      <c r="C146" s="56">
        <v>0.6</v>
      </c>
      <c r="D146" s="56">
        <v>0.6</v>
      </c>
      <c r="E146" s="56">
        <v>0.6</v>
      </c>
      <c r="F146" s="56">
        <v>0.5</v>
      </c>
      <c r="G146" s="56">
        <v>0.5</v>
      </c>
      <c r="H146" s="56">
        <v>0.5</v>
      </c>
      <c r="I146" s="56">
        <v>0.5</v>
      </c>
      <c r="J146" s="56">
        <v>0.5</v>
      </c>
      <c r="K146" s="56">
        <v>0.5</v>
      </c>
      <c r="L146" s="56">
        <v>0.5</v>
      </c>
      <c r="M146" s="56">
        <v>0.5</v>
      </c>
      <c r="N146" s="56">
        <v>0.4</v>
      </c>
      <c r="O146" s="56">
        <v>0.4</v>
      </c>
      <c r="P146" s="56">
        <v>0.5</v>
      </c>
      <c r="Q146" s="56">
        <v>0.5</v>
      </c>
      <c r="R146" s="56">
        <v>0.5</v>
      </c>
      <c r="S146" s="72">
        <v>0.5</v>
      </c>
      <c r="T146" s="63"/>
      <c r="U146" s="56"/>
      <c r="V146" s="56"/>
      <c r="W146" s="56"/>
      <c r="X146" s="56"/>
      <c r="Y146" s="56"/>
      <c r="Z146" s="56"/>
      <c r="AA146" s="56"/>
      <c r="AB146" s="56"/>
      <c r="AC146" s="56"/>
      <c r="AD146" s="73"/>
      <c r="AE146" s="73"/>
      <c r="AF146" s="73"/>
      <c r="AG146" s="73"/>
      <c r="AH146" s="73"/>
      <c r="AI146" s="73"/>
      <c r="AJ146" s="73"/>
      <c r="AK146" s="73"/>
      <c r="AL146" s="73"/>
      <c r="AM146" s="73"/>
      <c r="AN146" s="73"/>
      <c r="AO146" s="73"/>
    </row>
    <row r="147" spans="1:41">
      <c r="A147" s="55" t="s">
        <v>412</v>
      </c>
      <c r="B147" s="65" t="s">
        <v>362</v>
      </c>
      <c r="C147" s="56">
        <v>0.2</v>
      </c>
      <c r="D147" s="56">
        <v>0.2</v>
      </c>
      <c r="E147" s="56">
        <v>0.2</v>
      </c>
      <c r="F147" s="56">
        <v>0.2</v>
      </c>
      <c r="G147" s="56">
        <v>0.2</v>
      </c>
      <c r="H147" s="56">
        <v>0.2</v>
      </c>
      <c r="I147" s="56">
        <v>0.2</v>
      </c>
      <c r="J147" s="56">
        <v>0.2</v>
      </c>
      <c r="K147" s="56">
        <v>0.2</v>
      </c>
      <c r="L147" s="56">
        <v>0.2</v>
      </c>
      <c r="M147" s="56">
        <v>0.2</v>
      </c>
      <c r="N147" s="56">
        <v>0.3</v>
      </c>
      <c r="O147" s="56">
        <v>0.2</v>
      </c>
      <c r="P147" s="56">
        <v>0.2</v>
      </c>
      <c r="Q147" s="56">
        <v>0.2</v>
      </c>
      <c r="R147" s="56">
        <v>0.3</v>
      </c>
      <c r="S147" s="72">
        <v>0.3</v>
      </c>
      <c r="T147" s="63"/>
      <c r="U147" s="56"/>
      <c r="V147" s="56"/>
      <c r="W147" s="56"/>
      <c r="X147" s="56"/>
      <c r="Y147" s="56"/>
      <c r="Z147" s="56"/>
      <c r="AA147" s="56"/>
      <c r="AB147" s="56"/>
      <c r="AC147" s="56"/>
      <c r="AD147" s="73"/>
      <c r="AE147" s="73"/>
      <c r="AF147" s="73"/>
      <c r="AG147" s="73"/>
      <c r="AH147" s="73"/>
      <c r="AI147" s="73"/>
      <c r="AJ147" s="73"/>
      <c r="AK147" s="73"/>
      <c r="AL147" s="73"/>
      <c r="AM147" s="73"/>
      <c r="AN147" s="73"/>
      <c r="AO147" s="73"/>
    </row>
    <row r="148" spans="1:41">
      <c r="A148" s="55" t="s">
        <v>412</v>
      </c>
      <c r="B148" s="65" t="s">
        <v>363</v>
      </c>
      <c r="C148" s="56">
        <v>0.1</v>
      </c>
      <c r="D148" s="56">
        <v>0.1</v>
      </c>
      <c r="E148" s="56">
        <v>0.1</v>
      </c>
      <c r="F148" s="56">
        <v>0.1</v>
      </c>
      <c r="G148" s="56">
        <v>0.1</v>
      </c>
      <c r="H148" s="56">
        <v>0.1</v>
      </c>
      <c r="I148" s="56">
        <v>0.1</v>
      </c>
      <c r="J148" s="56">
        <v>0.1</v>
      </c>
      <c r="K148" s="56">
        <v>0.1</v>
      </c>
      <c r="L148" s="56">
        <v>0.1</v>
      </c>
      <c r="M148" s="56">
        <v>0.1</v>
      </c>
      <c r="N148" s="56">
        <v>0.1</v>
      </c>
      <c r="O148" s="56">
        <v>0.1</v>
      </c>
      <c r="P148" s="56">
        <v>0.1</v>
      </c>
      <c r="Q148" s="56">
        <v>0.1</v>
      </c>
      <c r="R148" s="56">
        <v>0.1</v>
      </c>
      <c r="S148" s="72">
        <v>0.1</v>
      </c>
      <c r="T148" s="63"/>
      <c r="U148" s="56"/>
      <c r="V148" s="56"/>
      <c r="W148" s="56"/>
      <c r="X148" s="56"/>
      <c r="Y148" s="56"/>
      <c r="Z148" s="56"/>
      <c r="AA148" s="56"/>
      <c r="AB148" s="56"/>
      <c r="AC148" s="56"/>
      <c r="AD148" s="73"/>
      <c r="AE148" s="73"/>
      <c r="AF148" s="73"/>
      <c r="AG148" s="73"/>
      <c r="AH148" s="73"/>
      <c r="AI148" s="73"/>
      <c r="AJ148" s="73"/>
      <c r="AK148" s="73"/>
      <c r="AL148" s="73"/>
      <c r="AM148" s="73"/>
      <c r="AN148" s="73"/>
      <c r="AO148" s="73"/>
    </row>
    <row r="149" spans="1:41">
      <c r="A149" s="55" t="s">
        <v>412</v>
      </c>
      <c r="B149" s="65" t="s">
        <v>364</v>
      </c>
      <c r="C149" s="56">
        <v>0.9</v>
      </c>
      <c r="D149" s="56">
        <v>0.9</v>
      </c>
      <c r="E149" s="56">
        <v>1</v>
      </c>
      <c r="F149" s="56">
        <v>1</v>
      </c>
      <c r="G149" s="56">
        <v>0.9</v>
      </c>
      <c r="H149" s="56">
        <v>0.9</v>
      </c>
      <c r="I149" s="56">
        <v>0.9</v>
      </c>
      <c r="J149" s="56">
        <v>0.9</v>
      </c>
      <c r="K149" s="56">
        <v>0.9</v>
      </c>
      <c r="L149" s="56">
        <v>0.9</v>
      </c>
      <c r="M149" s="56">
        <v>0.8</v>
      </c>
      <c r="N149" s="56">
        <v>0.8</v>
      </c>
      <c r="O149" s="56">
        <v>0.8</v>
      </c>
      <c r="P149" s="56">
        <v>0.8</v>
      </c>
      <c r="Q149" s="56">
        <v>0.8</v>
      </c>
      <c r="R149" s="56">
        <v>0.8</v>
      </c>
      <c r="S149" s="72">
        <v>0.8</v>
      </c>
      <c r="T149" s="63"/>
      <c r="U149" s="56"/>
      <c r="V149" s="56"/>
      <c r="W149" s="56"/>
      <c r="X149" s="56"/>
      <c r="Y149" s="56"/>
      <c r="Z149" s="56"/>
      <c r="AA149" s="56"/>
      <c r="AB149" s="56"/>
      <c r="AC149" s="56"/>
      <c r="AD149" s="73"/>
      <c r="AE149" s="73"/>
      <c r="AF149" s="73"/>
      <c r="AG149" s="73"/>
      <c r="AH149" s="73"/>
      <c r="AI149" s="73"/>
      <c r="AJ149" s="73"/>
      <c r="AK149" s="73"/>
      <c r="AL149" s="73"/>
      <c r="AM149" s="73"/>
      <c r="AN149" s="73"/>
      <c r="AO149" s="73"/>
    </row>
    <row r="150" spans="1:41">
      <c r="A150" s="55" t="s">
        <v>412</v>
      </c>
      <c r="B150" s="65" t="s">
        <v>365</v>
      </c>
      <c r="C150" s="56">
        <v>0.2</v>
      </c>
      <c r="D150" s="56">
        <v>0.2</v>
      </c>
      <c r="E150" s="56">
        <v>0.2</v>
      </c>
      <c r="F150" s="56">
        <v>0.2</v>
      </c>
      <c r="G150" s="56">
        <v>0.2</v>
      </c>
      <c r="H150" s="56">
        <v>0.2</v>
      </c>
      <c r="I150" s="56">
        <v>0.2</v>
      </c>
      <c r="J150" s="56">
        <v>0.2</v>
      </c>
      <c r="K150" s="56">
        <v>0.2</v>
      </c>
      <c r="L150" s="56">
        <v>0.2</v>
      </c>
      <c r="M150" s="56">
        <v>0.2</v>
      </c>
      <c r="N150" s="56">
        <v>0.2</v>
      </c>
      <c r="O150" s="56">
        <v>0.2</v>
      </c>
      <c r="P150" s="56">
        <v>0.2</v>
      </c>
      <c r="Q150" s="56">
        <v>0.2</v>
      </c>
      <c r="R150" s="56">
        <v>0.2</v>
      </c>
      <c r="S150" s="72">
        <v>0.2</v>
      </c>
      <c r="T150" s="63"/>
      <c r="U150" s="56"/>
      <c r="V150" s="56"/>
      <c r="W150" s="56"/>
      <c r="X150" s="56"/>
      <c r="Y150" s="56"/>
      <c r="Z150" s="56"/>
      <c r="AA150" s="56"/>
      <c r="AB150" s="56"/>
      <c r="AC150" s="56"/>
      <c r="AD150" s="73"/>
      <c r="AE150" s="73"/>
      <c r="AF150" s="73"/>
      <c r="AG150" s="73"/>
      <c r="AH150" s="73"/>
      <c r="AI150" s="73"/>
      <c r="AJ150" s="73"/>
      <c r="AK150" s="73"/>
      <c r="AL150" s="73"/>
      <c r="AM150" s="73"/>
      <c r="AN150" s="73"/>
      <c r="AO150" s="73"/>
    </row>
    <row r="151" spans="1:41">
      <c r="A151" s="55" t="s">
        <v>412</v>
      </c>
      <c r="B151" s="65" t="s">
        <v>366</v>
      </c>
      <c r="C151" s="56">
        <v>0.1</v>
      </c>
      <c r="D151" s="56">
        <v>0.1</v>
      </c>
      <c r="E151" s="56">
        <v>0.1</v>
      </c>
      <c r="F151" s="56">
        <v>0.1</v>
      </c>
      <c r="G151" s="56">
        <v>0.2</v>
      </c>
      <c r="H151" s="56">
        <v>0.1</v>
      </c>
      <c r="I151" s="56">
        <v>0.1</v>
      </c>
      <c r="J151" s="56">
        <v>0.1</v>
      </c>
      <c r="K151" s="56">
        <v>0.1</v>
      </c>
      <c r="L151" s="56">
        <v>0.1</v>
      </c>
      <c r="M151" s="56">
        <v>0.1</v>
      </c>
      <c r="N151" s="56">
        <v>0.1</v>
      </c>
      <c r="O151" s="56">
        <v>0.1</v>
      </c>
      <c r="P151" s="56">
        <v>0.1</v>
      </c>
      <c r="Q151" s="56">
        <v>0.1</v>
      </c>
      <c r="R151" s="56">
        <v>0.1</v>
      </c>
      <c r="S151" s="72">
        <v>0.1</v>
      </c>
      <c r="T151" s="63"/>
      <c r="U151" s="56"/>
      <c r="V151" s="56"/>
      <c r="W151" s="56"/>
      <c r="X151" s="56"/>
      <c r="Y151" s="56"/>
      <c r="Z151" s="56"/>
      <c r="AA151" s="56"/>
      <c r="AB151" s="56"/>
      <c r="AC151" s="56"/>
      <c r="AD151" s="73"/>
      <c r="AE151" s="73"/>
      <c r="AF151" s="73"/>
      <c r="AG151" s="73"/>
      <c r="AH151" s="73"/>
      <c r="AI151" s="73"/>
      <c r="AJ151" s="73"/>
      <c r="AK151" s="73"/>
      <c r="AL151" s="73"/>
      <c r="AM151" s="73"/>
      <c r="AN151" s="73"/>
      <c r="AO151" s="73"/>
    </row>
    <row r="152" spans="1:41">
      <c r="A152" s="55" t="s">
        <v>412</v>
      </c>
      <c r="B152" s="65" t="s">
        <v>367</v>
      </c>
      <c r="C152" s="56">
        <v>0.6</v>
      </c>
      <c r="D152" s="56">
        <v>0.7</v>
      </c>
      <c r="E152" s="56">
        <v>0.6</v>
      </c>
      <c r="F152" s="56">
        <v>0.6</v>
      </c>
      <c r="G152" s="56">
        <v>0.7</v>
      </c>
      <c r="H152" s="56">
        <v>0.7</v>
      </c>
      <c r="I152" s="56">
        <v>0.6</v>
      </c>
      <c r="J152" s="56">
        <v>0.7</v>
      </c>
      <c r="K152" s="56">
        <v>0.7</v>
      </c>
      <c r="L152" s="56">
        <v>0.7</v>
      </c>
      <c r="M152" s="56">
        <v>0.6</v>
      </c>
      <c r="N152" s="56">
        <v>0.7</v>
      </c>
      <c r="O152" s="56">
        <v>0.6</v>
      </c>
      <c r="P152" s="56">
        <v>0.6</v>
      </c>
      <c r="Q152" s="56">
        <v>0.7</v>
      </c>
      <c r="R152" s="56">
        <v>0.7</v>
      </c>
      <c r="S152" s="72">
        <v>0.6</v>
      </c>
      <c r="T152" s="63"/>
      <c r="U152" s="56"/>
      <c r="V152" s="56"/>
      <c r="W152" s="56"/>
      <c r="X152" s="56"/>
      <c r="Y152" s="56"/>
      <c r="Z152" s="56"/>
      <c r="AA152" s="56"/>
      <c r="AB152" s="56"/>
      <c r="AC152" s="56"/>
      <c r="AD152" s="73"/>
      <c r="AE152" s="73"/>
      <c r="AF152" s="73"/>
      <c r="AG152" s="73"/>
      <c r="AH152" s="73"/>
      <c r="AI152" s="73"/>
      <c r="AJ152" s="73"/>
      <c r="AK152" s="73"/>
      <c r="AL152" s="73"/>
      <c r="AM152" s="73"/>
      <c r="AN152" s="73"/>
      <c r="AO152" s="73"/>
    </row>
    <row r="153" spans="1:41">
      <c r="A153" s="55" t="s">
        <v>412</v>
      </c>
      <c r="B153" s="65" t="s">
        <v>368</v>
      </c>
      <c r="C153" s="56">
        <v>0.2</v>
      </c>
      <c r="D153" s="56">
        <v>0.3</v>
      </c>
      <c r="E153" s="56">
        <v>0.3</v>
      </c>
      <c r="F153" s="56">
        <v>0.3</v>
      </c>
      <c r="G153" s="56">
        <v>0.2</v>
      </c>
      <c r="H153" s="56">
        <v>0.2</v>
      </c>
      <c r="I153" s="56">
        <v>0.2</v>
      </c>
      <c r="J153" s="56">
        <v>0.3</v>
      </c>
      <c r="K153" s="56">
        <v>0.3</v>
      </c>
      <c r="L153" s="56">
        <v>0.3</v>
      </c>
      <c r="M153" s="56">
        <v>0.3</v>
      </c>
      <c r="N153" s="56">
        <v>0.3</v>
      </c>
      <c r="O153" s="56">
        <v>0.3</v>
      </c>
      <c r="P153" s="56">
        <v>0.3</v>
      </c>
      <c r="Q153" s="56">
        <v>0.3</v>
      </c>
      <c r="R153" s="56">
        <v>0.3</v>
      </c>
      <c r="S153" s="72">
        <v>0.3</v>
      </c>
      <c r="T153" s="63"/>
      <c r="U153" s="56"/>
      <c r="V153" s="56"/>
      <c r="W153" s="56"/>
      <c r="X153" s="56"/>
      <c r="Y153" s="56"/>
      <c r="Z153" s="56"/>
      <c r="AA153" s="56"/>
      <c r="AB153" s="56"/>
      <c r="AC153" s="56"/>
      <c r="AD153" s="73"/>
      <c r="AE153" s="73"/>
      <c r="AF153" s="73"/>
      <c r="AG153" s="73"/>
      <c r="AH153" s="73"/>
      <c r="AI153" s="73"/>
      <c r="AJ153" s="73"/>
      <c r="AK153" s="73"/>
      <c r="AL153" s="73"/>
      <c r="AM153" s="73"/>
      <c r="AN153" s="73"/>
      <c r="AO153" s="73"/>
    </row>
    <row r="154" spans="1:41">
      <c r="A154" s="55" t="s">
        <v>412</v>
      </c>
      <c r="B154" s="65" t="s">
        <v>369</v>
      </c>
      <c r="C154" s="56">
        <v>4.5999999999999996</v>
      </c>
      <c r="D154" s="56">
        <v>4.8</v>
      </c>
      <c r="E154" s="56">
        <v>5</v>
      </c>
      <c r="F154" s="56">
        <v>4.5999999999999996</v>
      </c>
      <c r="G154" s="56">
        <v>4.7</v>
      </c>
      <c r="H154" s="56">
        <v>5</v>
      </c>
      <c r="I154" s="56">
        <v>4.9000000000000004</v>
      </c>
      <c r="J154" s="56">
        <v>5.0999999999999996</v>
      </c>
      <c r="K154" s="56">
        <v>4.9000000000000004</v>
      </c>
      <c r="L154" s="56">
        <v>4.7</v>
      </c>
      <c r="M154" s="56">
        <v>4.9000000000000004</v>
      </c>
      <c r="N154" s="56">
        <v>5</v>
      </c>
      <c r="O154" s="56">
        <v>4.9000000000000004</v>
      </c>
      <c r="P154" s="56">
        <v>4.9000000000000004</v>
      </c>
      <c r="Q154" s="56">
        <v>4.7</v>
      </c>
      <c r="R154" s="56">
        <v>4.5999999999999996</v>
      </c>
      <c r="S154" s="72">
        <v>4.5999999999999996</v>
      </c>
      <c r="U154" s="56"/>
      <c r="V154" s="56"/>
      <c r="W154" s="56"/>
      <c r="X154" s="56"/>
      <c r="Y154" s="56"/>
      <c r="Z154" s="56"/>
      <c r="AA154" s="56"/>
      <c r="AB154" s="56"/>
      <c r="AC154" s="56"/>
      <c r="AD154" s="73"/>
      <c r="AE154" s="73"/>
      <c r="AF154" s="73"/>
      <c r="AG154" s="73"/>
      <c r="AH154" s="73"/>
      <c r="AI154" s="73"/>
      <c r="AJ154" s="73"/>
      <c r="AK154" s="73"/>
      <c r="AL154" s="73"/>
      <c r="AM154" s="73"/>
      <c r="AN154" s="73"/>
      <c r="AO154" s="73"/>
    </row>
    <row r="155" spans="1:41">
      <c r="A155" s="55" t="s">
        <v>412</v>
      </c>
      <c r="B155" s="65" t="s">
        <v>442</v>
      </c>
      <c r="C155" s="56">
        <v>1.1000000000000001</v>
      </c>
      <c r="D155" s="56">
        <v>1.2</v>
      </c>
      <c r="E155" s="56">
        <v>1.4</v>
      </c>
      <c r="F155" s="56">
        <v>1.1000000000000001</v>
      </c>
      <c r="G155" s="56">
        <v>1.1000000000000001</v>
      </c>
      <c r="H155" s="56">
        <v>1.2</v>
      </c>
      <c r="I155" s="56">
        <v>1.3</v>
      </c>
      <c r="J155" s="56">
        <v>1.3</v>
      </c>
      <c r="K155" s="56">
        <v>1.3</v>
      </c>
      <c r="L155" s="56">
        <v>1.2</v>
      </c>
      <c r="M155" s="56">
        <v>1.3</v>
      </c>
      <c r="N155" s="56">
        <v>1.3</v>
      </c>
      <c r="O155" s="56">
        <v>1.2</v>
      </c>
      <c r="P155" s="56">
        <v>1.2</v>
      </c>
      <c r="Q155" s="56">
        <v>1.2</v>
      </c>
      <c r="R155" s="56">
        <v>1.2</v>
      </c>
      <c r="S155" s="72">
        <v>1.2</v>
      </c>
      <c r="T155" s="63"/>
      <c r="U155" s="56"/>
      <c r="V155" s="56"/>
      <c r="W155" s="56"/>
      <c r="X155" s="56"/>
      <c r="Y155" s="56"/>
      <c r="Z155" s="56"/>
      <c r="AA155" s="56"/>
      <c r="AB155" s="56"/>
      <c r="AC155" s="56"/>
      <c r="AD155" s="73"/>
      <c r="AE155" s="73"/>
      <c r="AF155" s="73"/>
      <c r="AG155" s="73"/>
      <c r="AH155" s="73"/>
      <c r="AI155" s="73"/>
      <c r="AJ155" s="73"/>
      <c r="AK155" s="73"/>
      <c r="AL155" s="73"/>
      <c r="AM155" s="73"/>
      <c r="AN155" s="73"/>
      <c r="AO155" s="73"/>
    </row>
    <row r="156" spans="1:41">
      <c r="A156" s="55" t="s">
        <v>412</v>
      </c>
      <c r="B156" s="65" t="s">
        <v>371</v>
      </c>
      <c r="C156" s="56">
        <v>0.5</v>
      </c>
      <c r="D156" s="56">
        <v>0.5</v>
      </c>
      <c r="E156" s="56">
        <v>0.6</v>
      </c>
      <c r="F156" s="56">
        <v>0.5</v>
      </c>
      <c r="G156" s="56">
        <v>0.6</v>
      </c>
      <c r="H156" s="56">
        <v>0.6</v>
      </c>
      <c r="I156" s="56">
        <v>0.6</v>
      </c>
      <c r="J156" s="56">
        <v>0.6</v>
      </c>
      <c r="K156" s="56">
        <v>0.5</v>
      </c>
      <c r="L156" s="56">
        <v>0.5</v>
      </c>
      <c r="M156" s="56">
        <v>0.5</v>
      </c>
      <c r="N156" s="56">
        <v>0.6</v>
      </c>
      <c r="O156" s="56">
        <v>0.6</v>
      </c>
      <c r="P156" s="56">
        <v>0.7</v>
      </c>
      <c r="Q156" s="56">
        <v>0.7</v>
      </c>
      <c r="R156" s="56">
        <v>0.7</v>
      </c>
      <c r="S156" s="72">
        <v>0.7</v>
      </c>
      <c r="T156" s="63"/>
      <c r="U156" s="56"/>
      <c r="V156" s="56"/>
      <c r="W156" s="56"/>
      <c r="X156" s="56"/>
      <c r="Y156" s="56"/>
      <c r="Z156" s="56"/>
      <c r="AA156" s="56"/>
      <c r="AB156" s="56"/>
      <c r="AC156" s="56"/>
      <c r="AD156" s="73"/>
      <c r="AE156" s="73"/>
      <c r="AF156" s="73"/>
      <c r="AG156" s="73"/>
      <c r="AH156" s="73"/>
      <c r="AI156" s="73"/>
      <c r="AJ156" s="73"/>
      <c r="AK156" s="73"/>
      <c r="AL156" s="73"/>
      <c r="AM156" s="73"/>
      <c r="AN156" s="73"/>
      <c r="AO156" s="73"/>
    </row>
    <row r="157" spans="1:41">
      <c r="A157" s="55" t="s">
        <v>412</v>
      </c>
      <c r="B157" s="65" t="s">
        <v>372</v>
      </c>
      <c r="C157" s="56">
        <v>2.6</v>
      </c>
      <c r="D157" s="56">
        <v>2.7</v>
      </c>
      <c r="E157" s="56">
        <v>2.7</v>
      </c>
      <c r="F157" s="56">
        <v>2.7</v>
      </c>
      <c r="G157" s="56">
        <v>2.7</v>
      </c>
      <c r="H157" s="56">
        <v>2.6</v>
      </c>
      <c r="I157" s="56">
        <v>2.5</v>
      </c>
      <c r="J157" s="56">
        <v>2.6</v>
      </c>
      <c r="K157" s="56">
        <v>2.6</v>
      </c>
      <c r="L157" s="56">
        <v>2.5</v>
      </c>
      <c r="M157" s="56">
        <v>2.6</v>
      </c>
      <c r="N157" s="56">
        <v>2.6</v>
      </c>
      <c r="O157" s="56">
        <v>2.6</v>
      </c>
      <c r="P157" s="56">
        <v>2.5</v>
      </c>
      <c r="Q157" s="56">
        <v>2.2999999999999998</v>
      </c>
      <c r="R157" s="56">
        <v>2.2999999999999998</v>
      </c>
      <c r="S157" s="72">
        <v>2.2999999999999998</v>
      </c>
      <c r="T157" s="63"/>
      <c r="U157" s="56"/>
      <c r="V157" s="56"/>
      <c r="W157" s="56"/>
      <c r="X157" s="56"/>
      <c r="Y157" s="56"/>
      <c r="Z157" s="56"/>
      <c r="AA157" s="56"/>
      <c r="AB157" s="56"/>
      <c r="AC157" s="56"/>
      <c r="AD157" s="73"/>
      <c r="AE157" s="73"/>
      <c r="AF157" s="73"/>
      <c r="AG157" s="73"/>
      <c r="AH157" s="73"/>
      <c r="AI157" s="73"/>
      <c r="AJ157" s="73"/>
      <c r="AK157" s="73"/>
      <c r="AL157" s="73"/>
      <c r="AM157" s="73"/>
      <c r="AN157" s="73"/>
      <c r="AO157" s="73"/>
    </row>
    <row r="158" spans="1:41">
      <c r="A158" s="55" t="s">
        <v>412</v>
      </c>
      <c r="B158" s="65" t="s">
        <v>443</v>
      </c>
      <c r="C158" s="56">
        <v>0.4</v>
      </c>
      <c r="D158" s="56">
        <v>0.4</v>
      </c>
      <c r="E158" s="56">
        <v>0.3</v>
      </c>
      <c r="F158" s="56">
        <v>0.2</v>
      </c>
      <c r="G158" s="56">
        <v>0.4</v>
      </c>
      <c r="H158" s="56">
        <v>0.6</v>
      </c>
      <c r="I158" s="56">
        <v>0.5</v>
      </c>
      <c r="J158" s="56">
        <v>0.6</v>
      </c>
      <c r="K158" s="56">
        <v>0.5</v>
      </c>
      <c r="L158" s="56">
        <v>0.6</v>
      </c>
      <c r="M158" s="56">
        <v>0.4</v>
      </c>
      <c r="N158" s="56">
        <v>0.5</v>
      </c>
      <c r="O158" s="56">
        <v>0.5</v>
      </c>
      <c r="P158" s="56">
        <v>0.5</v>
      </c>
      <c r="Q158" s="56">
        <v>0.5</v>
      </c>
      <c r="R158" s="56">
        <v>0.4</v>
      </c>
      <c r="S158" s="72">
        <v>0.5</v>
      </c>
      <c r="T158" s="63"/>
      <c r="U158" s="56"/>
      <c r="V158" s="56"/>
      <c r="W158" s="56"/>
      <c r="X158" s="56"/>
      <c r="Y158" s="56"/>
      <c r="Z158" s="56"/>
      <c r="AA158" s="56"/>
      <c r="AB158" s="56"/>
      <c r="AC158" s="56"/>
      <c r="AD158" s="73"/>
      <c r="AE158" s="73"/>
      <c r="AF158" s="73"/>
      <c r="AG158" s="73"/>
      <c r="AH158" s="73"/>
      <c r="AI158" s="73"/>
      <c r="AJ158" s="73"/>
      <c r="AK158" s="73"/>
      <c r="AL158" s="73"/>
      <c r="AM158" s="73"/>
      <c r="AN158" s="73"/>
      <c r="AO158" s="73"/>
    </row>
    <row r="159" spans="1:41">
      <c r="A159" s="55" t="s">
        <v>412</v>
      </c>
      <c r="B159" s="65" t="s">
        <v>374</v>
      </c>
      <c r="C159" s="56">
        <v>18.899999999999999</v>
      </c>
      <c r="D159" s="56">
        <v>19</v>
      </c>
      <c r="E159" s="56">
        <v>19.2</v>
      </c>
      <c r="F159" s="56">
        <v>19.399999999999999</v>
      </c>
      <c r="G159" s="56">
        <v>20.3</v>
      </c>
      <c r="H159" s="56">
        <v>20.5</v>
      </c>
      <c r="I159" s="56">
        <v>20.3</v>
      </c>
      <c r="J159" s="56">
        <v>19.7</v>
      </c>
      <c r="K159" s="56">
        <v>20.2</v>
      </c>
      <c r="L159" s="56">
        <v>20</v>
      </c>
      <c r="M159" s="56">
        <v>19.899999999999999</v>
      </c>
      <c r="N159" s="56">
        <v>19.100000000000001</v>
      </c>
      <c r="O159" s="56">
        <v>19.899999999999999</v>
      </c>
      <c r="P159" s="56">
        <v>19.7</v>
      </c>
      <c r="Q159" s="56">
        <v>19.7</v>
      </c>
      <c r="R159" s="56">
        <v>19.899999999999999</v>
      </c>
      <c r="S159" s="72">
        <v>20.2</v>
      </c>
      <c r="U159" s="56"/>
      <c r="V159" s="56"/>
      <c r="W159" s="56"/>
      <c r="X159" s="56"/>
      <c r="Y159" s="56"/>
      <c r="Z159" s="56"/>
      <c r="AA159" s="56"/>
      <c r="AB159" s="56"/>
      <c r="AC159" s="56"/>
      <c r="AD159" s="73"/>
      <c r="AE159" s="73"/>
      <c r="AF159" s="73"/>
      <c r="AG159" s="73"/>
      <c r="AH159" s="73"/>
      <c r="AI159" s="73"/>
      <c r="AJ159" s="73"/>
      <c r="AK159" s="73"/>
      <c r="AL159" s="73"/>
      <c r="AM159" s="73"/>
      <c r="AN159" s="73"/>
      <c r="AO159" s="73"/>
    </row>
    <row r="160" spans="1:41">
      <c r="A160" s="55" t="s">
        <v>412</v>
      </c>
      <c r="B160" s="65" t="s">
        <v>375</v>
      </c>
      <c r="C160" s="56">
        <v>6.7</v>
      </c>
      <c r="D160" s="56">
        <v>7</v>
      </c>
      <c r="E160" s="56">
        <v>7</v>
      </c>
      <c r="F160" s="56">
        <v>7.3</v>
      </c>
      <c r="G160" s="56">
        <v>7.7</v>
      </c>
      <c r="H160" s="56">
        <v>7.6</v>
      </c>
      <c r="I160" s="56">
        <v>7.5</v>
      </c>
      <c r="J160" s="56">
        <v>7.3</v>
      </c>
      <c r="K160" s="56">
        <v>7.6</v>
      </c>
      <c r="L160" s="56">
        <v>7.6</v>
      </c>
      <c r="M160" s="56">
        <v>7.2</v>
      </c>
      <c r="N160" s="56">
        <v>6.2</v>
      </c>
      <c r="O160" s="56">
        <v>6.7</v>
      </c>
      <c r="P160" s="56">
        <v>6.7</v>
      </c>
      <c r="Q160" s="56">
        <v>6.7</v>
      </c>
      <c r="R160" s="56">
        <v>7</v>
      </c>
      <c r="S160" s="72">
        <v>7.2</v>
      </c>
      <c r="U160" s="56"/>
      <c r="V160" s="56"/>
      <c r="W160" s="56"/>
      <c r="X160" s="56"/>
      <c r="Y160" s="56"/>
      <c r="Z160" s="56"/>
      <c r="AA160" s="56"/>
      <c r="AB160" s="56"/>
      <c r="AC160" s="56"/>
      <c r="AD160" s="73"/>
      <c r="AE160" s="73"/>
      <c r="AF160" s="73"/>
      <c r="AG160" s="73"/>
      <c r="AH160" s="73"/>
      <c r="AI160" s="73"/>
      <c r="AJ160" s="73"/>
      <c r="AK160" s="73"/>
      <c r="AL160" s="73"/>
      <c r="AM160" s="73"/>
      <c r="AN160" s="73"/>
      <c r="AO160" s="73"/>
    </row>
    <row r="161" spans="1:41">
      <c r="A161" s="55" t="s">
        <v>412</v>
      </c>
      <c r="B161" s="65" t="s">
        <v>376</v>
      </c>
      <c r="C161" s="56">
        <v>2.7</v>
      </c>
      <c r="D161" s="56">
        <v>3</v>
      </c>
      <c r="E161" s="56">
        <v>3.2</v>
      </c>
      <c r="F161" s="56">
        <v>3.2</v>
      </c>
      <c r="G161" s="56">
        <v>3.3</v>
      </c>
      <c r="H161" s="56">
        <v>3.7</v>
      </c>
      <c r="I161" s="56">
        <v>3.6</v>
      </c>
      <c r="J161" s="56">
        <v>3.2</v>
      </c>
      <c r="K161" s="56">
        <v>3.3</v>
      </c>
      <c r="L161" s="56">
        <v>3.2</v>
      </c>
      <c r="M161" s="56">
        <v>2.9</v>
      </c>
      <c r="N161" s="56">
        <v>2.8</v>
      </c>
      <c r="O161" s="56">
        <v>2.8</v>
      </c>
      <c r="P161" s="56">
        <v>2.7</v>
      </c>
      <c r="Q161" s="56">
        <v>2.8</v>
      </c>
      <c r="R161" s="56">
        <v>2.9</v>
      </c>
      <c r="S161" s="72">
        <v>3.1</v>
      </c>
      <c r="T161" s="63"/>
      <c r="U161" s="56"/>
      <c r="V161" s="56"/>
      <c r="W161" s="56"/>
      <c r="X161" s="56"/>
      <c r="Y161" s="56"/>
      <c r="Z161" s="56"/>
      <c r="AA161" s="56"/>
      <c r="AB161" s="56"/>
      <c r="AC161" s="56"/>
      <c r="AD161" s="73"/>
      <c r="AE161" s="73"/>
      <c r="AF161" s="73"/>
      <c r="AG161" s="73"/>
      <c r="AH161" s="73"/>
      <c r="AI161" s="73"/>
      <c r="AJ161" s="73"/>
      <c r="AK161" s="73"/>
      <c r="AL161" s="73"/>
      <c r="AM161" s="73"/>
      <c r="AN161" s="73"/>
      <c r="AO161" s="73"/>
    </row>
    <row r="162" spans="1:41">
      <c r="A162" s="55" t="s">
        <v>412</v>
      </c>
      <c r="B162" s="65" t="s">
        <v>377</v>
      </c>
      <c r="C162" s="56">
        <v>1.4</v>
      </c>
      <c r="D162" s="56">
        <v>1.3</v>
      </c>
      <c r="E162" s="56">
        <v>1.2</v>
      </c>
      <c r="F162" s="56">
        <v>1.3</v>
      </c>
      <c r="G162" s="56">
        <v>1.7</v>
      </c>
      <c r="H162" s="56">
        <v>1.5</v>
      </c>
      <c r="I162" s="56">
        <v>1.3</v>
      </c>
      <c r="J162" s="56">
        <v>1.3</v>
      </c>
      <c r="K162" s="56">
        <v>1.5</v>
      </c>
      <c r="L162" s="56">
        <v>1.6</v>
      </c>
      <c r="M162" s="56">
        <v>1.4</v>
      </c>
      <c r="N162" s="56">
        <v>0.8</v>
      </c>
      <c r="O162" s="56">
        <v>1.3</v>
      </c>
      <c r="P162" s="56">
        <v>1.3</v>
      </c>
      <c r="Q162" s="56">
        <v>1.2</v>
      </c>
      <c r="R162" s="56">
        <v>1.4</v>
      </c>
      <c r="S162" s="72">
        <v>1.3</v>
      </c>
      <c r="T162" s="63"/>
      <c r="U162" s="56"/>
      <c r="V162" s="56"/>
      <c r="W162" s="56"/>
      <c r="X162" s="56"/>
      <c r="Y162" s="56"/>
      <c r="Z162" s="56"/>
      <c r="AA162" s="56"/>
      <c r="AB162" s="56"/>
      <c r="AC162" s="56"/>
      <c r="AD162" s="73"/>
      <c r="AE162" s="73"/>
      <c r="AF162" s="73"/>
      <c r="AG162" s="73"/>
      <c r="AH162" s="73"/>
      <c r="AI162" s="73"/>
      <c r="AJ162" s="73"/>
      <c r="AK162" s="73"/>
      <c r="AL162" s="73"/>
      <c r="AM162" s="73"/>
      <c r="AN162" s="73"/>
      <c r="AO162" s="73"/>
    </row>
    <row r="163" spans="1:41">
      <c r="A163" s="55" t="s">
        <v>412</v>
      </c>
      <c r="B163" s="65" t="s">
        <v>378</v>
      </c>
      <c r="C163" s="56">
        <v>2.5</v>
      </c>
      <c r="D163" s="56">
        <v>2.6</v>
      </c>
      <c r="E163" s="56">
        <v>2.4</v>
      </c>
      <c r="F163" s="56">
        <v>2.7</v>
      </c>
      <c r="G163" s="56">
        <v>2.5</v>
      </c>
      <c r="H163" s="56">
        <v>2.2999999999999998</v>
      </c>
      <c r="I163" s="56">
        <v>2.4</v>
      </c>
      <c r="J163" s="56">
        <v>2.6</v>
      </c>
      <c r="K163" s="56">
        <v>2.6</v>
      </c>
      <c r="L163" s="56">
        <v>2.6</v>
      </c>
      <c r="M163" s="56">
        <v>2.7</v>
      </c>
      <c r="N163" s="56">
        <v>2.2999999999999998</v>
      </c>
      <c r="O163" s="56">
        <v>2.5</v>
      </c>
      <c r="P163" s="56">
        <v>2.4</v>
      </c>
      <c r="Q163" s="56">
        <v>2.4</v>
      </c>
      <c r="R163" s="56">
        <v>2.5</v>
      </c>
      <c r="S163" s="72">
        <v>2.5</v>
      </c>
      <c r="T163" s="63"/>
      <c r="U163" s="56"/>
      <c r="V163" s="56"/>
      <c r="W163" s="56"/>
      <c r="X163" s="56"/>
      <c r="Y163" s="56"/>
      <c r="Z163" s="56"/>
      <c r="AA163" s="56"/>
      <c r="AB163" s="56"/>
      <c r="AC163" s="56"/>
      <c r="AD163" s="73"/>
      <c r="AE163" s="73"/>
      <c r="AF163" s="73"/>
      <c r="AG163" s="73"/>
      <c r="AH163" s="73"/>
      <c r="AI163" s="73"/>
      <c r="AJ163" s="73"/>
      <c r="AK163" s="73"/>
      <c r="AL163" s="73"/>
      <c r="AM163" s="73"/>
      <c r="AN163" s="73"/>
      <c r="AO163" s="73"/>
    </row>
    <row r="164" spans="1:41">
      <c r="A164" s="55" t="s">
        <v>412</v>
      </c>
      <c r="B164" s="65" t="s">
        <v>379</v>
      </c>
      <c r="C164" s="56">
        <v>0.1</v>
      </c>
      <c r="D164" s="56">
        <v>0.1</v>
      </c>
      <c r="E164" s="56">
        <v>0.2</v>
      </c>
      <c r="F164" s="56">
        <v>0.2</v>
      </c>
      <c r="G164" s="56">
        <v>0.2</v>
      </c>
      <c r="H164" s="56">
        <v>0.2</v>
      </c>
      <c r="I164" s="56">
        <v>0.2</v>
      </c>
      <c r="J164" s="56">
        <v>0.2</v>
      </c>
      <c r="K164" s="56">
        <v>0.2</v>
      </c>
      <c r="L164" s="56">
        <v>0.2</v>
      </c>
      <c r="M164" s="56">
        <v>0.2</v>
      </c>
      <c r="N164" s="56">
        <v>0.2</v>
      </c>
      <c r="O164" s="56">
        <v>0.2</v>
      </c>
      <c r="P164" s="56">
        <v>0.2</v>
      </c>
      <c r="Q164" s="56">
        <v>0.2</v>
      </c>
      <c r="R164" s="56">
        <v>0.2</v>
      </c>
      <c r="S164" s="72">
        <v>0.3</v>
      </c>
      <c r="T164" s="63"/>
      <c r="U164" s="56"/>
      <c r="V164" s="56"/>
      <c r="W164" s="56"/>
      <c r="X164" s="56"/>
      <c r="Y164" s="56"/>
      <c r="Z164" s="56"/>
      <c r="AA164" s="56"/>
      <c r="AB164" s="56"/>
      <c r="AC164" s="56"/>
      <c r="AD164" s="73"/>
      <c r="AE164" s="73"/>
      <c r="AF164" s="73"/>
      <c r="AG164" s="73"/>
      <c r="AH164" s="73"/>
      <c r="AI164" s="73"/>
      <c r="AJ164" s="73"/>
      <c r="AK164" s="73"/>
      <c r="AL164" s="73"/>
      <c r="AM164" s="73"/>
      <c r="AN164" s="73"/>
      <c r="AO164" s="73"/>
    </row>
    <row r="165" spans="1:41">
      <c r="A165" s="55" t="s">
        <v>412</v>
      </c>
      <c r="B165" s="65" t="s">
        <v>380</v>
      </c>
      <c r="C165" s="56">
        <v>12.1</v>
      </c>
      <c r="D165" s="56">
        <v>11.9</v>
      </c>
      <c r="E165" s="56">
        <v>12.1</v>
      </c>
      <c r="F165" s="56">
        <v>12.1</v>
      </c>
      <c r="G165" s="56">
        <v>12.6</v>
      </c>
      <c r="H165" s="56">
        <v>12.9</v>
      </c>
      <c r="I165" s="56">
        <v>12.7</v>
      </c>
      <c r="J165" s="56">
        <v>12.5</v>
      </c>
      <c r="K165" s="56">
        <v>12.6</v>
      </c>
      <c r="L165" s="56">
        <v>12.4</v>
      </c>
      <c r="M165" s="56">
        <v>12.7</v>
      </c>
      <c r="N165" s="56">
        <v>12.9</v>
      </c>
      <c r="O165" s="56">
        <v>13.2</v>
      </c>
      <c r="P165" s="56">
        <v>13</v>
      </c>
      <c r="Q165" s="56">
        <v>13</v>
      </c>
      <c r="R165" s="56">
        <v>12.9</v>
      </c>
      <c r="S165" s="72">
        <v>13</v>
      </c>
      <c r="U165" s="56"/>
      <c r="V165" s="56"/>
      <c r="W165" s="56"/>
      <c r="X165" s="56"/>
      <c r="Y165" s="56"/>
      <c r="Z165" s="56"/>
      <c r="AA165" s="56"/>
      <c r="AB165" s="56"/>
      <c r="AC165" s="56"/>
      <c r="AD165" s="73"/>
      <c r="AE165" s="73"/>
      <c r="AF165" s="73"/>
      <c r="AG165" s="73"/>
      <c r="AH165" s="73"/>
      <c r="AI165" s="73"/>
      <c r="AJ165" s="73"/>
      <c r="AK165" s="73"/>
      <c r="AL165" s="73"/>
      <c r="AM165" s="73"/>
      <c r="AN165" s="73"/>
      <c r="AO165" s="73"/>
    </row>
    <row r="166" spans="1:41">
      <c r="A166" s="55" t="s">
        <v>412</v>
      </c>
      <c r="B166" s="65" t="s">
        <v>381</v>
      </c>
      <c r="C166" s="56">
        <v>10.9</v>
      </c>
      <c r="D166" s="56">
        <v>10.7</v>
      </c>
      <c r="E166" s="56">
        <v>10.8</v>
      </c>
      <c r="F166" s="56">
        <v>10.7</v>
      </c>
      <c r="G166" s="56">
        <v>11.2</v>
      </c>
      <c r="H166" s="56">
        <v>11.5</v>
      </c>
      <c r="I166" s="56">
        <v>11.5</v>
      </c>
      <c r="J166" s="56">
        <v>11.3</v>
      </c>
      <c r="K166" s="56">
        <v>11.5</v>
      </c>
      <c r="L166" s="56">
        <v>11.2</v>
      </c>
      <c r="M166" s="56">
        <v>11.5</v>
      </c>
      <c r="N166" s="56">
        <v>11.7</v>
      </c>
      <c r="O166" s="56">
        <v>12.1</v>
      </c>
      <c r="P166" s="56">
        <v>11.9</v>
      </c>
      <c r="Q166" s="56">
        <v>11.9</v>
      </c>
      <c r="R166" s="56">
        <v>11.8</v>
      </c>
      <c r="S166" s="72">
        <v>11.9</v>
      </c>
      <c r="T166" s="63"/>
      <c r="U166" s="56"/>
      <c r="V166" s="56"/>
      <c r="W166" s="56"/>
      <c r="X166" s="56"/>
      <c r="Y166" s="56"/>
      <c r="Z166" s="56"/>
      <c r="AA166" s="56"/>
      <c r="AB166" s="56"/>
      <c r="AC166" s="56"/>
      <c r="AD166" s="73"/>
      <c r="AE166" s="73"/>
      <c r="AF166" s="73"/>
      <c r="AG166" s="73"/>
      <c r="AH166" s="73"/>
      <c r="AI166" s="73"/>
      <c r="AJ166" s="73"/>
      <c r="AK166" s="73"/>
      <c r="AL166" s="73"/>
      <c r="AM166" s="73"/>
      <c r="AN166" s="73"/>
      <c r="AO166" s="73"/>
    </row>
    <row r="167" spans="1:41">
      <c r="A167" s="55" t="s">
        <v>412</v>
      </c>
      <c r="B167" s="68" t="s">
        <v>444</v>
      </c>
      <c r="C167" s="56">
        <v>9</v>
      </c>
      <c r="D167" s="56">
        <v>9</v>
      </c>
      <c r="E167" s="56">
        <v>9.1</v>
      </c>
      <c r="F167" s="56">
        <v>9</v>
      </c>
      <c r="G167" s="56">
        <v>9.4</v>
      </c>
      <c r="H167" s="56">
        <v>9.5</v>
      </c>
      <c r="I167" s="56">
        <v>9.4</v>
      </c>
      <c r="J167" s="56">
        <v>9.4</v>
      </c>
      <c r="K167" s="56">
        <v>9.4</v>
      </c>
      <c r="L167" s="56">
        <v>9.4</v>
      </c>
      <c r="M167" s="56">
        <v>9.4</v>
      </c>
      <c r="N167" s="56">
        <v>9.6999999999999993</v>
      </c>
      <c r="O167" s="56">
        <v>10.199999999999999</v>
      </c>
      <c r="P167" s="56">
        <v>9.9</v>
      </c>
      <c r="Q167" s="56">
        <v>9.8000000000000007</v>
      </c>
      <c r="R167" s="56">
        <v>9.6999999999999993</v>
      </c>
      <c r="S167" s="72">
        <v>9.6999999999999993</v>
      </c>
      <c r="T167" s="63"/>
      <c r="U167" s="56"/>
      <c r="V167" s="56"/>
      <c r="W167" s="56"/>
      <c r="X167" s="56"/>
      <c r="Y167" s="56"/>
      <c r="Z167" s="56"/>
      <c r="AA167" s="56"/>
      <c r="AB167" s="56"/>
      <c r="AC167" s="56"/>
      <c r="AD167" s="73"/>
      <c r="AE167" s="73"/>
      <c r="AF167" s="73"/>
      <c r="AG167" s="73"/>
      <c r="AH167" s="73"/>
      <c r="AI167" s="73"/>
      <c r="AJ167" s="73"/>
      <c r="AK167" s="73"/>
      <c r="AL167" s="73"/>
      <c r="AM167" s="73"/>
      <c r="AN167" s="73"/>
      <c r="AO167" s="73"/>
    </row>
    <row r="168" spans="1:41">
      <c r="A168" s="55" t="s">
        <v>412</v>
      </c>
      <c r="B168" s="68" t="s">
        <v>445</v>
      </c>
      <c r="C168" s="56">
        <v>1.8</v>
      </c>
      <c r="D168" s="56">
        <v>1.6</v>
      </c>
      <c r="E168" s="56">
        <v>1.8</v>
      </c>
      <c r="F168" s="56">
        <v>1.7</v>
      </c>
      <c r="G168" s="56">
        <v>1.8</v>
      </c>
      <c r="H168" s="56">
        <v>2</v>
      </c>
      <c r="I168" s="56">
        <v>2.1</v>
      </c>
      <c r="J168" s="56">
        <v>2</v>
      </c>
      <c r="K168" s="56">
        <v>2.1</v>
      </c>
      <c r="L168" s="56">
        <v>1.8</v>
      </c>
      <c r="M168" s="56">
        <v>2.2000000000000002</v>
      </c>
      <c r="N168" s="56">
        <v>2</v>
      </c>
      <c r="O168" s="56">
        <v>1.9</v>
      </c>
      <c r="P168" s="56">
        <v>2</v>
      </c>
      <c r="Q168" s="56">
        <v>2.1</v>
      </c>
      <c r="R168" s="56">
        <v>2.2000000000000002</v>
      </c>
      <c r="S168" s="72">
        <v>2.2000000000000002</v>
      </c>
      <c r="T168" s="63"/>
      <c r="U168" s="56"/>
      <c r="V168" s="56"/>
      <c r="W168" s="56"/>
      <c r="X168" s="56"/>
      <c r="Y168" s="56"/>
      <c r="Z168" s="56"/>
      <c r="AA168" s="56"/>
      <c r="AB168" s="56"/>
      <c r="AC168" s="56"/>
      <c r="AD168" s="73"/>
      <c r="AE168" s="73"/>
      <c r="AF168" s="73"/>
      <c r="AG168" s="73"/>
      <c r="AH168" s="73"/>
      <c r="AI168" s="73"/>
      <c r="AJ168" s="73"/>
      <c r="AK168" s="73"/>
      <c r="AL168" s="73"/>
      <c r="AM168" s="73"/>
      <c r="AN168" s="73"/>
      <c r="AO168" s="73"/>
    </row>
    <row r="169" spans="1:41">
      <c r="A169" s="55" t="s">
        <v>412</v>
      </c>
      <c r="B169" s="65" t="s">
        <v>382</v>
      </c>
      <c r="C169" s="56">
        <v>1.2</v>
      </c>
      <c r="D169" s="56">
        <v>1.2</v>
      </c>
      <c r="E169" s="56">
        <v>1.3</v>
      </c>
      <c r="F169" s="56">
        <v>1.3</v>
      </c>
      <c r="G169" s="56">
        <v>1.4</v>
      </c>
      <c r="H169" s="56">
        <v>1.3</v>
      </c>
      <c r="I169" s="56">
        <v>1.3</v>
      </c>
      <c r="J169" s="56">
        <v>1.2</v>
      </c>
      <c r="K169" s="56">
        <v>1.1000000000000001</v>
      </c>
      <c r="L169" s="56">
        <v>1.2</v>
      </c>
      <c r="M169" s="56">
        <v>1.1000000000000001</v>
      </c>
      <c r="N169" s="56">
        <v>1.2</v>
      </c>
      <c r="O169" s="56">
        <v>1.1000000000000001</v>
      </c>
      <c r="P169" s="56">
        <v>1.1000000000000001</v>
      </c>
      <c r="Q169" s="56">
        <v>1.1000000000000001</v>
      </c>
      <c r="R169" s="56">
        <v>1.1000000000000001</v>
      </c>
      <c r="S169" s="72">
        <v>1.1000000000000001</v>
      </c>
      <c r="T169" s="63"/>
      <c r="U169" s="56"/>
      <c r="V169" s="56"/>
      <c r="W169" s="56"/>
      <c r="X169" s="56"/>
      <c r="Y169" s="56"/>
      <c r="Z169" s="56"/>
      <c r="AA169" s="56"/>
      <c r="AB169" s="56"/>
      <c r="AC169" s="56"/>
      <c r="AD169" s="73"/>
      <c r="AE169" s="73"/>
      <c r="AF169" s="73"/>
      <c r="AG169" s="73"/>
      <c r="AH169" s="73"/>
      <c r="AI169" s="73"/>
      <c r="AJ169" s="73"/>
      <c r="AK169" s="73"/>
      <c r="AL169" s="73"/>
      <c r="AM169" s="73"/>
      <c r="AN169" s="73"/>
      <c r="AO169" s="73"/>
    </row>
    <row r="170" spans="1:41">
      <c r="A170" s="55" t="s">
        <v>412</v>
      </c>
      <c r="B170" s="65" t="s">
        <v>383</v>
      </c>
      <c r="C170" s="56">
        <v>9.8000000000000007</v>
      </c>
      <c r="D170" s="56">
        <v>10.1</v>
      </c>
      <c r="E170" s="56">
        <v>10.4</v>
      </c>
      <c r="F170" s="56">
        <v>10.8</v>
      </c>
      <c r="G170" s="56">
        <v>10.9</v>
      </c>
      <c r="H170" s="56">
        <v>10.9</v>
      </c>
      <c r="I170" s="56">
        <v>10.8</v>
      </c>
      <c r="J170" s="56">
        <v>10.9</v>
      </c>
      <c r="K170" s="56">
        <v>11</v>
      </c>
      <c r="L170" s="56">
        <v>11.1</v>
      </c>
      <c r="M170" s="56">
        <v>11.4</v>
      </c>
      <c r="N170" s="56">
        <v>11.9</v>
      </c>
      <c r="O170" s="56">
        <v>11.5</v>
      </c>
      <c r="P170" s="56">
        <v>11.6</v>
      </c>
      <c r="Q170" s="56">
        <v>11.7</v>
      </c>
      <c r="R170" s="56">
        <v>11.9</v>
      </c>
      <c r="S170" s="72">
        <v>11.8</v>
      </c>
      <c r="U170" s="56"/>
      <c r="V170" s="56"/>
      <c r="W170" s="56"/>
      <c r="X170" s="56"/>
      <c r="Y170" s="56"/>
      <c r="Z170" s="56"/>
      <c r="AA170" s="56"/>
      <c r="AB170" s="56"/>
      <c r="AC170" s="56"/>
      <c r="AD170" s="73"/>
      <c r="AE170" s="73"/>
      <c r="AF170" s="73"/>
      <c r="AG170" s="73"/>
      <c r="AH170" s="73"/>
      <c r="AI170" s="73"/>
      <c r="AJ170" s="73"/>
      <c r="AK170" s="73"/>
      <c r="AL170" s="73"/>
      <c r="AM170" s="73"/>
      <c r="AN170" s="73"/>
      <c r="AO170" s="73"/>
    </row>
    <row r="171" spans="1:41">
      <c r="A171" s="55" t="s">
        <v>412</v>
      </c>
      <c r="B171" s="65" t="s">
        <v>384</v>
      </c>
      <c r="C171" s="56">
        <v>5.8</v>
      </c>
      <c r="D171" s="56">
        <v>6</v>
      </c>
      <c r="E171" s="56">
        <v>6.2</v>
      </c>
      <c r="F171" s="56">
        <v>6.4</v>
      </c>
      <c r="G171" s="56">
        <v>6.5</v>
      </c>
      <c r="H171" s="56">
        <v>6.5</v>
      </c>
      <c r="I171" s="56">
        <v>6.4</v>
      </c>
      <c r="J171" s="56">
        <v>6.4</v>
      </c>
      <c r="K171" s="56">
        <v>6.4</v>
      </c>
      <c r="L171" s="56">
        <v>6.5</v>
      </c>
      <c r="M171" s="56">
        <v>6.7</v>
      </c>
      <c r="N171" s="56">
        <v>7.2</v>
      </c>
      <c r="O171" s="56">
        <v>6.9</v>
      </c>
      <c r="P171" s="56">
        <v>6.8</v>
      </c>
      <c r="Q171" s="56">
        <v>6.9</v>
      </c>
      <c r="R171" s="56">
        <v>7</v>
      </c>
      <c r="S171" s="72">
        <v>6.9</v>
      </c>
      <c r="U171" s="56"/>
      <c r="V171" s="56"/>
      <c r="W171" s="56"/>
      <c r="X171" s="56"/>
      <c r="Y171" s="56"/>
      <c r="Z171" s="56"/>
      <c r="AA171" s="56"/>
      <c r="AB171" s="56"/>
      <c r="AC171" s="56"/>
      <c r="AD171" s="73"/>
      <c r="AE171" s="73"/>
      <c r="AF171" s="73"/>
      <c r="AG171" s="73"/>
      <c r="AH171" s="73"/>
      <c r="AI171" s="73"/>
      <c r="AJ171" s="73"/>
      <c r="AK171" s="73"/>
      <c r="AL171" s="73"/>
      <c r="AM171" s="73"/>
      <c r="AN171" s="73"/>
      <c r="AO171" s="73"/>
    </row>
    <row r="172" spans="1:41">
      <c r="A172" s="55" t="s">
        <v>412</v>
      </c>
      <c r="B172" s="65" t="s">
        <v>385</v>
      </c>
      <c r="C172" s="56">
        <v>1.2</v>
      </c>
      <c r="D172" s="56">
        <v>1.3</v>
      </c>
      <c r="E172" s="56">
        <v>1.3</v>
      </c>
      <c r="F172" s="56">
        <v>1.3</v>
      </c>
      <c r="G172" s="56">
        <v>1.4</v>
      </c>
      <c r="H172" s="56">
        <v>1.4</v>
      </c>
      <c r="I172" s="56">
        <v>1.4</v>
      </c>
      <c r="J172" s="56">
        <v>1.5</v>
      </c>
      <c r="K172" s="56">
        <v>1.5</v>
      </c>
      <c r="L172" s="56">
        <v>1.5</v>
      </c>
      <c r="M172" s="56">
        <v>1.5</v>
      </c>
      <c r="N172" s="56">
        <v>1.6</v>
      </c>
      <c r="O172" s="56">
        <v>1.5</v>
      </c>
      <c r="P172" s="56">
        <v>1.4</v>
      </c>
      <c r="Q172" s="56">
        <v>1.4</v>
      </c>
      <c r="R172" s="56">
        <v>1.4</v>
      </c>
      <c r="S172" s="72">
        <v>1.3</v>
      </c>
      <c r="T172" s="63"/>
      <c r="U172" s="56"/>
      <c r="V172" s="56"/>
      <c r="W172" s="56"/>
      <c r="X172" s="56"/>
      <c r="Y172" s="56"/>
      <c r="Z172" s="56"/>
      <c r="AA172" s="56"/>
      <c r="AB172" s="56"/>
      <c r="AC172" s="56"/>
      <c r="AD172" s="73"/>
      <c r="AE172" s="73"/>
      <c r="AF172" s="73"/>
      <c r="AG172" s="73"/>
      <c r="AH172" s="73"/>
      <c r="AI172" s="73"/>
      <c r="AJ172" s="73"/>
      <c r="AK172" s="73"/>
      <c r="AL172" s="73"/>
      <c r="AM172" s="73"/>
      <c r="AN172" s="73"/>
      <c r="AO172" s="73"/>
    </row>
    <row r="173" spans="1:41">
      <c r="A173" s="55" t="s">
        <v>412</v>
      </c>
      <c r="B173" s="65" t="s">
        <v>386</v>
      </c>
      <c r="C173" s="56">
        <v>0.9</v>
      </c>
      <c r="D173" s="56">
        <v>1</v>
      </c>
      <c r="E173" s="56">
        <v>1.1000000000000001</v>
      </c>
      <c r="F173" s="56">
        <v>1.1000000000000001</v>
      </c>
      <c r="G173" s="56">
        <v>1.1000000000000001</v>
      </c>
      <c r="H173" s="56">
        <v>1</v>
      </c>
      <c r="I173" s="56">
        <v>1</v>
      </c>
      <c r="J173" s="56">
        <v>1</v>
      </c>
      <c r="K173" s="56">
        <v>1</v>
      </c>
      <c r="L173" s="56">
        <v>1.1000000000000001</v>
      </c>
      <c r="M173" s="56">
        <v>1.2</v>
      </c>
      <c r="N173" s="56">
        <v>1.2</v>
      </c>
      <c r="O173" s="56">
        <v>1.3</v>
      </c>
      <c r="P173" s="56">
        <v>1.3</v>
      </c>
      <c r="Q173" s="56">
        <v>1.3</v>
      </c>
      <c r="R173" s="56">
        <v>1.4</v>
      </c>
      <c r="S173" s="72">
        <v>1.4</v>
      </c>
      <c r="T173" s="63"/>
      <c r="U173" s="56"/>
      <c r="V173" s="56"/>
      <c r="W173" s="56"/>
      <c r="X173" s="56"/>
      <c r="Y173" s="56"/>
      <c r="Z173" s="56"/>
      <c r="AA173" s="56"/>
      <c r="AB173" s="56"/>
      <c r="AC173" s="56"/>
      <c r="AD173" s="73"/>
      <c r="AE173" s="73"/>
      <c r="AF173" s="73"/>
      <c r="AG173" s="73"/>
      <c r="AH173" s="73"/>
      <c r="AI173" s="73"/>
      <c r="AJ173" s="73"/>
      <c r="AK173" s="73"/>
      <c r="AL173" s="73"/>
      <c r="AM173" s="73"/>
      <c r="AN173" s="73"/>
      <c r="AO173" s="73"/>
    </row>
    <row r="174" spans="1:41">
      <c r="A174" s="55" t="s">
        <v>412</v>
      </c>
      <c r="B174" s="65" t="s">
        <v>387</v>
      </c>
      <c r="C174" s="56">
        <v>3.7</v>
      </c>
      <c r="D174" s="56">
        <v>3.7</v>
      </c>
      <c r="E174" s="56">
        <v>3.9</v>
      </c>
      <c r="F174" s="56">
        <v>4</v>
      </c>
      <c r="G174" s="56">
        <v>4</v>
      </c>
      <c r="H174" s="56">
        <v>4.0999999999999996</v>
      </c>
      <c r="I174" s="56">
        <v>4</v>
      </c>
      <c r="J174" s="56">
        <v>3.9</v>
      </c>
      <c r="K174" s="56">
        <v>3.9</v>
      </c>
      <c r="L174" s="56">
        <v>4</v>
      </c>
      <c r="M174" s="56">
        <v>4</v>
      </c>
      <c r="N174" s="56">
        <v>4.3</v>
      </c>
      <c r="O174" s="56">
        <v>4.2</v>
      </c>
      <c r="P174" s="56">
        <v>4.2</v>
      </c>
      <c r="Q174" s="56">
        <v>4.2</v>
      </c>
      <c r="R174" s="56">
        <v>4.2</v>
      </c>
      <c r="S174" s="72">
        <v>4.0999999999999996</v>
      </c>
      <c r="T174" s="63"/>
      <c r="U174" s="56"/>
      <c r="V174" s="56"/>
      <c r="W174" s="56"/>
      <c r="X174" s="56"/>
      <c r="Y174" s="56"/>
      <c r="Z174" s="56"/>
      <c r="AA174" s="56"/>
      <c r="AB174" s="56"/>
      <c r="AC174" s="56"/>
      <c r="AD174" s="73"/>
      <c r="AE174" s="73"/>
      <c r="AF174" s="73"/>
      <c r="AG174" s="73"/>
      <c r="AH174" s="73"/>
      <c r="AI174" s="73"/>
      <c r="AJ174" s="73"/>
      <c r="AK174" s="73"/>
      <c r="AL174" s="73"/>
      <c r="AM174" s="73"/>
      <c r="AN174" s="73"/>
      <c r="AO174" s="73"/>
    </row>
    <row r="175" spans="1:41">
      <c r="A175" s="55" t="s">
        <v>412</v>
      </c>
      <c r="B175" s="65" t="s">
        <v>388</v>
      </c>
      <c r="C175" s="56">
        <v>1.5</v>
      </c>
      <c r="D175" s="56">
        <v>1.6</v>
      </c>
      <c r="E175" s="56">
        <v>1.6</v>
      </c>
      <c r="F175" s="56">
        <v>1.7</v>
      </c>
      <c r="G175" s="56">
        <v>1.6</v>
      </c>
      <c r="H175" s="56">
        <v>1.6</v>
      </c>
      <c r="I175" s="56">
        <v>1.6</v>
      </c>
      <c r="J175" s="56">
        <v>1.7</v>
      </c>
      <c r="K175" s="56">
        <v>1.7</v>
      </c>
      <c r="L175" s="56">
        <v>1.7</v>
      </c>
      <c r="M175" s="56">
        <v>1.8</v>
      </c>
      <c r="N175" s="56">
        <v>1.8</v>
      </c>
      <c r="O175" s="56">
        <v>1.7</v>
      </c>
      <c r="P175" s="56">
        <v>1.8</v>
      </c>
      <c r="Q175" s="56">
        <v>1.8</v>
      </c>
      <c r="R175" s="56">
        <v>1.9</v>
      </c>
      <c r="S175" s="72">
        <v>1.9</v>
      </c>
      <c r="U175" s="56"/>
      <c r="V175" s="56"/>
      <c r="W175" s="56"/>
      <c r="X175" s="56"/>
      <c r="Y175" s="56"/>
      <c r="Z175" s="56"/>
      <c r="AA175" s="56"/>
      <c r="AB175" s="56"/>
      <c r="AC175" s="56"/>
      <c r="AD175" s="73"/>
      <c r="AE175" s="73"/>
      <c r="AF175" s="73"/>
      <c r="AG175" s="73"/>
      <c r="AH175" s="73"/>
      <c r="AI175" s="73"/>
      <c r="AJ175" s="73"/>
      <c r="AK175" s="73"/>
      <c r="AL175" s="73"/>
      <c r="AM175" s="73"/>
      <c r="AN175" s="73"/>
      <c r="AO175" s="73"/>
    </row>
    <row r="176" spans="1:41">
      <c r="A176" s="55" t="s">
        <v>412</v>
      </c>
      <c r="B176" s="65" t="s">
        <v>389</v>
      </c>
      <c r="C176" s="56">
        <v>2.5</v>
      </c>
      <c r="D176" s="56">
        <v>2.5</v>
      </c>
      <c r="E176" s="56">
        <v>2.6</v>
      </c>
      <c r="F176" s="56">
        <v>2.7</v>
      </c>
      <c r="G176" s="56">
        <v>2.8</v>
      </c>
      <c r="H176" s="56">
        <v>2.7</v>
      </c>
      <c r="I176" s="56">
        <v>2.8</v>
      </c>
      <c r="J176" s="56">
        <v>2.8</v>
      </c>
      <c r="K176" s="56">
        <v>2.9</v>
      </c>
      <c r="L176" s="56">
        <v>2.9</v>
      </c>
      <c r="M176" s="56">
        <v>3</v>
      </c>
      <c r="N176" s="56">
        <v>3</v>
      </c>
      <c r="O176" s="56">
        <v>2.9</v>
      </c>
      <c r="P176" s="56">
        <v>2.9</v>
      </c>
      <c r="Q176" s="56">
        <v>2.9</v>
      </c>
      <c r="R176" s="56">
        <v>3</v>
      </c>
      <c r="S176" s="72">
        <v>3</v>
      </c>
      <c r="U176" s="56"/>
      <c r="V176" s="56"/>
      <c r="W176" s="56"/>
      <c r="X176" s="56"/>
      <c r="Y176" s="56"/>
      <c r="Z176" s="56"/>
      <c r="AA176" s="56"/>
      <c r="AB176" s="56"/>
      <c r="AC176" s="56"/>
      <c r="AD176" s="73"/>
      <c r="AE176" s="73"/>
      <c r="AF176" s="73"/>
      <c r="AG176" s="73"/>
      <c r="AH176" s="73"/>
      <c r="AI176" s="73"/>
      <c r="AJ176" s="73"/>
      <c r="AK176" s="73"/>
      <c r="AL176" s="73"/>
      <c r="AM176" s="73"/>
      <c r="AN176" s="73"/>
      <c r="AO176" s="73"/>
    </row>
    <row r="177" spans="1:41">
      <c r="A177" s="55" t="s">
        <v>412</v>
      </c>
      <c r="B177" s="65" t="s">
        <v>390</v>
      </c>
      <c r="C177" s="56">
        <v>2.2000000000000002</v>
      </c>
      <c r="D177" s="56">
        <v>2.2999999999999998</v>
      </c>
      <c r="E177" s="56">
        <v>2.4</v>
      </c>
      <c r="F177" s="56">
        <v>2.5</v>
      </c>
      <c r="G177" s="56">
        <v>2.5</v>
      </c>
      <c r="H177" s="56">
        <v>2.5</v>
      </c>
      <c r="I177" s="56">
        <v>2.5</v>
      </c>
      <c r="J177" s="56">
        <v>2.6</v>
      </c>
      <c r="K177" s="56">
        <v>2.6</v>
      </c>
      <c r="L177" s="56">
        <v>2.7</v>
      </c>
      <c r="M177" s="56">
        <v>2.7</v>
      </c>
      <c r="N177" s="56">
        <v>2.7</v>
      </c>
      <c r="O177" s="56">
        <v>2.6</v>
      </c>
      <c r="P177" s="56">
        <v>2.6</v>
      </c>
      <c r="Q177" s="56">
        <v>2.7</v>
      </c>
      <c r="R177" s="56">
        <v>2.7</v>
      </c>
      <c r="S177" s="72">
        <v>2.7</v>
      </c>
      <c r="T177" s="63"/>
      <c r="U177" s="56"/>
      <c r="V177" s="56"/>
      <c r="W177" s="56"/>
      <c r="X177" s="56"/>
      <c r="Y177" s="56"/>
      <c r="Z177" s="56"/>
      <c r="AA177" s="56"/>
      <c r="AB177" s="56"/>
      <c r="AC177" s="56"/>
      <c r="AD177" s="73"/>
      <c r="AE177" s="73"/>
      <c r="AF177" s="73"/>
      <c r="AG177" s="73"/>
      <c r="AH177" s="73"/>
      <c r="AI177" s="73"/>
      <c r="AJ177" s="73"/>
      <c r="AK177" s="73"/>
      <c r="AL177" s="73"/>
      <c r="AM177" s="73"/>
      <c r="AN177" s="73"/>
      <c r="AO177" s="73"/>
    </row>
    <row r="178" spans="1:41">
      <c r="A178" s="55" t="s">
        <v>412</v>
      </c>
      <c r="B178" s="65" t="s">
        <v>391</v>
      </c>
      <c r="C178" s="56">
        <v>0.3</v>
      </c>
      <c r="D178" s="56">
        <v>0.3</v>
      </c>
      <c r="E178" s="56">
        <v>0.3</v>
      </c>
      <c r="F178" s="56">
        <v>0.3</v>
      </c>
      <c r="G178" s="56">
        <v>0.3</v>
      </c>
      <c r="H178" s="56">
        <v>0.3</v>
      </c>
      <c r="I178" s="56">
        <v>0.3</v>
      </c>
      <c r="J178" s="56">
        <v>0.3</v>
      </c>
      <c r="K178" s="56">
        <v>0.3</v>
      </c>
      <c r="L178" s="56">
        <v>0.2</v>
      </c>
      <c r="M178" s="56">
        <v>0.2</v>
      </c>
      <c r="N178" s="56">
        <v>0.2</v>
      </c>
      <c r="O178" s="56">
        <v>0.3</v>
      </c>
      <c r="P178" s="56">
        <v>0.3</v>
      </c>
      <c r="Q178" s="56">
        <v>0.3</v>
      </c>
      <c r="R178" s="56">
        <v>0.3</v>
      </c>
      <c r="S178" s="72">
        <v>0.3</v>
      </c>
      <c r="T178" s="63"/>
      <c r="U178" s="56"/>
      <c r="V178" s="56"/>
      <c r="W178" s="56"/>
      <c r="X178" s="56"/>
      <c r="Y178" s="56"/>
      <c r="Z178" s="56"/>
      <c r="AA178" s="56"/>
      <c r="AB178" s="56"/>
      <c r="AC178" s="56"/>
      <c r="AD178" s="73"/>
      <c r="AE178" s="73"/>
      <c r="AF178" s="73"/>
      <c r="AG178" s="73"/>
      <c r="AH178" s="73"/>
      <c r="AI178" s="73"/>
      <c r="AJ178" s="73"/>
      <c r="AK178" s="73"/>
      <c r="AL178" s="73"/>
      <c r="AM178" s="73"/>
      <c r="AN178" s="73"/>
      <c r="AO178" s="73"/>
    </row>
    <row r="179" spans="1:41">
      <c r="A179" s="55" t="s">
        <v>412</v>
      </c>
      <c r="B179" s="65" t="s">
        <v>392</v>
      </c>
      <c r="C179" s="56">
        <v>6.8</v>
      </c>
      <c r="D179" s="56">
        <v>6.7</v>
      </c>
      <c r="E179" s="56">
        <v>6.6</v>
      </c>
      <c r="F179" s="56">
        <v>6.6</v>
      </c>
      <c r="G179" s="56">
        <v>6.9</v>
      </c>
      <c r="H179" s="56">
        <v>7.2</v>
      </c>
      <c r="I179" s="56">
        <v>7.3</v>
      </c>
      <c r="J179" s="56">
        <v>7.4</v>
      </c>
      <c r="K179" s="56">
        <v>7.3</v>
      </c>
      <c r="L179" s="56">
        <v>7.3</v>
      </c>
      <c r="M179" s="56">
        <v>7.4</v>
      </c>
      <c r="N179" s="56">
        <v>7.8</v>
      </c>
      <c r="O179" s="56">
        <v>8.4</v>
      </c>
      <c r="P179" s="56">
        <v>8.3000000000000007</v>
      </c>
      <c r="Q179" s="56">
        <v>8.3000000000000007</v>
      </c>
      <c r="R179" s="56">
        <v>8.3000000000000007</v>
      </c>
      <c r="S179" s="72">
        <v>8.1999999999999993</v>
      </c>
      <c r="U179" s="56"/>
      <c r="V179" s="56"/>
      <c r="W179" s="56"/>
      <c r="X179" s="56"/>
      <c r="Y179" s="56"/>
      <c r="Z179" s="56"/>
      <c r="AA179" s="56"/>
      <c r="AB179" s="56"/>
      <c r="AC179" s="56"/>
      <c r="AD179" s="73"/>
      <c r="AE179" s="73"/>
      <c r="AF179" s="73"/>
      <c r="AG179" s="73"/>
      <c r="AH179" s="73"/>
      <c r="AI179" s="73"/>
      <c r="AJ179" s="73"/>
      <c r="AK179" s="73"/>
      <c r="AL179" s="73"/>
      <c r="AM179" s="73"/>
      <c r="AN179" s="73"/>
      <c r="AO179" s="73"/>
    </row>
    <row r="180" spans="1:41">
      <c r="A180" s="55" t="s">
        <v>412</v>
      </c>
      <c r="B180" s="65" t="s">
        <v>393</v>
      </c>
      <c r="C180" s="56">
        <v>0.8</v>
      </c>
      <c r="D180" s="56">
        <v>0.8</v>
      </c>
      <c r="E180" s="56">
        <v>0.8</v>
      </c>
      <c r="F180" s="56">
        <v>0.8</v>
      </c>
      <c r="G180" s="56">
        <v>0.9</v>
      </c>
      <c r="H180" s="56">
        <v>0.9</v>
      </c>
      <c r="I180" s="56">
        <v>0.9</v>
      </c>
      <c r="J180" s="56">
        <v>1</v>
      </c>
      <c r="K180" s="56">
        <v>0.9</v>
      </c>
      <c r="L180" s="56">
        <v>0.9</v>
      </c>
      <c r="M180" s="56">
        <v>1</v>
      </c>
      <c r="N180" s="56">
        <v>1</v>
      </c>
      <c r="O180" s="56">
        <v>1.1000000000000001</v>
      </c>
      <c r="P180" s="56">
        <v>1.1000000000000001</v>
      </c>
      <c r="Q180" s="56">
        <v>1.1000000000000001</v>
      </c>
      <c r="R180" s="56">
        <v>1.1000000000000001</v>
      </c>
      <c r="S180" s="72">
        <v>1.1000000000000001</v>
      </c>
      <c r="U180" s="56"/>
      <c r="V180" s="56"/>
      <c r="W180" s="56"/>
      <c r="X180" s="56"/>
      <c r="Y180" s="56"/>
      <c r="Z180" s="56"/>
      <c r="AA180" s="56"/>
      <c r="AB180" s="56"/>
      <c r="AC180" s="56"/>
      <c r="AD180" s="73"/>
      <c r="AE180" s="73"/>
      <c r="AF180" s="73"/>
      <c r="AG180" s="73"/>
      <c r="AH180" s="73"/>
      <c r="AI180" s="73"/>
      <c r="AJ180" s="73"/>
      <c r="AK180" s="73"/>
      <c r="AL180" s="73"/>
      <c r="AM180" s="73"/>
      <c r="AN180" s="73"/>
      <c r="AO180" s="73"/>
    </row>
    <row r="181" spans="1:41">
      <c r="A181" s="55" t="s">
        <v>412</v>
      </c>
      <c r="B181" s="65" t="s">
        <v>394</v>
      </c>
      <c r="C181" s="56">
        <v>5.9</v>
      </c>
      <c r="D181" s="56">
        <v>5.8</v>
      </c>
      <c r="E181" s="56">
        <v>5.8</v>
      </c>
      <c r="F181" s="56">
        <v>5.8</v>
      </c>
      <c r="G181" s="56">
        <v>6</v>
      </c>
      <c r="H181" s="56">
        <v>6.3</v>
      </c>
      <c r="I181" s="56">
        <v>6.4</v>
      </c>
      <c r="J181" s="56">
        <v>6.4</v>
      </c>
      <c r="K181" s="56">
        <v>6.3</v>
      </c>
      <c r="L181" s="56">
        <v>6.4</v>
      </c>
      <c r="M181" s="56">
        <v>6.4</v>
      </c>
      <c r="N181" s="56">
        <v>6.8</v>
      </c>
      <c r="O181" s="56">
        <v>7.3</v>
      </c>
      <c r="P181" s="56">
        <v>7.2</v>
      </c>
      <c r="Q181" s="56">
        <v>7.2</v>
      </c>
      <c r="R181" s="56">
        <v>7.1</v>
      </c>
      <c r="S181" s="72">
        <v>7.1</v>
      </c>
      <c r="U181" s="56"/>
      <c r="V181" s="56"/>
      <c r="W181" s="56"/>
      <c r="X181" s="56"/>
      <c r="Y181" s="56"/>
      <c r="Z181" s="56"/>
      <c r="AA181" s="56"/>
      <c r="AB181" s="56"/>
      <c r="AC181" s="56"/>
      <c r="AD181" s="73"/>
      <c r="AE181" s="73"/>
      <c r="AF181" s="73"/>
      <c r="AG181" s="73"/>
      <c r="AH181" s="73"/>
      <c r="AI181" s="73"/>
      <c r="AJ181" s="73"/>
      <c r="AK181" s="73"/>
      <c r="AL181" s="73"/>
      <c r="AM181" s="73"/>
      <c r="AN181" s="73"/>
      <c r="AO181" s="73"/>
    </row>
    <row r="182" spans="1:41">
      <c r="A182" s="55" t="s">
        <v>412</v>
      </c>
      <c r="B182" s="65" t="s">
        <v>395</v>
      </c>
      <c r="C182" s="56">
        <v>2.9</v>
      </c>
      <c r="D182" s="56">
        <v>2.8</v>
      </c>
      <c r="E182" s="56">
        <v>2.8</v>
      </c>
      <c r="F182" s="56">
        <v>2.8</v>
      </c>
      <c r="G182" s="56">
        <v>2.9</v>
      </c>
      <c r="H182" s="56">
        <v>3.1</v>
      </c>
      <c r="I182" s="56">
        <v>3.1</v>
      </c>
      <c r="J182" s="56">
        <v>3.1</v>
      </c>
      <c r="K182" s="56">
        <v>3</v>
      </c>
      <c r="L182" s="56">
        <v>3.1</v>
      </c>
      <c r="M182" s="56">
        <v>3.1</v>
      </c>
      <c r="N182" s="56">
        <v>3.2</v>
      </c>
      <c r="O182" s="56">
        <v>3.5</v>
      </c>
      <c r="P182" s="56">
        <v>3.5</v>
      </c>
      <c r="Q182" s="56">
        <v>3.5</v>
      </c>
      <c r="R182" s="56">
        <v>3.5</v>
      </c>
      <c r="S182" s="72">
        <v>3.4</v>
      </c>
      <c r="T182" s="63"/>
      <c r="U182" s="56"/>
      <c r="V182" s="56"/>
      <c r="W182" s="56"/>
      <c r="X182" s="56"/>
      <c r="Y182" s="56"/>
      <c r="Z182" s="56"/>
      <c r="AA182" s="56"/>
      <c r="AB182" s="56"/>
      <c r="AC182" s="56"/>
      <c r="AD182" s="73"/>
      <c r="AE182" s="73"/>
      <c r="AF182" s="73"/>
      <c r="AG182" s="73"/>
      <c r="AH182" s="73"/>
      <c r="AI182" s="73"/>
      <c r="AJ182" s="73"/>
      <c r="AK182" s="73"/>
      <c r="AL182" s="73"/>
      <c r="AM182" s="73"/>
      <c r="AN182" s="73"/>
      <c r="AO182" s="73"/>
    </row>
    <row r="183" spans="1:41">
      <c r="A183" s="55" t="s">
        <v>412</v>
      </c>
      <c r="B183" s="65" t="s">
        <v>446</v>
      </c>
      <c r="C183" s="56">
        <v>1.8</v>
      </c>
      <c r="D183" s="56">
        <v>1.8</v>
      </c>
      <c r="E183" s="56">
        <v>1.8</v>
      </c>
      <c r="F183" s="56">
        <v>1.8</v>
      </c>
      <c r="G183" s="56">
        <v>1.8</v>
      </c>
      <c r="H183" s="56">
        <v>1.9</v>
      </c>
      <c r="I183" s="56">
        <v>2</v>
      </c>
      <c r="J183" s="56">
        <v>2</v>
      </c>
      <c r="K183" s="56">
        <v>2</v>
      </c>
      <c r="L183" s="56">
        <v>2</v>
      </c>
      <c r="M183" s="56">
        <v>2</v>
      </c>
      <c r="N183" s="56">
        <v>2.2000000000000002</v>
      </c>
      <c r="O183" s="56">
        <v>2.4</v>
      </c>
      <c r="P183" s="56">
        <v>2.2999999999999998</v>
      </c>
      <c r="Q183" s="56">
        <v>2.2999999999999998</v>
      </c>
      <c r="R183" s="56">
        <v>2.2999999999999998</v>
      </c>
      <c r="S183" s="72">
        <v>2.2999999999999998</v>
      </c>
      <c r="T183" s="63"/>
      <c r="U183" s="56"/>
      <c r="V183" s="56"/>
      <c r="W183" s="56"/>
      <c r="X183" s="56"/>
      <c r="Y183" s="56"/>
      <c r="Z183" s="56"/>
      <c r="AA183" s="56"/>
      <c r="AB183" s="56"/>
      <c r="AC183" s="56"/>
      <c r="AD183" s="73"/>
      <c r="AE183" s="73"/>
      <c r="AF183" s="73"/>
      <c r="AG183" s="73"/>
      <c r="AH183" s="73"/>
      <c r="AI183" s="73"/>
      <c r="AJ183" s="73"/>
      <c r="AK183" s="73"/>
      <c r="AL183" s="73"/>
      <c r="AM183" s="73"/>
      <c r="AN183" s="73"/>
      <c r="AO183" s="73"/>
    </row>
    <row r="184" spans="1:41">
      <c r="A184" s="55" t="s">
        <v>412</v>
      </c>
      <c r="B184" s="65" t="s">
        <v>447</v>
      </c>
      <c r="C184" s="56">
        <v>0.7</v>
      </c>
      <c r="D184" s="56">
        <v>0.7</v>
      </c>
      <c r="E184" s="56">
        <v>0.7</v>
      </c>
      <c r="F184" s="56">
        <v>0.7</v>
      </c>
      <c r="G184" s="56">
        <v>0.7</v>
      </c>
      <c r="H184" s="56">
        <v>0.8</v>
      </c>
      <c r="I184" s="56">
        <v>0.8</v>
      </c>
      <c r="J184" s="56">
        <v>0.8</v>
      </c>
      <c r="K184" s="56">
        <v>0.7</v>
      </c>
      <c r="L184" s="56">
        <v>0.7</v>
      </c>
      <c r="M184" s="56">
        <v>0.7</v>
      </c>
      <c r="N184" s="56">
        <v>0.8</v>
      </c>
      <c r="O184" s="56">
        <v>0.8</v>
      </c>
      <c r="P184" s="56">
        <v>0.8</v>
      </c>
      <c r="Q184" s="56">
        <v>0.8</v>
      </c>
      <c r="R184" s="56">
        <v>0.8</v>
      </c>
      <c r="S184" s="72">
        <v>0.8</v>
      </c>
      <c r="T184" s="63"/>
      <c r="U184" s="56"/>
      <c r="V184" s="56"/>
      <c r="W184" s="56"/>
      <c r="X184" s="56"/>
      <c r="Y184" s="56"/>
      <c r="Z184" s="56"/>
      <c r="AA184" s="56"/>
      <c r="AB184" s="56"/>
      <c r="AC184" s="56"/>
      <c r="AD184" s="73"/>
      <c r="AE184" s="73"/>
      <c r="AF184" s="73"/>
      <c r="AG184" s="73"/>
      <c r="AH184" s="73"/>
      <c r="AI184" s="73"/>
      <c r="AJ184" s="73"/>
      <c r="AK184" s="73"/>
      <c r="AL184" s="73"/>
      <c r="AM184" s="73"/>
      <c r="AN184" s="73"/>
      <c r="AO184" s="73"/>
    </row>
    <row r="185" spans="1:41">
      <c r="A185" s="55" t="s">
        <v>412</v>
      </c>
      <c r="B185" s="65" t="s">
        <v>397</v>
      </c>
      <c r="C185" s="56">
        <v>0.5</v>
      </c>
      <c r="D185" s="56">
        <v>0.5</v>
      </c>
      <c r="E185" s="56">
        <v>0.5</v>
      </c>
      <c r="F185" s="56">
        <v>0.5</v>
      </c>
      <c r="G185" s="56">
        <v>0.5</v>
      </c>
      <c r="H185" s="56">
        <v>0.5</v>
      </c>
      <c r="I185" s="56">
        <v>0.6</v>
      </c>
      <c r="J185" s="56">
        <v>0.6</v>
      </c>
      <c r="K185" s="56">
        <v>0.6</v>
      </c>
      <c r="L185" s="56">
        <v>0.6</v>
      </c>
      <c r="M185" s="56">
        <v>0.6</v>
      </c>
      <c r="N185" s="56">
        <v>0.6</v>
      </c>
      <c r="O185" s="56">
        <v>0.6</v>
      </c>
      <c r="P185" s="56">
        <v>0.6</v>
      </c>
      <c r="Q185" s="56">
        <v>0.6</v>
      </c>
      <c r="R185" s="56">
        <v>0.6</v>
      </c>
      <c r="S185" s="72">
        <v>0.6</v>
      </c>
      <c r="T185" s="63"/>
      <c r="U185" s="56"/>
      <c r="V185" s="56"/>
      <c r="W185" s="56"/>
      <c r="X185" s="56"/>
      <c r="Y185" s="56"/>
      <c r="Z185" s="56"/>
      <c r="AA185" s="56"/>
      <c r="AB185" s="56"/>
      <c r="AC185" s="56"/>
      <c r="AD185" s="73"/>
      <c r="AE185" s="73"/>
      <c r="AF185" s="73"/>
      <c r="AG185" s="73"/>
      <c r="AH185" s="73"/>
      <c r="AI185" s="73"/>
      <c r="AJ185" s="73"/>
      <c r="AK185" s="73"/>
      <c r="AL185" s="73"/>
      <c r="AM185" s="73"/>
      <c r="AN185" s="73"/>
      <c r="AO185" s="73"/>
    </row>
    <row r="186" spans="1:41">
      <c r="A186" s="55" t="s">
        <v>412</v>
      </c>
      <c r="B186" s="65" t="s">
        <v>398</v>
      </c>
      <c r="C186" s="56">
        <v>3.5</v>
      </c>
      <c r="D186" s="56">
        <v>3.5</v>
      </c>
      <c r="E186" s="56">
        <v>3.7</v>
      </c>
      <c r="F186" s="56">
        <v>3.8</v>
      </c>
      <c r="G186" s="56">
        <v>3.7</v>
      </c>
      <c r="H186" s="56">
        <v>3.8</v>
      </c>
      <c r="I186" s="56">
        <v>3.8</v>
      </c>
      <c r="J186" s="56">
        <v>3.8</v>
      </c>
      <c r="K186" s="56">
        <v>3.7</v>
      </c>
      <c r="L186" s="56">
        <v>3.7</v>
      </c>
      <c r="M186" s="56">
        <v>3.7</v>
      </c>
      <c r="N186" s="56">
        <v>3.6</v>
      </c>
      <c r="O186" s="56">
        <v>3.6</v>
      </c>
      <c r="P186" s="56">
        <v>3.6</v>
      </c>
      <c r="Q186" s="56">
        <v>3.6</v>
      </c>
      <c r="R186" s="56">
        <v>3.7</v>
      </c>
      <c r="S186" s="72">
        <v>3.7</v>
      </c>
      <c r="U186" s="56"/>
      <c r="V186" s="56"/>
      <c r="W186" s="56"/>
      <c r="X186" s="56"/>
      <c r="Y186" s="56"/>
      <c r="Z186" s="56"/>
      <c r="AA186" s="56"/>
      <c r="AB186" s="56"/>
      <c r="AC186" s="56"/>
      <c r="AD186" s="73"/>
      <c r="AE186" s="73"/>
      <c r="AF186" s="73"/>
      <c r="AG186" s="73"/>
      <c r="AH186" s="73"/>
      <c r="AI186" s="73"/>
      <c r="AJ186" s="73"/>
      <c r="AK186" s="73"/>
      <c r="AL186" s="73"/>
      <c r="AM186" s="73"/>
      <c r="AN186" s="73"/>
      <c r="AO186" s="73"/>
    </row>
    <row r="187" spans="1:41">
      <c r="A187" s="55" t="s">
        <v>412</v>
      </c>
      <c r="B187" s="65" t="s">
        <v>399</v>
      </c>
      <c r="C187" s="56">
        <v>0.9</v>
      </c>
      <c r="D187" s="56">
        <v>0.9</v>
      </c>
      <c r="E187" s="56">
        <v>0.9</v>
      </c>
      <c r="F187" s="56">
        <v>1</v>
      </c>
      <c r="G187" s="56">
        <v>0.9</v>
      </c>
      <c r="H187" s="56">
        <v>0.9</v>
      </c>
      <c r="I187" s="56">
        <v>1</v>
      </c>
      <c r="J187" s="56">
        <v>1</v>
      </c>
      <c r="K187" s="56">
        <v>0.9</v>
      </c>
      <c r="L187" s="56">
        <v>0.9</v>
      </c>
      <c r="M187" s="56">
        <v>1</v>
      </c>
      <c r="N187" s="56">
        <v>1</v>
      </c>
      <c r="O187" s="56">
        <v>1</v>
      </c>
      <c r="P187" s="56">
        <v>1</v>
      </c>
      <c r="Q187" s="56">
        <v>1</v>
      </c>
      <c r="R187" s="56">
        <v>1</v>
      </c>
      <c r="S187" s="72">
        <v>1</v>
      </c>
      <c r="U187" s="56"/>
      <c r="V187" s="56"/>
      <c r="W187" s="56"/>
      <c r="X187" s="56"/>
      <c r="Y187" s="56"/>
      <c r="Z187" s="56"/>
      <c r="AA187" s="56"/>
      <c r="AB187" s="56"/>
      <c r="AC187" s="56"/>
      <c r="AD187" s="73"/>
      <c r="AE187" s="73"/>
      <c r="AF187" s="73"/>
      <c r="AG187" s="73"/>
      <c r="AH187" s="73"/>
      <c r="AI187" s="73"/>
      <c r="AJ187" s="73"/>
      <c r="AK187" s="73"/>
      <c r="AL187" s="73"/>
      <c r="AM187" s="73"/>
      <c r="AN187" s="73"/>
      <c r="AO187" s="73"/>
    </row>
    <row r="188" spans="1:41">
      <c r="A188" s="55" t="s">
        <v>412</v>
      </c>
      <c r="B188" s="65" t="s">
        <v>400</v>
      </c>
      <c r="C188" s="56">
        <v>0.4</v>
      </c>
      <c r="D188" s="56">
        <v>0.4</v>
      </c>
      <c r="E188" s="56">
        <v>0.5</v>
      </c>
      <c r="F188" s="56">
        <v>0.5</v>
      </c>
      <c r="G188" s="56">
        <v>0.5</v>
      </c>
      <c r="H188" s="56">
        <v>0.5</v>
      </c>
      <c r="I188" s="56">
        <v>0.5</v>
      </c>
      <c r="J188" s="56">
        <v>0.5</v>
      </c>
      <c r="K188" s="56">
        <v>0.5</v>
      </c>
      <c r="L188" s="56">
        <v>0.5</v>
      </c>
      <c r="M188" s="56">
        <v>0.5</v>
      </c>
      <c r="N188" s="56">
        <v>0.5</v>
      </c>
      <c r="O188" s="56">
        <v>0.5</v>
      </c>
      <c r="P188" s="56">
        <v>0.5</v>
      </c>
      <c r="Q188" s="56">
        <v>0.5</v>
      </c>
      <c r="R188" s="56">
        <v>0.5</v>
      </c>
      <c r="S188" s="72">
        <v>0.5</v>
      </c>
      <c r="T188" s="63"/>
      <c r="U188" s="56"/>
      <c r="V188" s="56"/>
      <c r="W188" s="56"/>
      <c r="X188" s="56"/>
      <c r="Y188" s="56"/>
      <c r="Z188" s="56"/>
      <c r="AA188" s="56"/>
      <c r="AB188" s="56"/>
      <c r="AC188" s="56"/>
      <c r="AD188" s="73"/>
      <c r="AE188" s="73"/>
      <c r="AF188" s="73"/>
      <c r="AG188" s="73"/>
      <c r="AH188" s="73"/>
      <c r="AI188" s="73"/>
      <c r="AJ188" s="73"/>
      <c r="AK188" s="73"/>
      <c r="AL188" s="73"/>
      <c r="AM188" s="73"/>
      <c r="AN188" s="73"/>
      <c r="AO188" s="73"/>
    </row>
    <row r="189" spans="1:41">
      <c r="A189" s="55" t="s">
        <v>412</v>
      </c>
      <c r="B189" s="65" t="s">
        <v>401</v>
      </c>
      <c r="C189" s="56">
        <v>0.5</v>
      </c>
      <c r="D189" s="56">
        <v>0.5</v>
      </c>
      <c r="E189" s="56">
        <v>0.5</v>
      </c>
      <c r="F189" s="56">
        <v>0.5</v>
      </c>
      <c r="G189" s="56">
        <v>0.4</v>
      </c>
      <c r="H189" s="56">
        <v>0.4</v>
      </c>
      <c r="I189" s="56">
        <v>0.4</v>
      </c>
      <c r="J189" s="56">
        <v>0.4</v>
      </c>
      <c r="K189" s="56">
        <v>0.4</v>
      </c>
      <c r="L189" s="56">
        <v>0.4</v>
      </c>
      <c r="M189" s="56">
        <v>0.4</v>
      </c>
      <c r="N189" s="56">
        <v>0.4</v>
      </c>
      <c r="O189" s="56">
        <v>0.4</v>
      </c>
      <c r="P189" s="56">
        <v>0.4</v>
      </c>
      <c r="Q189" s="56">
        <v>0.4</v>
      </c>
      <c r="R189" s="56">
        <v>0.4</v>
      </c>
      <c r="S189" s="72">
        <v>0.4</v>
      </c>
      <c r="T189" s="63"/>
      <c r="U189" s="56"/>
      <c r="V189" s="56"/>
      <c r="W189" s="56"/>
      <c r="X189" s="56"/>
      <c r="Y189" s="56"/>
      <c r="Z189" s="56"/>
      <c r="AA189" s="56"/>
      <c r="AB189" s="56"/>
      <c r="AC189" s="56"/>
      <c r="AD189" s="73"/>
      <c r="AE189" s="73"/>
      <c r="AF189" s="73"/>
      <c r="AG189" s="73"/>
      <c r="AH189" s="73"/>
      <c r="AI189" s="73"/>
      <c r="AJ189" s="73"/>
      <c r="AK189" s="73"/>
      <c r="AL189" s="73"/>
      <c r="AM189" s="73"/>
      <c r="AN189" s="73"/>
      <c r="AO189" s="73"/>
    </row>
    <row r="190" spans="1:41">
      <c r="A190" s="55" t="s">
        <v>412</v>
      </c>
      <c r="B190" s="65" t="s">
        <v>402</v>
      </c>
      <c r="C190" s="56">
        <v>2.6</v>
      </c>
      <c r="D190" s="56">
        <v>2.6</v>
      </c>
      <c r="E190" s="56">
        <v>2.7</v>
      </c>
      <c r="F190" s="56">
        <v>2.8</v>
      </c>
      <c r="G190" s="56">
        <v>2.8</v>
      </c>
      <c r="H190" s="56">
        <v>2.8</v>
      </c>
      <c r="I190" s="56">
        <v>2.8</v>
      </c>
      <c r="J190" s="56">
        <v>2.8</v>
      </c>
      <c r="K190" s="56">
        <v>2.7</v>
      </c>
      <c r="L190" s="56">
        <v>2.7</v>
      </c>
      <c r="M190" s="56">
        <v>2.7</v>
      </c>
      <c r="N190" s="56">
        <v>2.7</v>
      </c>
      <c r="O190" s="56">
        <v>2.7</v>
      </c>
      <c r="P190" s="56">
        <v>2.6</v>
      </c>
      <c r="Q190" s="56">
        <v>2.7</v>
      </c>
      <c r="R190" s="56">
        <v>2.7</v>
      </c>
      <c r="S190" s="72">
        <v>2.7</v>
      </c>
      <c r="U190" s="56"/>
      <c r="V190" s="56"/>
      <c r="W190" s="56"/>
      <c r="X190" s="56"/>
      <c r="Y190" s="56"/>
      <c r="Z190" s="56"/>
      <c r="AA190" s="56"/>
      <c r="AB190" s="56"/>
      <c r="AC190" s="56"/>
      <c r="AD190" s="73"/>
      <c r="AE190" s="73"/>
      <c r="AF190" s="73"/>
      <c r="AG190" s="73"/>
      <c r="AH190" s="73"/>
      <c r="AI190" s="73"/>
      <c r="AJ190" s="73"/>
      <c r="AK190" s="73"/>
      <c r="AL190" s="73"/>
      <c r="AM190" s="73"/>
      <c r="AN190" s="73"/>
      <c r="AO190" s="73"/>
    </row>
    <row r="191" spans="1:41">
      <c r="A191" s="55" t="s">
        <v>412</v>
      </c>
      <c r="B191" s="65" t="s">
        <v>403</v>
      </c>
      <c r="C191" s="56">
        <v>0.8</v>
      </c>
      <c r="D191" s="56">
        <v>0.8</v>
      </c>
      <c r="E191" s="56">
        <v>0.9</v>
      </c>
      <c r="F191" s="56">
        <v>0.9</v>
      </c>
      <c r="G191" s="56">
        <v>0.8</v>
      </c>
      <c r="H191" s="56">
        <v>0.8</v>
      </c>
      <c r="I191" s="56">
        <v>0.8</v>
      </c>
      <c r="J191" s="56">
        <v>0.8</v>
      </c>
      <c r="K191" s="56">
        <v>0.8</v>
      </c>
      <c r="L191" s="56">
        <v>0.8</v>
      </c>
      <c r="M191" s="56">
        <v>0.9</v>
      </c>
      <c r="N191" s="56">
        <v>0.8</v>
      </c>
      <c r="O191" s="56">
        <v>0.7</v>
      </c>
      <c r="P191" s="56">
        <v>0.7</v>
      </c>
      <c r="Q191" s="56">
        <v>0.8</v>
      </c>
      <c r="R191" s="56">
        <v>0.8</v>
      </c>
      <c r="S191" s="72">
        <v>0.8</v>
      </c>
      <c r="T191" s="63"/>
      <c r="U191" s="56"/>
      <c r="V191" s="56"/>
      <c r="W191" s="56"/>
      <c r="X191" s="56"/>
      <c r="Y191" s="56"/>
      <c r="Z191" s="56"/>
      <c r="AA191" s="56"/>
      <c r="AB191" s="56"/>
      <c r="AC191" s="56"/>
      <c r="AD191" s="73"/>
      <c r="AE191" s="73"/>
      <c r="AF191" s="73"/>
      <c r="AG191" s="73"/>
      <c r="AH191" s="73"/>
      <c r="AI191" s="73"/>
      <c r="AJ191" s="73"/>
      <c r="AK191" s="73"/>
      <c r="AL191" s="73"/>
      <c r="AM191" s="73"/>
      <c r="AN191" s="73"/>
      <c r="AO191" s="73"/>
    </row>
    <row r="192" spans="1:41">
      <c r="A192" s="55" t="s">
        <v>412</v>
      </c>
      <c r="B192" s="65" t="s">
        <v>404</v>
      </c>
      <c r="C192" s="56">
        <v>1.8</v>
      </c>
      <c r="D192" s="56">
        <v>1.8</v>
      </c>
      <c r="E192" s="56">
        <v>1.9</v>
      </c>
      <c r="F192" s="56">
        <v>1.9</v>
      </c>
      <c r="G192" s="56">
        <v>1.9</v>
      </c>
      <c r="H192" s="56">
        <v>2</v>
      </c>
      <c r="I192" s="56">
        <v>2</v>
      </c>
      <c r="J192" s="56">
        <v>2</v>
      </c>
      <c r="K192" s="56">
        <v>1.9</v>
      </c>
      <c r="L192" s="56">
        <v>1.9</v>
      </c>
      <c r="M192" s="56">
        <v>1.9</v>
      </c>
      <c r="N192" s="56">
        <v>1.8</v>
      </c>
      <c r="O192" s="56">
        <v>1.9</v>
      </c>
      <c r="P192" s="56">
        <v>1.9</v>
      </c>
      <c r="Q192" s="56">
        <v>1.9</v>
      </c>
      <c r="R192" s="56">
        <v>1.9</v>
      </c>
      <c r="S192" s="72">
        <v>1.9</v>
      </c>
      <c r="T192" s="63"/>
      <c r="U192" s="56"/>
      <c r="V192" s="56"/>
      <c r="W192" s="56"/>
      <c r="X192" s="56"/>
      <c r="Y192" s="56"/>
      <c r="Z192" s="56"/>
      <c r="AA192" s="56"/>
      <c r="AB192" s="56"/>
      <c r="AC192" s="56"/>
      <c r="AD192" s="73"/>
      <c r="AE192" s="73"/>
      <c r="AF192" s="73"/>
      <c r="AG192" s="73"/>
      <c r="AH192" s="73"/>
      <c r="AI192" s="73"/>
      <c r="AJ192" s="73"/>
      <c r="AK192" s="73"/>
      <c r="AL192" s="73"/>
      <c r="AM192" s="73"/>
      <c r="AN192" s="73"/>
      <c r="AO192" s="73"/>
    </row>
    <row r="193" spans="1:41">
      <c r="A193" s="55" t="s">
        <v>412</v>
      </c>
      <c r="B193" s="65" t="s">
        <v>415</v>
      </c>
      <c r="C193" s="56">
        <v>2.7</v>
      </c>
      <c r="D193" s="56">
        <v>2.7</v>
      </c>
      <c r="E193" s="56">
        <v>2.7</v>
      </c>
      <c r="F193" s="56">
        <v>2.7</v>
      </c>
      <c r="G193" s="56">
        <v>2.5</v>
      </c>
      <c r="H193" s="56">
        <v>2.6</v>
      </c>
      <c r="I193" s="56">
        <v>2.5</v>
      </c>
      <c r="J193" s="56">
        <v>2.4</v>
      </c>
      <c r="K193" s="56">
        <v>2.4</v>
      </c>
      <c r="L193" s="56">
        <v>2.4</v>
      </c>
      <c r="M193" s="56">
        <v>2.2999999999999998</v>
      </c>
      <c r="N193" s="56">
        <v>2.2000000000000002</v>
      </c>
      <c r="O193" s="56">
        <v>2.2999999999999998</v>
      </c>
      <c r="P193" s="56">
        <v>2.2000000000000002</v>
      </c>
      <c r="Q193" s="56">
        <v>2.2000000000000002</v>
      </c>
      <c r="R193" s="56">
        <v>2.2000000000000002</v>
      </c>
      <c r="S193" s="72">
        <v>2.2000000000000002</v>
      </c>
      <c r="U193" s="56"/>
      <c r="V193" s="56"/>
      <c r="W193" s="56"/>
      <c r="X193" s="56"/>
      <c r="Y193" s="56"/>
      <c r="Z193" s="56"/>
      <c r="AA193" s="56"/>
      <c r="AB193" s="56"/>
      <c r="AC193" s="56"/>
      <c r="AD193" s="73"/>
      <c r="AE193" s="73"/>
      <c r="AF193" s="73"/>
      <c r="AG193" s="73"/>
      <c r="AH193" s="73"/>
      <c r="AI193" s="73"/>
      <c r="AJ193" s="73"/>
      <c r="AK193" s="73"/>
      <c r="AL193" s="73"/>
      <c r="AM193" s="73"/>
      <c r="AN193" s="73"/>
      <c r="AO193" s="73"/>
    </row>
    <row r="194" spans="1:41">
      <c r="A194" s="55" t="s">
        <v>412</v>
      </c>
      <c r="B194" s="65" t="s">
        <v>174</v>
      </c>
      <c r="C194" s="56">
        <v>13.3</v>
      </c>
      <c r="D194" s="56">
        <v>13.1</v>
      </c>
      <c r="E194" s="56">
        <v>13</v>
      </c>
      <c r="F194" s="56">
        <v>12.9</v>
      </c>
      <c r="G194" s="56">
        <v>13.2</v>
      </c>
      <c r="H194" s="56">
        <v>13.5</v>
      </c>
      <c r="I194" s="56">
        <v>13.6</v>
      </c>
      <c r="J194" s="56">
        <v>13.4</v>
      </c>
      <c r="K194" s="56">
        <v>13.2</v>
      </c>
      <c r="L194" s="56">
        <v>13.1</v>
      </c>
      <c r="M194" s="56">
        <v>13.2</v>
      </c>
      <c r="N194" s="56">
        <v>13.6</v>
      </c>
      <c r="O194" s="56">
        <v>14.3</v>
      </c>
      <c r="P194" s="56">
        <v>14.3</v>
      </c>
      <c r="Q194" s="56">
        <v>14</v>
      </c>
      <c r="R194" s="56">
        <v>13.6</v>
      </c>
      <c r="S194" s="72">
        <v>13.2</v>
      </c>
      <c r="U194" s="56"/>
      <c r="V194" s="56"/>
      <c r="W194" s="56"/>
      <c r="X194" s="56"/>
      <c r="Y194" s="56"/>
      <c r="Z194" s="56"/>
      <c r="AA194" s="56"/>
      <c r="AB194" s="56"/>
      <c r="AC194" s="56"/>
      <c r="AD194" s="73"/>
      <c r="AE194" s="73"/>
      <c r="AF194" s="73"/>
      <c r="AG194" s="73"/>
      <c r="AH194" s="73"/>
      <c r="AI194" s="73"/>
      <c r="AJ194" s="73"/>
      <c r="AK194" s="73"/>
      <c r="AL194" s="73"/>
      <c r="AM194" s="73"/>
      <c r="AN194" s="73"/>
      <c r="AO194" s="73"/>
    </row>
    <row r="195" spans="1:41">
      <c r="A195" s="55" t="s">
        <v>412</v>
      </c>
      <c r="B195" s="65" t="s">
        <v>219</v>
      </c>
      <c r="C195" s="56">
        <v>4.5</v>
      </c>
      <c r="D195" s="56">
        <v>4.3</v>
      </c>
      <c r="E195" s="56">
        <v>4.2</v>
      </c>
      <c r="F195" s="56">
        <v>4.0999999999999996</v>
      </c>
      <c r="G195" s="56">
        <v>4</v>
      </c>
      <c r="H195" s="56">
        <v>4.2</v>
      </c>
      <c r="I195" s="56">
        <v>4.3</v>
      </c>
      <c r="J195" s="56">
        <v>4.3</v>
      </c>
      <c r="K195" s="56">
        <v>4.2</v>
      </c>
      <c r="L195" s="56">
        <v>4.2</v>
      </c>
      <c r="M195" s="56">
        <v>4.2</v>
      </c>
      <c r="N195" s="56">
        <v>4.3</v>
      </c>
      <c r="O195" s="56">
        <v>4.5999999999999996</v>
      </c>
      <c r="P195" s="56">
        <v>4.7</v>
      </c>
      <c r="Q195" s="56">
        <v>4.5999999999999996</v>
      </c>
      <c r="R195" s="56">
        <v>4.4000000000000004</v>
      </c>
      <c r="S195" s="72">
        <v>4.2</v>
      </c>
      <c r="U195" s="56"/>
      <c r="V195" s="56"/>
      <c r="W195" s="56"/>
      <c r="X195" s="56"/>
      <c r="Y195" s="56"/>
      <c r="Z195" s="56"/>
      <c r="AA195" s="56"/>
      <c r="AB195" s="56"/>
      <c r="AC195" s="56"/>
      <c r="AD195" s="73"/>
      <c r="AE195" s="73"/>
      <c r="AF195" s="73"/>
      <c r="AG195" s="73"/>
      <c r="AH195" s="73"/>
      <c r="AI195" s="73"/>
      <c r="AJ195" s="73"/>
      <c r="AK195" s="73"/>
      <c r="AL195" s="73"/>
      <c r="AM195" s="73"/>
      <c r="AN195" s="73"/>
      <c r="AO195" s="73"/>
    </row>
    <row r="196" spans="1:41">
      <c r="A196" s="55" t="s">
        <v>412</v>
      </c>
      <c r="B196" s="55" t="s">
        <v>448</v>
      </c>
      <c r="C196" s="56">
        <v>3.9</v>
      </c>
      <c r="D196" s="56">
        <v>3.7</v>
      </c>
      <c r="E196" s="56">
        <v>3.6</v>
      </c>
      <c r="F196" s="56">
        <v>3.5</v>
      </c>
      <c r="G196" s="56">
        <v>3.5</v>
      </c>
      <c r="H196" s="56">
        <v>3.6</v>
      </c>
      <c r="I196" s="56">
        <v>3.8</v>
      </c>
      <c r="J196" s="56">
        <v>3.7</v>
      </c>
      <c r="K196" s="56">
        <v>3.7</v>
      </c>
      <c r="L196" s="56">
        <v>3.7</v>
      </c>
      <c r="M196" s="56">
        <v>3.7</v>
      </c>
      <c r="N196" s="56">
        <v>3.9</v>
      </c>
      <c r="O196" s="56">
        <v>4.2</v>
      </c>
      <c r="P196" s="56">
        <v>4.3</v>
      </c>
      <c r="Q196" s="56">
        <v>4.3</v>
      </c>
      <c r="R196" s="56">
        <v>4.0999999999999996</v>
      </c>
      <c r="S196" s="72">
        <v>4</v>
      </c>
      <c r="T196" s="63"/>
      <c r="U196" s="56"/>
      <c r="V196" s="56"/>
      <c r="W196" s="56"/>
      <c r="X196" s="56"/>
      <c r="Y196" s="56"/>
      <c r="Z196" s="56"/>
      <c r="AA196" s="56"/>
      <c r="AB196" s="56"/>
      <c r="AC196" s="56"/>
      <c r="AD196" s="73"/>
      <c r="AE196" s="73"/>
      <c r="AF196" s="73"/>
      <c r="AG196" s="73"/>
      <c r="AH196" s="73"/>
      <c r="AI196" s="73"/>
      <c r="AJ196" s="73"/>
      <c r="AK196" s="73"/>
      <c r="AL196" s="73"/>
      <c r="AM196" s="73"/>
      <c r="AN196" s="73"/>
      <c r="AO196" s="73"/>
    </row>
    <row r="197" spans="1:41">
      <c r="A197" s="55" t="s">
        <v>412</v>
      </c>
      <c r="B197" s="69" t="s">
        <v>449</v>
      </c>
      <c r="C197" s="56">
        <v>2.4</v>
      </c>
      <c r="D197" s="56">
        <v>2.2999999999999998</v>
      </c>
      <c r="E197" s="56">
        <v>2.2000000000000002</v>
      </c>
      <c r="F197" s="56">
        <v>2.1</v>
      </c>
      <c r="G197" s="56">
        <v>2.1</v>
      </c>
      <c r="H197" s="56">
        <v>2.2000000000000002</v>
      </c>
      <c r="I197" s="56">
        <v>2.2999999999999998</v>
      </c>
      <c r="J197" s="56">
        <v>2.2999999999999998</v>
      </c>
      <c r="K197" s="56">
        <v>2.2999999999999998</v>
      </c>
      <c r="L197" s="56">
        <v>2.2999999999999998</v>
      </c>
      <c r="M197" s="56">
        <v>2.2999999999999998</v>
      </c>
      <c r="N197" s="56">
        <v>2.4</v>
      </c>
      <c r="O197" s="56">
        <v>2.6</v>
      </c>
      <c r="P197" s="56">
        <v>2.6</v>
      </c>
      <c r="Q197" s="56">
        <v>2.6</v>
      </c>
      <c r="R197" s="56">
        <v>2.5</v>
      </c>
      <c r="S197" s="72">
        <v>2.4</v>
      </c>
      <c r="T197" s="63"/>
      <c r="U197" s="56"/>
      <c r="V197" s="56"/>
      <c r="W197" s="56"/>
      <c r="X197" s="56"/>
      <c r="Y197" s="56"/>
      <c r="Z197" s="56"/>
      <c r="AA197" s="56"/>
      <c r="AB197" s="56"/>
      <c r="AC197" s="56"/>
      <c r="AD197" s="73"/>
      <c r="AE197" s="73"/>
      <c r="AF197" s="73"/>
      <c r="AG197" s="73"/>
      <c r="AH197" s="73"/>
      <c r="AI197" s="73"/>
      <c r="AJ197" s="73"/>
      <c r="AK197" s="73"/>
      <c r="AL197" s="73"/>
      <c r="AM197" s="73"/>
      <c r="AN197" s="73"/>
      <c r="AO197" s="73"/>
    </row>
    <row r="198" spans="1:41">
      <c r="A198" s="55" t="s">
        <v>412</v>
      </c>
      <c r="B198" s="69" t="s">
        <v>450</v>
      </c>
      <c r="C198" s="56">
        <v>1.4</v>
      </c>
      <c r="D198" s="56">
        <v>1.4</v>
      </c>
      <c r="E198" s="56">
        <v>1.4</v>
      </c>
      <c r="F198" s="56">
        <v>1.4</v>
      </c>
      <c r="G198" s="56">
        <v>1.4</v>
      </c>
      <c r="H198" s="56">
        <v>1.4</v>
      </c>
      <c r="I198" s="56">
        <v>1.5</v>
      </c>
      <c r="J198" s="56">
        <v>1.5</v>
      </c>
      <c r="K198" s="56">
        <v>1.4</v>
      </c>
      <c r="L198" s="56">
        <v>1.4</v>
      </c>
      <c r="M198" s="56">
        <v>1.4</v>
      </c>
      <c r="N198" s="56">
        <v>1.5</v>
      </c>
      <c r="O198" s="56">
        <v>1.6</v>
      </c>
      <c r="P198" s="56">
        <v>1.7</v>
      </c>
      <c r="Q198" s="56">
        <v>1.6</v>
      </c>
      <c r="R198" s="56">
        <v>1.6</v>
      </c>
      <c r="S198" s="72">
        <v>1.5</v>
      </c>
      <c r="T198" s="63"/>
      <c r="U198" s="56"/>
      <c r="V198" s="56"/>
      <c r="W198" s="56"/>
      <c r="X198" s="56"/>
      <c r="Y198" s="56"/>
      <c r="Z198" s="56"/>
      <c r="AA198" s="56"/>
      <c r="AB198" s="56"/>
      <c r="AC198" s="56"/>
      <c r="AD198" s="73"/>
      <c r="AE198" s="73"/>
      <c r="AF198" s="73"/>
      <c r="AG198" s="73"/>
      <c r="AH198" s="73"/>
      <c r="AI198" s="73"/>
      <c r="AJ198" s="73"/>
      <c r="AK198" s="73"/>
      <c r="AL198" s="73"/>
      <c r="AM198" s="73"/>
      <c r="AN198" s="73"/>
      <c r="AO198" s="73"/>
    </row>
    <row r="199" spans="1:41" ht="15">
      <c r="A199" s="55" t="s">
        <v>412</v>
      </c>
      <c r="B199" s="70" t="s">
        <v>451</v>
      </c>
      <c r="C199" s="56">
        <v>0.7</v>
      </c>
      <c r="D199" s="56">
        <v>0.7</v>
      </c>
      <c r="E199" s="56">
        <v>0.6</v>
      </c>
      <c r="F199" s="56">
        <v>0.6</v>
      </c>
      <c r="G199" s="56">
        <v>0.6</v>
      </c>
      <c r="H199" s="56">
        <v>0.6</v>
      </c>
      <c r="I199" s="56">
        <v>0.6</v>
      </c>
      <c r="J199" s="56">
        <v>0.5</v>
      </c>
      <c r="K199" s="56">
        <v>0.5</v>
      </c>
      <c r="L199" s="56">
        <v>0.5</v>
      </c>
      <c r="M199" s="56">
        <v>0.5</v>
      </c>
      <c r="N199" s="56">
        <v>0.4</v>
      </c>
      <c r="O199" s="56">
        <v>0.4</v>
      </c>
      <c r="P199" s="56">
        <v>0.4</v>
      </c>
      <c r="Q199" s="56">
        <v>0.3</v>
      </c>
      <c r="R199" s="56">
        <v>0.3</v>
      </c>
      <c r="S199" s="72">
        <v>0.2</v>
      </c>
      <c r="T199" s="63"/>
      <c r="U199" s="56"/>
      <c r="V199" s="56"/>
      <c r="W199" s="56"/>
      <c r="X199" s="56"/>
      <c r="Y199" s="56"/>
      <c r="Z199" s="56"/>
      <c r="AA199" s="56"/>
      <c r="AB199" s="56"/>
      <c r="AC199" s="56"/>
      <c r="AD199" s="73"/>
      <c r="AE199" s="73"/>
      <c r="AF199" s="73"/>
      <c r="AG199" s="73"/>
      <c r="AH199" s="73"/>
      <c r="AI199" s="73"/>
      <c r="AJ199" s="73"/>
      <c r="AK199" s="73"/>
      <c r="AL199" s="73"/>
      <c r="AM199" s="73"/>
      <c r="AN199" s="73"/>
      <c r="AO199" s="73"/>
    </row>
    <row r="200" spans="1:41">
      <c r="A200" s="55" t="s">
        <v>412</v>
      </c>
      <c r="B200" s="65" t="s">
        <v>221</v>
      </c>
      <c r="C200" s="56">
        <v>8.8000000000000007</v>
      </c>
      <c r="D200" s="56">
        <v>8.8000000000000007</v>
      </c>
      <c r="E200" s="56">
        <v>8.8000000000000007</v>
      </c>
      <c r="F200" s="56">
        <v>8.8000000000000007</v>
      </c>
      <c r="G200" s="56">
        <v>9.1</v>
      </c>
      <c r="H200" s="56">
        <v>9.3000000000000007</v>
      </c>
      <c r="I200" s="56">
        <v>9.1999999999999993</v>
      </c>
      <c r="J200" s="56">
        <v>9.1999999999999993</v>
      </c>
      <c r="K200" s="56">
        <v>9</v>
      </c>
      <c r="L200" s="56">
        <v>8.9</v>
      </c>
      <c r="M200" s="56">
        <v>9</v>
      </c>
      <c r="N200" s="56">
        <v>9.3000000000000007</v>
      </c>
      <c r="O200" s="56">
        <v>9.6999999999999993</v>
      </c>
      <c r="P200" s="56">
        <v>9.6</v>
      </c>
      <c r="Q200" s="56">
        <v>9.4</v>
      </c>
      <c r="R200" s="56">
        <v>9.1</v>
      </c>
      <c r="S200" s="72">
        <v>9</v>
      </c>
      <c r="U200" s="56"/>
      <c r="V200" s="56"/>
      <c r="W200" s="56"/>
      <c r="X200" s="56"/>
      <c r="Y200" s="56"/>
      <c r="Z200" s="56"/>
      <c r="AA200" s="56"/>
      <c r="AB200" s="56"/>
      <c r="AC200" s="56"/>
      <c r="AD200" s="73"/>
      <c r="AE200" s="73"/>
      <c r="AF200" s="73"/>
      <c r="AG200" s="73"/>
      <c r="AH200" s="73"/>
      <c r="AI200" s="73"/>
      <c r="AJ200" s="73"/>
      <c r="AK200" s="73"/>
      <c r="AL200" s="73"/>
      <c r="AM200" s="73"/>
      <c r="AN200" s="73"/>
      <c r="AO200" s="73"/>
    </row>
    <row r="201" spans="1:41">
      <c r="A201" s="55" t="s">
        <v>412</v>
      </c>
      <c r="B201" s="65" t="s">
        <v>452</v>
      </c>
      <c r="C201" s="56">
        <v>8.1</v>
      </c>
      <c r="D201" s="56">
        <v>8.1</v>
      </c>
      <c r="E201" s="56">
        <v>8.1</v>
      </c>
      <c r="F201" s="56">
        <v>8.1</v>
      </c>
      <c r="G201" s="56">
        <v>8.4</v>
      </c>
      <c r="H201" s="56">
        <v>8.5</v>
      </c>
      <c r="I201" s="56">
        <v>8.5</v>
      </c>
      <c r="J201" s="56">
        <v>8.5</v>
      </c>
      <c r="K201" s="56">
        <v>8.3000000000000007</v>
      </c>
      <c r="L201" s="56">
        <v>8.1999999999999993</v>
      </c>
      <c r="M201" s="56">
        <v>8.4</v>
      </c>
      <c r="N201" s="56">
        <v>8.6999999999999993</v>
      </c>
      <c r="O201" s="56">
        <v>9</v>
      </c>
      <c r="P201" s="56">
        <v>8.9</v>
      </c>
      <c r="Q201" s="56">
        <v>8.6999999999999993</v>
      </c>
      <c r="R201" s="56">
        <v>8.4</v>
      </c>
      <c r="S201" s="72">
        <v>8.3000000000000007</v>
      </c>
      <c r="T201" s="63"/>
      <c r="U201" s="56"/>
      <c r="V201" s="56"/>
      <c r="W201" s="56"/>
      <c r="X201" s="56"/>
      <c r="Y201" s="56"/>
      <c r="Z201" s="56"/>
      <c r="AA201" s="56"/>
      <c r="AB201" s="56"/>
      <c r="AC201" s="56"/>
      <c r="AD201" s="73"/>
      <c r="AE201" s="73"/>
      <c r="AF201" s="73"/>
      <c r="AG201" s="73"/>
      <c r="AH201" s="73"/>
      <c r="AI201" s="73"/>
      <c r="AJ201" s="73"/>
      <c r="AK201" s="73"/>
      <c r="AL201" s="73"/>
      <c r="AM201" s="73"/>
      <c r="AN201" s="73"/>
      <c r="AO201" s="73"/>
    </row>
    <row r="202" spans="1:41">
      <c r="A202" s="55" t="s">
        <v>412</v>
      </c>
      <c r="B202" s="65" t="s">
        <v>453</v>
      </c>
      <c r="C202" s="56">
        <v>0.8</v>
      </c>
      <c r="D202" s="56">
        <v>0.8</v>
      </c>
      <c r="E202" s="56">
        <v>0.8</v>
      </c>
      <c r="F202" s="56">
        <v>0.7</v>
      </c>
      <c r="G202" s="56">
        <v>0.7</v>
      </c>
      <c r="H202" s="56">
        <v>0.7</v>
      </c>
      <c r="I202" s="56">
        <v>0.7</v>
      </c>
      <c r="J202" s="56">
        <v>0.7</v>
      </c>
      <c r="K202" s="56">
        <v>0.7</v>
      </c>
      <c r="L202" s="56">
        <v>0.7</v>
      </c>
      <c r="M202" s="56">
        <v>0.6</v>
      </c>
      <c r="N202" s="56">
        <v>0.7</v>
      </c>
      <c r="O202" s="56">
        <v>0.7</v>
      </c>
      <c r="P202" s="56">
        <v>0.7</v>
      </c>
      <c r="Q202" s="56">
        <v>0.7</v>
      </c>
      <c r="R202" s="56">
        <v>0.7</v>
      </c>
      <c r="S202" s="72">
        <v>0.7</v>
      </c>
      <c r="T202" s="63"/>
      <c r="U202" s="56"/>
      <c r="V202" s="56"/>
      <c r="W202" s="56"/>
      <c r="X202" s="56"/>
      <c r="Y202" s="56"/>
      <c r="Z202" s="56"/>
      <c r="AA202" s="56"/>
      <c r="AB202" s="56"/>
      <c r="AC202" s="56"/>
      <c r="AD202" s="73"/>
      <c r="AE202" s="73"/>
      <c r="AF202" s="73"/>
      <c r="AG202" s="73"/>
      <c r="AH202" s="73"/>
      <c r="AI202" s="73"/>
      <c r="AJ202" s="73"/>
      <c r="AK202" s="73"/>
      <c r="AL202" s="73"/>
      <c r="AM202" s="73"/>
      <c r="AN202" s="73"/>
      <c r="AO202" s="73"/>
    </row>
    <row r="203" spans="1:41">
      <c r="B203" s="55" t="s">
        <v>198</v>
      </c>
      <c r="U203" s="56"/>
      <c r="V203" s="56"/>
      <c r="W203" s="56"/>
      <c r="X203" s="56"/>
      <c r="Y203" s="56"/>
      <c r="Z203" s="56"/>
      <c r="AA203" s="56"/>
      <c r="AB203" s="56"/>
      <c r="AC203" s="56"/>
      <c r="AD203" s="73"/>
      <c r="AE203" s="73"/>
      <c r="AF203" s="73"/>
      <c r="AG203" s="73"/>
      <c r="AH203" s="73"/>
      <c r="AI203" s="73"/>
      <c r="AJ203" s="73"/>
      <c r="AK203" s="73"/>
      <c r="AL203" s="73"/>
      <c r="AM203" s="73"/>
      <c r="AN203" s="73"/>
      <c r="AO203" s="73"/>
    </row>
    <row r="204" spans="1:41" ht="14.25">
      <c r="A204" s="55" t="s">
        <v>412</v>
      </c>
      <c r="B204" s="69" t="s">
        <v>454</v>
      </c>
      <c r="C204" s="56">
        <v>22.5</v>
      </c>
      <c r="D204" s="56">
        <v>22</v>
      </c>
      <c r="E204" s="56">
        <v>21.6</v>
      </c>
      <c r="F204" s="56">
        <v>21.7</v>
      </c>
      <c r="G204" s="56">
        <v>20.6</v>
      </c>
      <c r="H204" s="56">
        <v>19.8</v>
      </c>
      <c r="I204" s="56">
        <v>20.100000000000001</v>
      </c>
      <c r="J204" s="56">
        <v>20.5</v>
      </c>
      <c r="K204" s="56">
        <v>20.7</v>
      </c>
      <c r="L204" s="56">
        <v>21</v>
      </c>
      <c r="M204" s="56">
        <v>20.9</v>
      </c>
      <c r="N204" s="56">
        <v>20.5</v>
      </c>
      <c r="O204" s="56">
        <v>18.899999999999999</v>
      </c>
      <c r="P204" s="56">
        <v>19.100000000000001</v>
      </c>
      <c r="Q204" s="56">
        <v>19.7</v>
      </c>
      <c r="R204" s="56">
        <v>19.7</v>
      </c>
      <c r="S204" s="72">
        <v>19.8</v>
      </c>
      <c r="U204" s="56"/>
      <c r="V204" s="56"/>
      <c r="W204" s="56"/>
      <c r="X204" s="56"/>
      <c r="Y204" s="56"/>
      <c r="Z204" s="56"/>
      <c r="AA204" s="56"/>
      <c r="AB204" s="56"/>
      <c r="AC204" s="56"/>
      <c r="AD204" s="73"/>
      <c r="AE204" s="73"/>
      <c r="AF204" s="73"/>
      <c r="AG204" s="73"/>
      <c r="AH204" s="73"/>
      <c r="AI204" s="73"/>
      <c r="AJ204" s="73"/>
      <c r="AK204" s="73"/>
      <c r="AL204" s="73"/>
      <c r="AM204" s="73"/>
      <c r="AN204" s="73"/>
      <c r="AO204" s="73"/>
    </row>
    <row r="205" spans="1:41" ht="14.25">
      <c r="A205" s="55" t="s">
        <v>412</v>
      </c>
      <c r="B205" s="69" t="s">
        <v>455</v>
      </c>
      <c r="C205" s="56">
        <v>64.2</v>
      </c>
      <c r="D205" s="56">
        <v>64.900000000000006</v>
      </c>
      <c r="E205" s="56">
        <v>65.400000000000006</v>
      </c>
      <c r="F205" s="56">
        <v>65.400000000000006</v>
      </c>
      <c r="G205" s="56">
        <v>66.2</v>
      </c>
      <c r="H205" s="56">
        <v>66.7</v>
      </c>
      <c r="I205" s="56">
        <v>66.3</v>
      </c>
      <c r="J205" s="56">
        <v>66.099999999999994</v>
      </c>
      <c r="K205" s="56">
        <v>66.099999999999994</v>
      </c>
      <c r="L205" s="56">
        <v>66</v>
      </c>
      <c r="M205" s="56">
        <v>65.900000000000006</v>
      </c>
      <c r="N205" s="56">
        <v>65.900000000000006</v>
      </c>
      <c r="O205" s="56">
        <v>66.7</v>
      </c>
      <c r="P205" s="56">
        <v>66.599999999999994</v>
      </c>
      <c r="Q205" s="56">
        <v>66.400000000000006</v>
      </c>
      <c r="R205" s="56">
        <v>66.7</v>
      </c>
      <c r="S205" s="72">
        <v>67</v>
      </c>
      <c r="U205" s="56"/>
      <c r="V205" s="56"/>
      <c r="W205" s="56"/>
      <c r="X205" s="56"/>
      <c r="Y205" s="56"/>
      <c r="Z205" s="56"/>
      <c r="AA205" s="56"/>
      <c r="AB205" s="56"/>
      <c r="AC205" s="56"/>
      <c r="AD205" s="73"/>
      <c r="AE205" s="73"/>
      <c r="AF205" s="73"/>
      <c r="AG205" s="73"/>
      <c r="AH205" s="73"/>
      <c r="AI205" s="73"/>
      <c r="AJ205" s="73"/>
      <c r="AK205" s="73"/>
      <c r="AL205" s="73"/>
      <c r="AM205" s="73"/>
      <c r="AN205" s="73"/>
      <c r="AO205" s="73"/>
    </row>
    <row r="206" spans="1:41" ht="14.25">
      <c r="A206" s="55" t="s">
        <v>412</v>
      </c>
      <c r="B206" s="71" t="s">
        <v>456</v>
      </c>
      <c r="C206" s="56">
        <v>5.9</v>
      </c>
      <c r="D206" s="56">
        <v>5.9</v>
      </c>
      <c r="E206" s="56">
        <v>5.9</v>
      </c>
      <c r="F206" s="56">
        <v>6.1</v>
      </c>
      <c r="G206" s="56">
        <v>5.7</v>
      </c>
      <c r="H206" s="56">
        <v>5.7</v>
      </c>
      <c r="I206" s="56">
        <v>5.7</v>
      </c>
      <c r="J206" s="56">
        <v>5.8</v>
      </c>
      <c r="K206" s="56">
        <v>5.8</v>
      </c>
      <c r="L206" s="56">
        <v>5.8</v>
      </c>
      <c r="M206" s="56">
        <v>5.9</v>
      </c>
      <c r="N206" s="56">
        <v>6</v>
      </c>
      <c r="O206" s="56">
        <v>5.9</v>
      </c>
      <c r="P206" s="56">
        <v>5.9</v>
      </c>
      <c r="Q206" s="56">
        <v>5.8</v>
      </c>
      <c r="R206" s="56">
        <v>5.7</v>
      </c>
      <c r="S206" s="72">
        <v>5.7</v>
      </c>
      <c r="T206" s="63"/>
      <c r="U206" s="56"/>
      <c r="V206" s="56"/>
      <c r="W206" s="56"/>
      <c r="X206" s="56"/>
      <c r="Y206" s="56"/>
      <c r="Z206" s="56"/>
      <c r="AA206" s="56"/>
      <c r="AB206" s="56"/>
      <c r="AC206" s="56"/>
      <c r="AD206" s="73"/>
      <c r="AE206" s="73"/>
      <c r="AF206" s="73"/>
      <c r="AG206" s="73"/>
      <c r="AH206" s="73"/>
      <c r="AI206" s="73"/>
      <c r="AJ206" s="73"/>
      <c r="AK206" s="73"/>
      <c r="AL206" s="73"/>
      <c r="AM206" s="73"/>
      <c r="AN206" s="73"/>
      <c r="AO206" s="73"/>
    </row>
    <row r="207" spans="1:41">
      <c r="C207" s="56"/>
      <c r="D207" s="56"/>
      <c r="E207" s="56"/>
      <c r="F207" s="56"/>
      <c r="G207" s="56"/>
      <c r="H207" s="56"/>
      <c r="I207" s="56"/>
      <c r="J207" s="56"/>
      <c r="K207" s="56"/>
      <c r="L207" s="56"/>
      <c r="M207" s="56"/>
      <c r="N207" s="56"/>
      <c r="O207" s="56"/>
      <c r="P207" s="56"/>
      <c r="Q207" s="56"/>
      <c r="R207" s="56"/>
    </row>
    <row r="208" spans="1:41" ht="14.25">
      <c r="A208" s="17" t="s">
        <v>457</v>
      </c>
      <c r="B208" s="58"/>
      <c r="C208" s="74"/>
      <c r="D208" s="74"/>
      <c r="E208" s="74"/>
      <c r="F208" s="74"/>
      <c r="G208" s="74"/>
      <c r="H208" s="74"/>
      <c r="I208" s="74"/>
      <c r="J208" s="74"/>
      <c r="K208" s="74"/>
      <c r="L208" s="74"/>
      <c r="M208" s="74"/>
      <c r="N208" s="74"/>
      <c r="O208" s="74"/>
      <c r="P208" s="62"/>
      <c r="Q208" s="62"/>
      <c r="R208" s="62"/>
      <c r="S208" s="62"/>
      <c r="T208" s="17"/>
      <c r="U208" s="17"/>
      <c r="V208" s="17"/>
      <c r="W208" s="17"/>
      <c r="X208" s="17"/>
      <c r="Y208" s="17"/>
      <c r="Z208" s="62"/>
      <c r="AA208" s="17"/>
      <c r="AB208" s="17"/>
    </row>
    <row r="209" spans="1:28">
      <c r="A209" s="55" t="s">
        <v>414</v>
      </c>
      <c r="B209" s="55" t="s">
        <v>325</v>
      </c>
      <c r="C209" s="55">
        <v>11034850</v>
      </c>
      <c r="D209" s="55">
        <v>11525891</v>
      </c>
      <c r="E209" s="55">
        <v>12065902</v>
      </c>
      <c r="F209" s="55">
        <v>12559660</v>
      </c>
      <c r="G209" s="55">
        <v>12682240</v>
      </c>
      <c r="H209" s="55">
        <v>12908761</v>
      </c>
      <c r="I209" s="55">
        <v>13271081</v>
      </c>
      <c r="J209" s="55">
        <v>13773490</v>
      </c>
      <c r="K209" s="55">
        <v>14234243</v>
      </c>
      <c r="L209" s="55">
        <v>14613817</v>
      </c>
      <c r="M209" s="55">
        <v>14873734</v>
      </c>
      <c r="N209" s="55">
        <v>14830359</v>
      </c>
      <c r="O209" s="55">
        <v>14418738</v>
      </c>
      <c r="P209" s="55">
        <v>14783809</v>
      </c>
      <c r="Q209" s="55">
        <v>15020565</v>
      </c>
      <c r="R209" s="55">
        <v>15369205</v>
      </c>
      <c r="S209" s="59">
        <v>15710295</v>
      </c>
      <c r="T209" s="72"/>
      <c r="U209" s="59"/>
      <c r="V209" s="59"/>
      <c r="W209" s="59"/>
      <c r="X209" s="59"/>
      <c r="Y209" s="59"/>
      <c r="Z209" s="59"/>
      <c r="AA209" s="59"/>
      <c r="AB209" s="59"/>
    </row>
    <row r="210" spans="1:28">
      <c r="A210" s="55" t="s">
        <v>414</v>
      </c>
      <c r="B210" s="65" t="s">
        <v>326</v>
      </c>
      <c r="C210" s="75">
        <v>9423841</v>
      </c>
      <c r="D210" s="75">
        <v>9873613</v>
      </c>
      <c r="E210" s="75">
        <v>10385891</v>
      </c>
      <c r="F210" s="75">
        <v>10826151</v>
      </c>
      <c r="G210" s="75">
        <v>10926951</v>
      </c>
      <c r="H210" s="75">
        <v>11120152</v>
      </c>
      <c r="I210" s="75">
        <v>11432188</v>
      </c>
      <c r="J210" s="75">
        <v>11886160</v>
      </c>
      <c r="K210" s="75">
        <v>12311102</v>
      </c>
      <c r="L210" s="75">
        <v>12678604</v>
      </c>
      <c r="M210" s="75">
        <v>12873039</v>
      </c>
      <c r="N210" s="75">
        <v>12760133</v>
      </c>
      <c r="O210" s="59">
        <v>12352979</v>
      </c>
      <c r="P210" s="59">
        <v>12650192</v>
      </c>
      <c r="Q210" s="59">
        <v>12871681</v>
      </c>
      <c r="R210" s="59">
        <v>13185817</v>
      </c>
      <c r="S210" s="59">
        <v>13482782</v>
      </c>
      <c r="T210" s="72"/>
    </row>
    <row r="211" spans="1:28">
      <c r="A211" s="55" t="s">
        <v>414</v>
      </c>
      <c r="B211" s="65" t="s">
        <v>327</v>
      </c>
      <c r="C211" s="75">
        <v>90936</v>
      </c>
      <c r="D211" s="75">
        <v>87612</v>
      </c>
      <c r="E211" s="75">
        <v>92082</v>
      </c>
      <c r="F211" s="75">
        <v>105727</v>
      </c>
      <c r="G211" s="75">
        <v>100415</v>
      </c>
      <c r="H211" s="75">
        <v>104170</v>
      </c>
      <c r="I211" s="75">
        <v>114212</v>
      </c>
      <c r="J211" s="75">
        <v>121383</v>
      </c>
      <c r="K211" s="75">
        <v>127203</v>
      </c>
      <c r="L211" s="76">
        <v>132372</v>
      </c>
      <c r="M211" s="75">
        <v>114267</v>
      </c>
      <c r="N211" s="66">
        <v>121988</v>
      </c>
      <c r="O211" s="59">
        <v>137655</v>
      </c>
      <c r="P211" s="59">
        <v>140206</v>
      </c>
      <c r="Q211" s="59">
        <v>133986</v>
      </c>
      <c r="R211" s="59">
        <v>129447</v>
      </c>
      <c r="S211" s="64">
        <v>145022</v>
      </c>
      <c r="T211" s="72"/>
    </row>
    <row r="212" spans="1:28">
      <c r="A212" s="55" t="s">
        <v>414</v>
      </c>
      <c r="B212" s="65" t="s">
        <v>328</v>
      </c>
      <c r="C212" s="75">
        <v>71151</v>
      </c>
      <c r="D212" s="75">
        <v>67692</v>
      </c>
      <c r="E212" s="75">
        <v>70732</v>
      </c>
      <c r="F212" s="75">
        <v>83896</v>
      </c>
      <c r="G212" s="75">
        <v>77691</v>
      </c>
      <c r="H212" s="75">
        <v>80926</v>
      </c>
      <c r="I212" s="75">
        <v>89831</v>
      </c>
      <c r="J212" s="75">
        <v>96078</v>
      </c>
      <c r="K212" s="75">
        <v>101646</v>
      </c>
      <c r="L212" s="76">
        <v>102413</v>
      </c>
      <c r="M212" s="75">
        <v>86172</v>
      </c>
      <c r="N212" s="66">
        <v>94712</v>
      </c>
      <c r="O212" s="59">
        <v>109800</v>
      </c>
      <c r="P212" s="59">
        <v>111455</v>
      </c>
      <c r="Q212" s="59">
        <v>105712</v>
      </c>
      <c r="R212" s="59">
        <v>99678</v>
      </c>
      <c r="S212" s="64">
        <v>113948</v>
      </c>
      <c r="T212" s="63"/>
    </row>
    <row r="213" spans="1:28">
      <c r="A213" s="55" t="s">
        <v>414</v>
      </c>
      <c r="B213" s="65" t="s">
        <v>329</v>
      </c>
      <c r="C213" s="75">
        <v>20254</v>
      </c>
      <c r="D213" s="75">
        <v>20527</v>
      </c>
      <c r="E213" s="75">
        <v>22022</v>
      </c>
      <c r="F213" s="75">
        <v>22728</v>
      </c>
      <c r="G213" s="75">
        <v>23559</v>
      </c>
      <c r="H213" s="75">
        <v>24092</v>
      </c>
      <c r="I213" s="75">
        <v>25234</v>
      </c>
      <c r="J213" s="75">
        <v>26066</v>
      </c>
      <c r="K213" s="75">
        <v>26157</v>
      </c>
      <c r="L213" s="76">
        <v>30835</v>
      </c>
      <c r="M213" s="75">
        <v>29129</v>
      </c>
      <c r="N213" s="75">
        <v>27522</v>
      </c>
      <c r="O213" s="59">
        <v>27855</v>
      </c>
      <c r="P213" s="59">
        <v>28765</v>
      </c>
      <c r="Q213" s="59">
        <v>28487</v>
      </c>
      <c r="R213" s="59">
        <v>31129</v>
      </c>
      <c r="S213" s="59">
        <v>31428</v>
      </c>
      <c r="T213" s="63"/>
    </row>
    <row r="214" spans="1:28">
      <c r="A214" s="55" t="s">
        <v>414</v>
      </c>
      <c r="B214" s="65" t="s">
        <v>330</v>
      </c>
      <c r="C214" s="75">
        <v>236777</v>
      </c>
      <c r="D214" s="75">
        <v>248664</v>
      </c>
      <c r="E214" s="75">
        <v>237366</v>
      </c>
      <c r="F214" s="75">
        <v>210767</v>
      </c>
      <c r="G214" s="75">
        <v>246495</v>
      </c>
      <c r="H214" s="75">
        <v>242253</v>
      </c>
      <c r="I214" s="75">
        <v>216139</v>
      </c>
      <c r="J214" s="75">
        <v>214129</v>
      </c>
      <c r="K214" s="75">
        <v>212913</v>
      </c>
      <c r="L214" s="76">
        <v>235763</v>
      </c>
      <c r="M214" s="75">
        <v>251329</v>
      </c>
      <c r="N214" s="66">
        <v>254215</v>
      </c>
      <c r="O214" s="59">
        <v>290349</v>
      </c>
      <c r="P214" s="59">
        <v>272710</v>
      </c>
      <c r="Q214" s="59">
        <v>290137</v>
      </c>
      <c r="R214" s="59">
        <v>319584</v>
      </c>
      <c r="S214" s="64">
        <v>332740</v>
      </c>
      <c r="T214" s="72"/>
    </row>
    <row r="215" spans="1:28">
      <c r="A215" s="55" t="s">
        <v>414</v>
      </c>
      <c r="B215" s="65" t="s">
        <v>331</v>
      </c>
      <c r="C215" s="75">
        <v>173313</v>
      </c>
      <c r="D215" s="75">
        <v>179763</v>
      </c>
      <c r="E215" s="75">
        <v>159163</v>
      </c>
      <c r="F215" s="75">
        <v>118573</v>
      </c>
      <c r="G215" s="75">
        <v>142244</v>
      </c>
      <c r="H215" s="75">
        <v>155057</v>
      </c>
      <c r="I215" s="75">
        <v>127602</v>
      </c>
      <c r="J215" s="75">
        <v>124654</v>
      </c>
      <c r="K215" s="75">
        <v>120936</v>
      </c>
      <c r="L215" s="76">
        <v>131355</v>
      </c>
      <c r="M215" s="75">
        <v>140230</v>
      </c>
      <c r="N215" s="66">
        <v>140734</v>
      </c>
      <c r="O215" s="59">
        <v>184601</v>
      </c>
      <c r="P215" s="59">
        <v>158615</v>
      </c>
      <c r="Q215" s="59">
        <v>165235</v>
      </c>
      <c r="R215" s="59">
        <v>193353</v>
      </c>
      <c r="S215" s="64">
        <v>204446</v>
      </c>
      <c r="T215" s="63"/>
    </row>
    <row r="216" spans="1:28">
      <c r="A216" s="55" t="s">
        <v>414</v>
      </c>
      <c r="B216" s="65" t="s">
        <v>332</v>
      </c>
      <c r="C216" s="75">
        <v>62246</v>
      </c>
      <c r="D216" s="75">
        <v>72414</v>
      </c>
      <c r="E216" s="75">
        <v>76007</v>
      </c>
      <c r="F216" s="75">
        <v>74628</v>
      </c>
      <c r="G216" s="75">
        <v>73373</v>
      </c>
      <c r="H216" s="75">
        <v>67684</v>
      </c>
      <c r="I216" s="75">
        <v>68993</v>
      </c>
      <c r="J216" s="75">
        <v>67542</v>
      </c>
      <c r="K216" s="75">
        <v>69408</v>
      </c>
      <c r="L216" s="76">
        <v>70983</v>
      </c>
      <c r="M216" s="75">
        <v>72219</v>
      </c>
      <c r="N216" s="66">
        <v>68653</v>
      </c>
      <c r="O216" s="59">
        <v>65757</v>
      </c>
      <c r="P216" s="59">
        <v>70026</v>
      </c>
      <c r="Q216" s="59">
        <v>72686</v>
      </c>
      <c r="R216" s="59">
        <v>67004</v>
      </c>
      <c r="S216" s="64">
        <v>68149</v>
      </c>
      <c r="T216" s="63"/>
    </row>
    <row r="217" spans="1:28">
      <c r="A217" s="55" t="s">
        <v>414</v>
      </c>
      <c r="B217" s="65" t="s">
        <v>333</v>
      </c>
      <c r="C217" s="75">
        <v>21235</v>
      </c>
      <c r="D217" s="75">
        <v>18992</v>
      </c>
      <c r="E217" s="75">
        <v>18666</v>
      </c>
      <c r="F217" s="75">
        <v>25306</v>
      </c>
      <c r="G217" s="75">
        <v>35608</v>
      </c>
      <c r="H217" s="75">
        <v>25152</v>
      </c>
      <c r="I217" s="75">
        <v>26194</v>
      </c>
      <c r="J217" s="75">
        <v>28620</v>
      </c>
      <c r="K217" s="75">
        <v>30944</v>
      </c>
      <c r="L217" s="76">
        <v>42049</v>
      </c>
      <c r="M217" s="75">
        <v>47117</v>
      </c>
      <c r="N217" s="75">
        <v>52947</v>
      </c>
      <c r="O217" s="59">
        <v>39991</v>
      </c>
      <c r="P217" s="59">
        <v>45974</v>
      </c>
      <c r="Q217" s="59">
        <v>55959</v>
      </c>
      <c r="R217" s="59">
        <v>61251</v>
      </c>
      <c r="S217" s="59">
        <v>61540</v>
      </c>
      <c r="T217" s="63"/>
    </row>
    <row r="218" spans="1:28">
      <c r="A218" s="55" t="s">
        <v>414</v>
      </c>
      <c r="B218" s="65" t="s">
        <v>334</v>
      </c>
      <c r="C218" s="75">
        <v>266915</v>
      </c>
      <c r="D218" s="75">
        <v>254609</v>
      </c>
      <c r="E218" s="75">
        <v>297905</v>
      </c>
      <c r="F218" s="75">
        <v>303951</v>
      </c>
      <c r="G218" s="75">
        <v>257559</v>
      </c>
      <c r="H218" s="75">
        <v>262687</v>
      </c>
      <c r="I218" s="75">
        <v>254953</v>
      </c>
      <c r="J218" s="75">
        <v>267226</v>
      </c>
      <c r="K218" s="75">
        <v>250612</v>
      </c>
      <c r="L218" s="76">
        <v>264152</v>
      </c>
      <c r="M218" s="75">
        <v>267359</v>
      </c>
      <c r="N218" s="75">
        <v>269647</v>
      </c>
      <c r="O218" s="59">
        <v>250785</v>
      </c>
      <c r="P218" s="59">
        <v>274429</v>
      </c>
      <c r="Q218" s="59">
        <v>277860</v>
      </c>
      <c r="R218" s="59">
        <v>279189</v>
      </c>
      <c r="S218" s="59">
        <v>281855</v>
      </c>
      <c r="T218" s="72"/>
    </row>
    <row r="219" spans="1:28">
      <c r="A219" s="55" t="s">
        <v>414</v>
      </c>
      <c r="B219" s="65" t="s">
        <v>335</v>
      </c>
      <c r="C219" s="75">
        <v>686762</v>
      </c>
      <c r="D219" s="75">
        <v>715453</v>
      </c>
      <c r="E219" s="75">
        <v>741305</v>
      </c>
      <c r="F219" s="75">
        <v>768870</v>
      </c>
      <c r="G219" s="75">
        <v>755367</v>
      </c>
      <c r="H219" s="75">
        <v>731456</v>
      </c>
      <c r="I219" s="75">
        <v>744422</v>
      </c>
      <c r="J219" s="75">
        <v>770452</v>
      </c>
      <c r="K219" s="75">
        <v>772756</v>
      </c>
      <c r="L219" s="76">
        <v>753462</v>
      </c>
      <c r="M219" s="75">
        <v>725129</v>
      </c>
      <c r="N219" s="75">
        <v>662192</v>
      </c>
      <c r="O219" s="59">
        <v>577295</v>
      </c>
      <c r="P219" s="59">
        <v>551605</v>
      </c>
      <c r="Q219" s="59">
        <v>548632</v>
      </c>
      <c r="R219" s="59">
        <v>570870</v>
      </c>
      <c r="S219" s="59">
        <v>581584</v>
      </c>
      <c r="T219" s="72"/>
    </row>
    <row r="220" spans="1:28">
      <c r="A220" s="55" t="s">
        <v>414</v>
      </c>
      <c r="B220" s="65" t="s">
        <v>336</v>
      </c>
      <c r="C220" s="75">
        <v>1365087</v>
      </c>
      <c r="D220" s="75">
        <v>1431116</v>
      </c>
      <c r="E220" s="75">
        <v>1509457</v>
      </c>
      <c r="F220" s="75">
        <v>1603269</v>
      </c>
      <c r="G220" s="75">
        <v>1538535</v>
      </c>
      <c r="H220" s="75">
        <v>1553678</v>
      </c>
      <c r="I220" s="75">
        <v>1632123</v>
      </c>
      <c r="J220" s="75">
        <v>1737538</v>
      </c>
      <c r="K220" s="75">
        <v>1776683</v>
      </c>
      <c r="L220" s="76">
        <v>1864918</v>
      </c>
      <c r="M220" s="75">
        <v>1924835</v>
      </c>
      <c r="N220" s="75">
        <v>1869131</v>
      </c>
      <c r="O220" s="59">
        <v>1726712</v>
      </c>
      <c r="P220" s="59">
        <v>1818193</v>
      </c>
      <c r="Q220" s="59">
        <v>1823252</v>
      </c>
      <c r="R220" s="59">
        <v>1836824</v>
      </c>
      <c r="S220" s="59">
        <v>1862622</v>
      </c>
      <c r="T220" s="72"/>
    </row>
    <row r="221" spans="1:28">
      <c r="A221" s="55" t="s">
        <v>414</v>
      </c>
      <c r="B221" s="65" t="s">
        <v>337</v>
      </c>
      <c r="C221" s="75">
        <v>624870</v>
      </c>
      <c r="D221" s="75">
        <v>676251</v>
      </c>
      <c r="E221" s="75">
        <v>723943</v>
      </c>
      <c r="F221" s="75">
        <v>806081</v>
      </c>
      <c r="G221" s="75">
        <v>754507</v>
      </c>
      <c r="H221" s="75">
        <v>769440</v>
      </c>
      <c r="I221" s="75">
        <v>820585</v>
      </c>
      <c r="J221" s="75">
        <v>874222</v>
      </c>
      <c r="K221" s="75">
        <v>930149</v>
      </c>
      <c r="L221" s="76">
        <v>994487</v>
      </c>
      <c r="M221" s="75">
        <v>1037317</v>
      </c>
      <c r="N221" s="66">
        <v>1025200</v>
      </c>
      <c r="O221" s="59">
        <v>874274</v>
      </c>
      <c r="P221" s="59">
        <v>976074</v>
      </c>
      <c r="Q221" s="59">
        <v>1037518</v>
      </c>
      <c r="R221" s="59">
        <v>1071047</v>
      </c>
      <c r="S221" s="64">
        <v>1089258</v>
      </c>
      <c r="T221" s="72"/>
    </row>
    <row r="222" spans="1:28">
      <c r="A222" s="55" t="s">
        <v>414</v>
      </c>
      <c r="B222" s="65" t="s">
        <v>338</v>
      </c>
      <c r="C222" s="75">
        <v>24640</v>
      </c>
      <c r="D222" s="75">
        <v>24928</v>
      </c>
      <c r="E222" s="75">
        <v>24589</v>
      </c>
      <c r="F222" s="75">
        <v>25101</v>
      </c>
      <c r="G222" s="75">
        <v>24134</v>
      </c>
      <c r="H222" s="75">
        <v>24432</v>
      </c>
      <c r="I222" s="75">
        <v>24423</v>
      </c>
      <c r="J222" s="75">
        <v>24031</v>
      </c>
      <c r="K222" s="75">
        <v>26093</v>
      </c>
      <c r="L222" s="76">
        <v>25566</v>
      </c>
      <c r="M222" s="75">
        <v>26747</v>
      </c>
      <c r="N222" s="66">
        <v>24551</v>
      </c>
      <c r="O222" s="59">
        <v>20667</v>
      </c>
      <c r="P222" s="59">
        <v>21372</v>
      </c>
      <c r="Q222" s="59">
        <v>23399</v>
      </c>
      <c r="R222" s="59">
        <v>23689</v>
      </c>
      <c r="S222" s="64">
        <v>22098</v>
      </c>
      <c r="T222" s="63"/>
    </row>
    <row r="223" spans="1:28">
      <c r="A223" s="55" t="s">
        <v>414</v>
      </c>
      <c r="B223" s="65" t="s">
        <v>339</v>
      </c>
      <c r="C223" s="75">
        <v>51391</v>
      </c>
      <c r="D223" s="75">
        <v>51178</v>
      </c>
      <c r="E223" s="75">
        <v>51804</v>
      </c>
      <c r="F223" s="75">
        <v>51282</v>
      </c>
      <c r="G223" s="75">
        <v>50191</v>
      </c>
      <c r="H223" s="75">
        <v>49552</v>
      </c>
      <c r="I223" s="75">
        <v>50918</v>
      </c>
      <c r="J223" s="75">
        <v>54461</v>
      </c>
      <c r="K223" s="75">
        <v>55079</v>
      </c>
      <c r="L223" s="76">
        <v>51320</v>
      </c>
      <c r="M223" s="75">
        <v>51221</v>
      </c>
      <c r="N223" s="66">
        <v>46892</v>
      </c>
      <c r="O223" s="59">
        <v>37330</v>
      </c>
      <c r="P223" s="59">
        <v>37349</v>
      </c>
      <c r="Q223" s="59">
        <v>38553</v>
      </c>
      <c r="R223" s="59">
        <v>39785</v>
      </c>
      <c r="S223" s="64">
        <v>39190</v>
      </c>
      <c r="T223" s="63"/>
    </row>
    <row r="224" spans="1:28">
      <c r="A224" s="55" t="s">
        <v>414</v>
      </c>
      <c r="B224" s="65" t="s">
        <v>340</v>
      </c>
      <c r="C224" s="75">
        <v>41187</v>
      </c>
      <c r="D224" s="75">
        <v>44250</v>
      </c>
      <c r="E224" s="75">
        <v>47017</v>
      </c>
      <c r="F224" s="75">
        <v>46881</v>
      </c>
      <c r="G224" s="75">
        <v>44222</v>
      </c>
      <c r="H224" s="75">
        <v>45795</v>
      </c>
      <c r="I224" s="75">
        <v>43874</v>
      </c>
      <c r="J224" s="75">
        <v>48173</v>
      </c>
      <c r="K224" s="75">
        <v>44294</v>
      </c>
      <c r="L224" s="76">
        <v>40499</v>
      </c>
      <c r="M224" s="75">
        <v>39391</v>
      </c>
      <c r="N224" s="66">
        <v>40509</v>
      </c>
      <c r="O224" s="59">
        <v>40111</v>
      </c>
      <c r="P224" s="59">
        <v>38375</v>
      </c>
      <c r="Q224" s="59">
        <v>40160</v>
      </c>
      <c r="R224" s="59">
        <v>49650</v>
      </c>
      <c r="S224" s="64">
        <v>56789</v>
      </c>
      <c r="T224" s="63"/>
    </row>
    <row r="225" spans="1:20">
      <c r="A225" s="55" t="s">
        <v>414</v>
      </c>
      <c r="B225" s="65" t="s">
        <v>341</v>
      </c>
      <c r="C225" s="75">
        <v>155294</v>
      </c>
      <c r="D225" s="75">
        <v>151504</v>
      </c>
      <c r="E225" s="75">
        <v>152623</v>
      </c>
      <c r="F225" s="75">
        <v>162106</v>
      </c>
      <c r="G225" s="75">
        <v>144551</v>
      </c>
      <c r="H225" s="75">
        <v>137944</v>
      </c>
      <c r="I225" s="75">
        <v>143361</v>
      </c>
      <c r="J225" s="75">
        <v>149051</v>
      </c>
      <c r="K225" s="75">
        <v>151957</v>
      </c>
      <c r="L225" s="76">
        <v>157849</v>
      </c>
      <c r="M225" s="75">
        <v>163838</v>
      </c>
      <c r="N225" s="66">
        <v>154469</v>
      </c>
      <c r="O225" s="59">
        <v>117937</v>
      </c>
      <c r="P225" s="59">
        <v>129261</v>
      </c>
      <c r="Q225" s="59">
        <v>137431</v>
      </c>
      <c r="R225" s="59">
        <v>141132</v>
      </c>
      <c r="S225" s="64">
        <v>139509</v>
      </c>
      <c r="T225" s="63"/>
    </row>
    <row r="226" spans="1:20">
      <c r="A226" s="55" t="s">
        <v>414</v>
      </c>
      <c r="B226" s="65" t="s">
        <v>342</v>
      </c>
      <c r="C226" s="75">
        <v>124312</v>
      </c>
      <c r="D226" s="75">
        <v>134054</v>
      </c>
      <c r="E226" s="75">
        <v>127128</v>
      </c>
      <c r="F226" s="75">
        <v>130156</v>
      </c>
      <c r="G226" s="75">
        <v>118032</v>
      </c>
      <c r="H226" s="75">
        <v>109985</v>
      </c>
      <c r="I226" s="75">
        <v>109142</v>
      </c>
      <c r="J226" s="75">
        <v>120863</v>
      </c>
      <c r="K226" s="75">
        <v>129872</v>
      </c>
      <c r="L226" s="76">
        <v>138667</v>
      </c>
      <c r="M226" s="75">
        <v>144744</v>
      </c>
      <c r="N226" s="66">
        <v>144945</v>
      </c>
      <c r="O226" s="59">
        <v>115561</v>
      </c>
      <c r="P226" s="59">
        <v>127768</v>
      </c>
      <c r="Q226" s="59">
        <v>144525</v>
      </c>
      <c r="R226" s="59">
        <v>145269</v>
      </c>
      <c r="S226" s="64">
        <v>140488</v>
      </c>
      <c r="T226" s="63"/>
    </row>
    <row r="227" spans="1:20">
      <c r="A227" s="55" t="s">
        <v>414</v>
      </c>
      <c r="B227" s="65" t="s">
        <v>343</v>
      </c>
      <c r="C227" s="75">
        <v>37921</v>
      </c>
      <c r="D227" s="75">
        <v>48708</v>
      </c>
      <c r="E227" s="75">
        <v>60584</v>
      </c>
      <c r="F227" s="75">
        <v>91821</v>
      </c>
      <c r="G227" s="75">
        <v>87961</v>
      </c>
      <c r="H227" s="75">
        <v>95367</v>
      </c>
      <c r="I227" s="75">
        <v>119097</v>
      </c>
      <c r="J227" s="75">
        <v>136124</v>
      </c>
      <c r="K227" s="75">
        <v>153799</v>
      </c>
      <c r="L227" s="76">
        <v>179518</v>
      </c>
      <c r="M227" s="75">
        <v>202658</v>
      </c>
      <c r="N227" s="66">
        <v>227526</v>
      </c>
      <c r="O227" s="59">
        <v>228922</v>
      </c>
      <c r="P227" s="59">
        <v>255797</v>
      </c>
      <c r="Q227" s="59">
        <v>264863</v>
      </c>
      <c r="R227" s="59">
        <v>272069</v>
      </c>
      <c r="S227" s="64">
        <v>273331</v>
      </c>
      <c r="T227" s="63"/>
    </row>
    <row r="228" spans="1:20">
      <c r="A228" s="55" t="s">
        <v>414</v>
      </c>
      <c r="B228" s="65" t="s">
        <v>344</v>
      </c>
      <c r="C228" s="75">
        <v>55983</v>
      </c>
      <c r="D228" s="75">
        <v>46801</v>
      </c>
      <c r="E228" s="75">
        <v>51456</v>
      </c>
      <c r="F228" s="75">
        <v>53619</v>
      </c>
      <c r="G228" s="75">
        <v>50836</v>
      </c>
      <c r="H228" s="75">
        <v>50651</v>
      </c>
      <c r="I228" s="75">
        <v>54449</v>
      </c>
      <c r="J228" s="75">
        <v>51351</v>
      </c>
      <c r="K228" s="75">
        <v>51863</v>
      </c>
      <c r="L228" s="76">
        <v>60282</v>
      </c>
      <c r="M228" s="75">
        <v>56441</v>
      </c>
      <c r="N228" s="66">
        <v>60135</v>
      </c>
      <c r="O228" s="59">
        <v>50177</v>
      </c>
      <c r="P228" s="59">
        <v>51300</v>
      </c>
      <c r="Q228" s="59">
        <v>49269</v>
      </c>
      <c r="R228" s="59">
        <v>48086</v>
      </c>
      <c r="S228" s="64">
        <v>48652</v>
      </c>
      <c r="T228" s="63"/>
    </row>
    <row r="229" spans="1:20">
      <c r="A229" s="55" t="s">
        <v>414</v>
      </c>
      <c r="B229" s="65" t="s">
        <v>345</v>
      </c>
      <c r="C229" s="75">
        <v>88997</v>
      </c>
      <c r="D229" s="75">
        <v>98360</v>
      </c>
      <c r="E229" s="75">
        <v>104359</v>
      </c>
      <c r="F229" s="75">
        <v>106881</v>
      </c>
      <c r="G229" s="75">
        <v>96667</v>
      </c>
      <c r="H229" s="75">
        <v>110148</v>
      </c>
      <c r="I229" s="75">
        <v>119525</v>
      </c>
      <c r="J229" s="75">
        <v>122753</v>
      </c>
      <c r="K229" s="75">
        <v>129564</v>
      </c>
      <c r="L229" s="76">
        <v>142792</v>
      </c>
      <c r="M229" s="75">
        <v>136436</v>
      </c>
      <c r="N229" s="66">
        <v>106800</v>
      </c>
      <c r="O229" s="59">
        <v>48439</v>
      </c>
      <c r="P229" s="59">
        <v>99760</v>
      </c>
      <c r="Q229" s="59">
        <v>127498</v>
      </c>
      <c r="R229" s="59">
        <v>138721</v>
      </c>
      <c r="S229" s="64">
        <v>149773</v>
      </c>
      <c r="T229" s="63"/>
    </row>
    <row r="230" spans="1:20">
      <c r="A230" s="55" t="s">
        <v>414</v>
      </c>
      <c r="B230" s="65" t="s">
        <v>346</v>
      </c>
      <c r="C230" s="75">
        <v>94959</v>
      </c>
      <c r="D230" s="75">
        <v>96436</v>
      </c>
      <c r="E230" s="75">
        <v>101754</v>
      </c>
      <c r="F230" s="75">
        <v>92328</v>
      </c>
      <c r="G230" s="75">
        <v>94056</v>
      </c>
      <c r="H230" s="75">
        <v>87799</v>
      </c>
      <c r="I230" s="75">
        <v>83824</v>
      </c>
      <c r="J230" s="75">
        <v>85815</v>
      </c>
      <c r="K230" s="75">
        <v>98588</v>
      </c>
      <c r="L230" s="76">
        <v>102797</v>
      </c>
      <c r="M230" s="75">
        <v>120912</v>
      </c>
      <c r="N230" s="66">
        <v>118031</v>
      </c>
      <c r="O230" s="59">
        <v>111855</v>
      </c>
      <c r="P230" s="59">
        <v>112283</v>
      </c>
      <c r="Q230" s="59">
        <v>114392</v>
      </c>
      <c r="R230" s="59">
        <v>113392</v>
      </c>
      <c r="S230" s="64">
        <v>116414</v>
      </c>
      <c r="T230" s="63"/>
    </row>
    <row r="231" spans="1:20">
      <c r="A231" s="55" t="s">
        <v>414</v>
      </c>
      <c r="B231" s="65" t="s">
        <v>347</v>
      </c>
      <c r="C231" s="75">
        <v>36987</v>
      </c>
      <c r="D231" s="75">
        <v>37335</v>
      </c>
      <c r="E231" s="75">
        <v>39158</v>
      </c>
      <c r="F231" s="75">
        <v>40648</v>
      </c>
      <c r="G231" s="75">
        <v>36476</v>
      </c>
      <c r="H231" s="75">
        <v>35814</v>
      </c>
      <c r="I231" s="75">
        <v>35011</v>
      </c>
      <c r="J231" s="75">
        <v>37628</v>
      </c>
      <c r="K231" s="75">
        <v>39555</v>
      </c>
      <c r="L231" s="76">
        <v>40275</v>
      </c>
      <c r="M231" s="75">
        <v>36584</v>
      </c>
      <c r="N231" s="66">
        <v>31433</v>
      </c>
      <c r="O231" s="59">
        <v>23068</v>
      </c>
      <c r="P231" s="59">
        <v>23260</v>
      </c>
      <c r="Q231" s="59">
        <v>23534</v>
      </c>
      <c r="R231" s="59">
        <v>24038</v>
      </c>
      <c r="S231" s="64">
        <v>24780</v>
      </c>
      <c r="T231" s="63"/>
    </row>
    <row r="232" spans="1:20">
      <c r="A232" s="55" t="s">
        <v>414</v>
      </c>
      <c r="B232" s="65" t="s">
        <v>348</v>
      </c>
      <c r="C232" s="75">
        <v>56684</v>
      </c>
      <c r="D232" s="75">
        <v>58563</v>
      </c>
      <c r="E232" s="75">
        <v>60324</v>
      </c>
      <c r="F232" s="75">
        <v>62280</v>
      </c>
      <c r="G232" s="75">
        <v>58658</v>
      </c>
      <c r="H232" s="75">
        <v>61057</v>
      </c>
      <c r="I232" s="75">
        <v>61848</v>
      </c>
      <c r="J232" s="75">
        <v>65037</v>
      </c>
      <c r="K232" s="75">
        <v>68049</v>
      </c>
      <c r="L232" s="76">
        <v>72679</v>
      </c>
      <c r="M232" s="75">
        <v>73871</v>
      </c>
      <c r="N232" s="75">
        <v>77959</v>
      </c>
      <c r="O232" s="59">
        <v>80209</v>
      </c>
      <c r="P232" s="59">
        <v>81897</v>
      </c>
      <c r="Q232" s="59">
        <v>78681</v>
      </c>
      <c r="R232" s="59">
        <v>77783</v>
      </c>
      <c r="S232" s="59">
        <v>80281</v>
      </c>
      <c r="T232" s="63"/>
    </row>
    <row r="233" spans="1:20">
      <c r="A233" s="55" t="s">
        <v>414</v>
      </c>
      <c r="B233" s="65" t="s">
        <v>349</v>
      </c>
      <c r="C233" s="75">
        <v>788395</v>
      </c>
      <c r="D233" s="75">
        <v>788523</v>
      </c>
      <c r="E233" s="75">
        <v>813815</v>
      </c>
      <c r="F233" s="75">
        <v>807055</v>
      </c>
      <c r="G233" s="75">
        <v>801608</v>
      </c>
      <c r="H233" s="75">
        <v>799230</v>
      </c>
      <c r="I233" s="75">
        <v>823141</v>
      </c>
      <c r="J233" s="75">
        <v>875455</v>
      </c>
      <c r="K233" s="75">
        <v>850564</v>
      </c>
      <c r="L233" s="76">
        <v>872130</v>
      </c>
      <c r="M233" s="75">
        <v>888327</v>
      </c>
      <c r="N233" s="66">
        <v>844204</v>
      </c>
      <c r="O233" s="59">
        <v>852439</v>
      </c>
      <c r="P233" s="59">
        <v>843846</v>
      </c>
      <c r="Q233" s="59">
        <v>793416</v>
      </c>
      <c r="R233" s="59">
        <v>777936</v>
      </c>
      <c r="S233" s="64">
        <v>786230</v>
      </c>
      <c r="T233" s="72"/>
    </row>
    <row r="234" spans="1:20">
      <c r="A234" s="55" t="s">
        <v>414</v>
      </c>
      <c r="B234" s="65" t="s">
        <v>350</v>
      </c>
      <c r="C234" s="75">
        <v>204950</v>
      </c>
      <c r="D234" s="75">
        <v>204904</v>
      </c>
      <c r="E234" s="75">
        <v>211542</v>
      </c>
      <c r="F234" s="75">
        <v>209842</v>
      </c>
      <c r="G234" s="75">
        <v>213543</v>
      </c>
      <c r="H234" s="75">
        <v>202839</v>
      </c>
      <c r="I234" s="75">
        <v>209361</v>
      </c>
      <c r="J234" s="75">
        <v>213188</v>
      </c>
      <c r="K234" s="75">
        <v>212101</v>
      </c>
      <c r="L234" s="76">
        <v>235729</v>
      </c>
      <c r="M234" s="75">
        <v>236395</v>
      </c>
      <c r="N234" s="66">
        <v>225297</v>
      </c>
      <c r="O234" s="59">
        <v>243160</v>
      </c>
      <c r="P234" s="59">
        <v>233327</v>
      </c>
      <c r="Q234" s="59">
        <v>225346</v>
      </c>
      <c r="R234" s="59">
        <v>218367</v>
      </c>
      <c r="S234" s="64">
        <v>219948</v>
      </c>
      <c r="T234" s="72"/>
    </row>
    <row r="235" spans="1:20">
      <c r="A235" s="55" t="s">
        <v>414</v>
      </c>
      <c r="B235" s="65" t="s">
        <v>351</v>
      </c>
      <c r="C235" s="75">
        <v>29964</v>
      </c>
      <c r="D235" s="75">
        <v>29646</v>
      </c>
      <c r="E235" s="75">
        <v>29703</v>
      </c>
      <c r="F235" s="75">
        <v>29718</v>
      </c>
      <c r="G235" s="75">
        <v>25943</v>
      </c>
      <c r="H235" s="75">
        <v>24801</v>
      </c>
      <c r="I235" s="75">
        <v>20858</v>
      </c>
      <c r="J235" s="75">
        <v>25059</v>
      </c>
      <c r="K235" s="75">
        <v>22273</v>
      </c>
      <c r="L235" s="76">
        <v>21188</v>
      </c>
      <c r="M235" s="75">
        <v>20394</v>
      </c>
      <c r="N235" s="66">
        <v>19148</v>
      </c>
      <c r="O235" s="59">
        <v>15133</v>
      </c>
      <c r="P235" s="59">
        <v>15573</v>
      </c>
      <c r="Q235" s="59">
        <v>13403</v>
      </c>
      <c r="R235" s="59">
        <v>14947</v>
      </c>
      <c r="S235" s="64">
        <v>15613</v>
      </c>
      <c r="T235" s="63"/>
    </row>
    <row r="236" spans="1:20">
      <c r="A236" s="55" t="s">
        <v>414</v>
      </c>
      <c r="B236" s="65" t="s">
        <v>352</v>
      </c>
      <c r="C236" s="75">
        <v>23411</v>
      </c>
      <c r="D236" s="75">
        <v>20996</v>
      </c>
      <c r="E236" s="75">
        <v>19473</v>
      </c>
      <c r="F236" s="75">
        <v>19650</v>
      </c>
      <c r="G236" s="75">
        <v>17475</v>
      </c>
      <c r="H236" s="75">
        <v>16409</v>
      </c>
      <c r="I236" s="75">
        <v>14191</v>
      </c>
      <c r="J236" s="75">
        <v>13709</v>
      </c>
      <c r="K236" s="75">
        <v>13281</v>
      </c>
      <c r="L236" s="76">
        <v>12583</v>
      </c>
      <c r="M236" s="75">
        <v>11800</v>
      </c>
      <c r="N236" s="66">
        <v>11749</v>
      </c>
      <c r="O236" s="59">
        <v>9924</v>
      </c>
      <c r="P236" s="59">
        <v>10815</v>
      </c>
      <c r="Q236" s="59">
        <v>10504</v>
      </c>
      <c r="R236" s="59">
        <v>10441</v>
      </c>
      <c r="S236" s="64">
        <v>10474</v>
      </c>
      <c r="T236" s="63"/>
    </row>
    <row r="237" spans="1:20">
      <c r="A237" s="55" t="s">
        <v>414</v>
      </c>
      <c r="B237" s="65" t="s">
        <v>353</v>
      </c>
      <c r="C237" s="75">
        <v>80020</v>
      </c>
      <c r="D237" s="75">
        <v>73992</v>
      </c>
      <c r="E237" s="75">
        <v>77315</v>
      </c>
      <c r="F237" s="75">
        <v>72551</v>
      </c>
      <c r="G237" s="75">
        <v>62467</v>
      </c>
      <c r="H237" s="75">
        <v>64282</v>
      </c>
      <c r="I237" s="75">
        <v>63113</v>
      </c>
      <c r="J237" s="75">
        <v>67335</v>
      </c>
      <c r="K237" s="75">
        <v>64885</v>
      </c>
      <c r="L237" s="76">
        <v>68477</v>
      </c>
      <c r="M237" s="75">
        <v>64232</v>
      </c>
      <c r="N237" s="66">
        <v>56105</v>
      </c>
      <c r="O237" s="59">
        <v>58506</v>
      </c>
      <c r="P237" s="59">
        <v>53403</v>
      </c>
      <c r="Q237" s="59">
        <v>50762</v>
      </c>
      <c r="R237" s="59">
        <v>49958</v>
      </c>
      <c r="S237" s="64">
        <v>47709</v>
      </c>
      <c r="T237" s="63"/>
    </row>
    <row r="238" spans="1:20">
      <c r="A238" s="55" t="s">
        <v>414</v>
      </c>
      <c r="B238" s="65" t="s">
        <v>354</v>
      </c>
      <c r="C238" s="75">
        <v>38808</v>
      </c>
      <c r="D238" s="75">
        <v>38838</v>
      </c>
      <c r="E238" s="75">
        <v>39288</v>
      </c>
      <c r="F238" s="75">
        <v>40715</v>
      </c>
      <c r="G238" s="75">
        <v>40861</v>
      </c>
      <c r="H238" s="75">
        <v>42724</v>
      </c>
      <c r="I238" s="75">
        <v>43021</v>
      </c>
      <c r="J238" s="75">
        <v>44006</v>
      </c>
      <c r="K238" s="75">
        <v>44589</v>
      </c>
      <c r="L238" s="76">
        <v>45398</v>
      </c>
      <c r="M238" s="75">
        <v>46652</v>
      </c>
      <c r="N238" s="66">
        <v>45471</v>
      </c>
      <c r="O238" s="59">
        <v>39263</v>
      </c>
      <c r="P238" s="59">
        <v>39714</v>
      </c>
      <c r="Q238" s="59">
        <v>40561</v>
      </c>
      <c r="R238" s="59">
        <v>39852</v>
      </c>
      <c r="S238" s="64">
        <v>39493</v>
      </c>
      <c r="T238" s="63"/>
    </row>
    <row r="239" spans="1:20">
      <c r="A239" s="55" t="s">
        <v>414</v>
      </c>
      <c r="B239" s="65" t="s">
        <v>355</v>
      </c>
      <c r="C239" s="75">
        <v>73327</v>
      </c>
      <c r="D239" s="75">
        <v>82582</v>
      </c>
      <c r="E239" s="75">
        <v>77739</v>
      </c>
      <c r="F239" s="75">
        <v>75894</v>
      </c>
      <c r="G239" s="75">
        <v>93860</v>
      </c>
      <c r="H239" s="75">
        <v>86106</v>
      </c>
      <c r="I239" s="75">
        <v>115232</v>
      </c>
      <c r="J239" s="75">
        <v>128799</v>
      </c>
      <c r="K239" s="75">
        <v>127464</v>
      </c>
      <c r="L239" s="76">
        <v>109199</v>
      </c>
      <c r="M239" s="75">
        <v>110610</v>
      </c>
      <c r="N239" s="66">
        <v>118611</v>
      </c>
      <c r="O239" s="59">
        <v>114617</v>
      </c>
      <c r="P239" s="59">
        <v>98517</v>
      </c>
      <c r="Q239" s="59">
        <v>84541</v>
      </c>
      <c r="R239" s="59">
        <v>84223</v>
      </c>
      <c r="S239" s="64">
        <v>90131</v>
      </c>
      <c r="T239" s="63"/>
    </row>
    <row r="240" spans="1:20">
      <c r="A240" s="55" t="s">
        <v>414</v>
      </c>
      <c r="B240" s="65" t="s">
        <v>356</v>
      </c>
      <c r="C240" s="75">
        <v>250794</v>
      </c>
      <c r="D240" s="75">
        <v>248978</v>
      </c>
      <c r="E240" s="75">
        <v>265111</v>
      </c>
      <c r="F240" s="75">
        <v>263382</v>
      </c>
      <c r="G240" s="75">
        <v>260565</v>
      </c>
      <c r="H240" s="75">
        <v>277156</v>
      </c>
      <c r="I240" s="75">
        <v>277464</v>
      </c>
      <c r="J240" s="75">
        <v>300534</v>
      </c>
      <c r="K240" s="75">
        <v>284749</v>
      </c>
      <c r="L240" s="76">
        <v>315165</v>
      </c>
      <c r="M240" s="75">
        <v>333578</v>
      </c>
      <c r="N240" s="66">
        <v>304981</v>
      </c>
      <c r="O240" s="59">
        <v>310296</v>
      </c>
      <c r="P240" s="59">
        <v>330406</v>
      </c>
      <c r="Q240" s="59">
        <v>311295</v>
      </c>
      <c r="R240" s="59">
        <v>299038</v>
      </c>
      <c r="S240" s="64">
        <v>297177</v>
      </c>
      <c r="T240" s="63"/>
    </row>
    <row r="241" spans="1:20">
      <c r="A241" s="55" t="s">
        <v>414</v>
      </c>
      <c r="B241" s="65" t="s">
        <v>357</v>
      </c>
      <c r="C241" s="75">
        <v>69511</v>
      </c>
      <c r="D241" s="75">
        <v>72918</v>
      </c>
      <c r="E241" s="75">
        <v>77646</v>
      </c>
      <c r="F241" s="75">
        <v>78537</v>
      </c>
      <c r="G241" s="75">
        <v>74268</v>
      </c>
      <c r="H241" s="75">
        <v>72963</v>
      </c>
      <c r="I241" s="75">
        <v>74280</v>
      </c>
      <c r="J241" s="75">
        <v>78495</v>
      </c>
      <c r="K241" s="75">
        <v>75886</v>
      </c>
      <c r="L241" s="76">
        <v>69917</v>
      </c>
      <c r="M241" s="75">
        <v>71175</v>
      </c>
      <c r="N241" s="75">
        <v>61939</v>
      </c>
      <c r="O241" s="59">
        <v>61540</v>
      </c>
      <c r="P241" s="59">
        <v>65337</v>
      </c>
      <c r="Q241" s="59">
        <v>64435</v>
      </c>
      <c r="R241" s="59">
        <v>67397</v>
      </c>
      <c r="S241" s="59">
        <v>67804</v>
      </c>
      <c r="T241" s="63"/>
    </row>
    <row r="242" spans="1:20">
      <c r="A242" s="55" t="s">
        <v>414</v>
      </c>
      <c r="B242" s="65" t="s">
        <v>358</v>
      </c>
      <c r="C242" s="75">
        <v>620138</v>
      </c>
      <c r="D242" s="75">
        <v>672290</v>
      </c>
      <c r="E242" s="75">
        <v>697880</v>
      </c>
      <c r="F242" s="75">
        <v>740701</v>
      </c>
      <c r="G242" s="75">
        <v>754196</v>
      </c>
      <c r="H242" s="75">
        <v>757010</v>
      </c>
      <c r="I242" s="75">
        <v>802012</v>
      </c>
      <c r="J242" s="75">
        <v>845762</v>
      </c>
      <c r="K242" s="75">
        <v>889686</v>
      </c>
      <c r="L242" s="76">
        <v>923357</v>
      </c>
      <c r="M242" s="75">
        <v>954485</v>
      </c>
      <c r="N242" s="75">
        <v>943483</v>
      </c>
      <c r="O242" s="59">
        <v>822846</v>
      </c>
      <c r="P242" s="59">
        <v>848346</v>
      </c>
      <c r="Q242" s="59">
        <v>866037</v>
      </c>
      <c r="R242" s="59">
        <v>893668</v>
      </c>
      <c r="S242" s="59">
        <v>907616</v>
      </c>
      <c r="T242" s="72"/>
    </row>
    <row r="243" spans="1:20">
      <c r="A243" s="55" t="s">
        <v>414</v>
      </c>
      <c r="B243" s="65" t="s">
        <v>359</v>
      </c>
      <c r="C243" s="75">
        <v>672015</v>
      </c>
      <c r="D243" s="75">
        <v>735200</v>
      </c>
      <c r="E243" s="75">
        <v>759731</v>
      </c>
      <c r="F243" s="75">
        <v>782713</v>
      </c>
      <c r="G243" s="75">
        <v>804777</v>
      </c>
      <c r="H243" s="75">
        <v>835035</v>
      </c>
      <c r="I243" s="75">
        <v>882759</v>
      </c>
      <c r="J243" s="75">
        <v>895475</v>
      </c>
      <c r="K243" s="75">
        <v>925067</v>
      </c>
      <c r="L243" s="76">
        <v>929825</v>
      </c>
      <c r="M243" s="75">
        <v>904182</v>
      </c>
      <c r="N243" s="75">
        <v>866404</v>
      </c>
      <c r="O243" s="59">
        <v>842134</v>
      </c>
      <c r="P243" s="59">
        <v>862168</v>
      </c>
      <c r="Q243" s="59">
        <v>867507</v>
      </c>
      <c r="R243" s="59">
        <v>881857</v>
      </c>
      <c r="S243" s="64">
        <v>902835</v>
      </c>
      <c r="T243" s="72"/>
    </row>
    <row r="244" spans="1:20">
      <c r="A244" s="55" t="s">
        <v>414</v>
      </c>
      <c r="B244" s="68" t="s">
        <v>438</v>
      </c>
      <c r="C244" s="75">
        <v>157123</v>
      </c>
      <c r="D244" s="75">
        <v>158226</v>
      </c>
      <c r="E244" s="75">
        <v>165845</v>
      </c>
      <c r="F244" s="75">
        <v>166115</v>
      </c>
      <c r="G244" s="75">
        <v>164712</v>
      </c>
      <c r="H244" s="75">
        <v>164235</v>
      </c>
      <c r="I244" s="75">
        <v>164423</v>
      </c>
      <c r="J244" s="75">
        <v>169726</v>
      </c>
      <c r="K244" s="75">
        <v>168680</v>
      </c>
      <c r="L244" s="76">
        <v>165212</v>
      </c>
      <c r="M244" s="75">
        <v>164684</v>
      </c>
      <c r="N244" s="66">
        <v>152806</v>
      </c>
      <c r="O244" s="59">
        <v>133038</v>
      </c>
      <c r="P244" s="59">
        <v>143194</v>
      </c>
      <c r="Q244" s="59">
        <v>146000</v>
      </c>
      <c r="R244" s="59">
        <v>158307</v>
      </c>
      <c r="S244" s="64">
        <v>171608</v>
      </c>
      <c r="T244" s="63"/>
    </row>
    <row r="245" spans="1:20">
      <c r="A245" s="55" t="s">
        <v>414</v>
      </c>
      <c r="B245" s="68" t="s">
        <v>439</v>
      </c>
      <c r="C245" s="75">
        <v>144394</v>
      </c>
      <c r="D245" s="75">
        <v>154766</v>
      </c>
      <c r="E245" s="75">
        <v>154380</v>
      </c>
      <c r="F245" s="75">
        <v>154209</v>
      </c>
      <c r="G245" s="75">
        <v>155194</v>
      </c>
      <c r="H245" s="75">
        <v>155655</v>
      </c>
      <c r="I245" s="75">
        <v>153613</v>
      </c>
      <c r="J245" s="75">
        <v>148768</v>
      </c>
      <c r="K245" s="75">
        <v>145400</v>
      </c>
      <c r="L245" s="76">
        <v>145838</v>
      </c>
      <c r="M245" s="75">
        <v>138639</v>
      </c>
      <c r="N245" s="66">
        <v>134290</v>
      </c>
      <c r="O245" s="59">
        <v>133652</v>
      </c>
      <c r="P245" s="59">
        <v>142394</v>
      </c>
      <c r="Q245" s="59">
        <v>135369</v>
      </c>
      <c r="R245" s="59">
        <v>131893</v>
      </c>
      <c r="S245" s="64">
        <v>132941</v>
      </c>
      <c r="T245" s="63"/>
    </row>
    <row r="246" spans="1:20">
      <c r="A246" s="55" t="s">
        <v>414</v>
      </c>
      <c r="B246" s="68" t="s">
        <v>440</v>
      </c>
      <c r="C246" s="75">
        <v>80065</v>
      </c>
      <c r="D246" s="75">
        <v>87398</v>
      </c>
      <c r="E246" s="75">
        <v>91496</v>
      </c>
      <c r="F246" s="75">
        <v>98164</v>
      </c>
      <c r="G246" s="75">
        <v>100916</v>
      </c>
      <c r="H246" s="75">
        <v>107233</v>
      </c>
      <c r="I246" s="75">
        <v>121015</v>
      </c>
      <c r="J246" s="75">
        <v>123225</v>
      </c>
      <c r="K246" s="75">
        <v>130076</v>
      </c>
      <c r="L246" s="76">
        <v>126324</v>
      </c>
      <c r="M246" s="75">
        <v>123777</v>
      </c>
      <c r="N246" s="66">
        <v>122194</v>
      </c>
      <c r="O246" s="59">
        <v>131736</v>
      </c>
      <c r="P246" s="59">
        <v>120329</v>
      </c>
      <c r="Q246" s="59">
        <v>122885</v>
      </c>
      <c r="R246" s="59">
        <v>111289</v>
      </c>
      <c r="S246" s="64">
        <v>112874</v>
      </c>
      <c r="T246" s="63"/>
    </row>
    <row r="247" spans="1:20">
      <c r="A247" s="55" t="s">
        <v>414</v>
      </c>
      <c r="B247" s="68" t="s">
        <v>441</v>
      </c>
      <c r="C247" s="75">
        <v>301477</v>
      </c>
      <c r="D247" s="75">
        <v>344451</v>
      </c>
      <c r="E247" s="75">
        <v>356275</v>
      </c>
      <c r="F247" s="75">
        <v>370496</v>
      </c>
      <c r="G247" s="75">
        <v>389198</v>
      </c>
      <c r="H247" s="75">
        <v>411783</v>
      </c>
      <c r="I247" s="75">
        <v>445536</v>
      </c>
      <c r="J247" s="75">
        <v>454490</v>
      </c>
      <c r="K247" s="75">
        <v>481050</v>
      </c>
      <c r="L247" s="76">
        <v>493310</v>
      </c>
      <c r="M247" s="75">
        <v>477492</v>
      </c>
      <c r="N247" s="66">
        <v>457485</v>
      </c>
      <c r="O247" s="59">
        <v>443708</v>
      </c>
      <c r="P247" s="59">
        <v>457081</v>
      </c>
      <c r="Q247" s="59">
        <v>463737</v>
      </c>
      <c r="R247" s="59">
        <v>482967</v>
      </c>
      <c r="S247" s="59">
        <v>488292</v>
      </c>
      <c r="T247" s="63"/>
    </row>
    <row r="248" spans="1:20">
      <c r="A248" s="55" t="s">
        <v>414</v>
      </c>
      <c r="B248" s="65" t="s">
        <v>360</v>
      </c>
      <c r="C248" s="75">
        <v>357459</v>
      </c>
      <c r="D248" s="75">
        <v>370437</v>
      </c>
      <c r="E248" s="75">
        <v>373792</v>
      </c>
      <c r="F248" s="75">
        <v>379910</v>
      </c>
      <c r="G248" s="75">
        <v>354512</v>
      </c>
      <c r="H248" s="75">
        <v>343252</v>
      </c>
      <c r="I248" s="75">
        <v>357164</v>
      </c>
      <c r="J248" s="75">
        <v>392262</v>
      </c>
      <c r="K248" s="75">
        <v>414454</v>
      </c>
      <c r="L248" s="76">
        <v>439976</v>
      </c>
      <c r="M248" s="75">
        <v>434460</v>
      </c>
      <c r="N248" s="66">
        <v>433977</v>
      </c>
      <c r="O248" s="59">
        <v>398843</v>
      </c>
      <c r="P248" s="59">
        <v>421398</v>
      </c>
      <c r="Q248" s="59">
        <v>436514</v>
      </c>
      <c r="R248" s="59">
        <v>437567</v>
      </c>
      <c r="S248" s="64">
        <v>440554</v>
      </c>
      <c r="T248" s="72"/>
    </row>
    <row r="249" spans="1:20">
      <c r="A249" s="55" t="s">
        <v>414</v>
      </c>
      <c r="B249" s="65" t="s">
        <v>361</v>
      </c>
      <c r="C249" s="75">
        <v>82668</v>
      </c>
      <c r="D249" s="75">
        <v>78441</v>
      </c>
      <c r="E249" s="75">
        <v>78013</v>
      </c>
      <c r="F249" s="75">
        <v>69047</v>
      </c>
      <c r="G249" s="75">
        <v>47993</v>
      </c>
      <c r="H249" s="75">
        <v>48404</v>
      </c>
      <c r="I249" s="75">
        <v>51826</v>
      </c>
      <c r="J249" s="75">
        <v>62133</v>
      </c>
      <c r="K249" s="75">
        <v>66034</v>
      </c>
      <c r="L249" s="76">
        <v>69388</v>
      </c>
      <c r="M249" s="75">
        <v>74644</v>
      </c>
      <c r="N249" s="66">
        <v>67473</v>
      </c>
      <c r="O249" s="59">
        <v>63725</v>
      </c>
      <c r="P249" s="59">
        <v>70134</v>
      </c>
      <c r="Q249" s="59">
        <v>68975</v>
      </c>
      <c r="R249" s="59">
        <v>64610</v>
      </c>
      <c r="S249" s="64">
        <v>66944</v>
      </c>
      <c r="T249" s="63"/>
    </row>
    <row r="250" spans="1:20">
      <c r="A250" s="55" t="s">
        <v>414</v>
      </c>
      <c r="B250" s="65" t="s">
        <v>362</v>
      </c>
      <c r="C250" s="75">
        <v>31603</v>
      </c>
      <c r="D250" s="75">
        <v>32524</v>
      </c>
      <c r="E250" s="75">
        <v>33865</v>
      </c>
      <c r="F250" s="75">
        <v>35191</v>
      </c>
      <c r="G250" s="75">
        <v>33933</v>
      </c>
      <c r="H250" s="75">
        <v>30762</v>
      </c>
      <c r="I250" s="75">
        <v>33395</v>
      </c>
      <c r="J250" s="75">
        <v>35500</v>
      </c>
      <c r="K250" s="75">
        <v>36137</v>
      </c>
      <c r="L250" s="76">
        <v>37320</v>
      </c>
      <c r="M250" s="75">
        <v>36838</v>
      </c>
      <c r="N250" s="66">
        <v>38437</v>
      </c>
      <c r="O250" s="59">
        <v>33680</v>
      </c>
      <c r="P250" s="59">
        <v>34411</v>
      </c>
      <c r="Q250" s="59">
        <v>35287</v>
      </c>
      <c r="R250" s="59">
        <v>36339</v>
      </c>
      <c r="S250" s="64">
        <v>36037</v>
      </c>
      <c r="T250" s="63"/>
    </row>
    <row r="251" spans="1:20">
      <c r="A251" s="55" t="s">
        <v>414</v>
      </c>
      <c r="B251" s="65" t="s">
        <v>363</v>
      </c>
      <c r="C251" s="75">
        <v>5813</v>
      </c>
      <c r="D251" s="75">
        <v>4500</v>
      </c>
      <c r="E251" s="75">
        <v>3725</v>
      </c>
      <c r="F251" s="75">
        <v>4560</v>
      </c>
      <c r="G251" s="75">
        <v>4233</v>
      </c>
      <c r="H251" s="75">
        <v>3228</v>
      </c>
      <c r="I251" s="75">
        <v>3337</v>
      </c>
      <c r="J251" s="75">
        <v>4256</v>
      </c>
      <c r="K251" s="75">
        <v>5568</v>
      </c>
      <c r="L251" s="76">
        <v>8945</v>
      </c>
      <c r="M251" s="75">
        <v>11779</v>
      </c>
      <c r="N251" s="66">
        <v>13905</v>
      </c>
      <c r="O251" s="59">
        <v>16609</v>
      </c>
      <c r="P251" s="59">
        <v>13918</v>
      </c>
      <c r="Q251" s="59">
        <v>15781</v>
      </c>
      <c r="R251" s="59">
        <v>17070</v>
      </c>
      <c r="S251" s="64">
        <v>18715</v>
      </c>
      <c r="T251" s="63"/>
    </row>
    <row r="252" spans="1:20">
      <c r="A252" s="55" t="s">
        <v>414</v>
      </c>
      <c r="B252" s="65" t="s">
        <v>364</v>
      </c>
      <c r="C252" s="75">
        <v>107604</v>
      </c>
      <c r="D252" s="75">
        <v>110594</v>
      </c>
      <c r="E252" s="75">
        <v>116100</v>
      </c>
      <c r="F252" s="75">
        <v>120839</v>
      </c>
      <c r="G252" s="75">
        <v>113156</v>
      </c>
      <c r="H252" s="75">
        <v>111505</v>
      </c>
      <c r="I252" s="75">
        <v>114603</v>
      </c>
      <c r="J252" s="75">
        <v>122067</v>
      </c>
      <c r="K252" s="75">
        <v>126229</v>
      </c>
      <c r="L252" s="76">
        <v>133616</v>
      </c>
      <c r="M252" s="75">
        <v>129623</v>
      </c>
      <c r="N252" s="75">
        <v>123272</v>
      </c>
      <c r="O252" s="59">
        <v>109285</v>
      </c>
      <c r="P252" s="59">
        <v>119805</v>
      </c>
      <c r="Q252" s="59">
        <v>129662</v>
      </c>
      <c r="R252" s="59">
        <v>131539</v>
      </c>
      <c r="S252" s="64">
        <v>131263</v>
      </c>
      <c r="T252" s="63"/>
    </row>
    <row r="253" spans="1:20">
      <c r="A253" s="55" t="s">
        <v>414</v>
      </c>
      <c r="B253" s="65" t="s">
        <v>365</v>
      </c>
      <c r="C253" s="75">
        <v>23910</v>
      </c>
      <c r="D253" s="75">
        <v>24960</v>
      </c>
      <c r="E253" s="75">
        <v>27287</v>
      </c>
      <c r="F253" s="75">
        <v>28004</v>
      </c>
      <c r="G253" s="75">
        <v>27735</v>
      </c>
      <c r="H253" s="75">
        <v>27558</v>
      </c>
      <c r="I253" s="75">
        <v>28234</v>
      </c>
      <c r="J253" s="75">
        <v>29238</v>
      </c>
      <c r="K253" s="75">
        <v>29084</v>
      </c>
      <c r="L253" s="76">
        <v>30444</v>
      </c>
      <c r="M253" s="75">
        <v>30521</v>
      </c>
      <c r="N253" s="66">
        <v>30095</v>
      </c>
      <c r="O253" s="59">
        <v>27244</v>
      </c>
      <c r="P253" s="59">
        <v>27360</v>
      </c>
      <c r="Q253" s="59">
        <v>28185</v>
      </c>
      <c r="R253" s="59">
        <v>27253</v>
      </c>
      <c r="S253" s="64">
        <v>26534</v>
      </c>
      <c r="T253" s="63"/>
    </row>
    <row r="254" spans="1:20">
      <c r="A254" s="55" t="s">
        <v>414</v>
      </c>
      <c r="B254" s="65" t="s">
        <v>366</v>
      </c>
      <c r="C254" s="75">
        <v>6607</v>
      </c>
      <c r="D254" s="75">
        <v>9059</v>
      </c>
      <c r="E254" s="75">
        <v>10493</v>
      </c>
      <c r="F254" s="75">
        <v>10469</v>
      </c>
      <c r="G254" s="75">
        <v>16809</v>
      </c>
      <c r="H254" s="75">
        <v>10405</v>
      </c>
      <c r="I254" s="75">
        <v>11851</v>
      </c>
      <c r="J254" s="75">
        <v>12785</v>
      </c>
      <c r="K254" s="75">
        <v>12736</v>
      </c>
      <c r="L254" s="76">
        <v>13041</v>
      </c>
      <c r="M254" s="75">
        <v>15440</v>
      </c>
      <c r="N254" s="66">
        <v>19480</v>
      </c>
      <c r="O254" s="59">
        <v>14018</v>
      </c>
      <c r="P254" s="59">
        <v>17315</v>
      </c>
      <c r="Q254" s="59">
        <v>17723</v>
      </c>
      <c r="R254" s="59">
        <v>18010</v>
      </c>
      <c r="S254" s="64">
        <v>16980</v>
      </c>
      <c r="T254" s="63"/>
    </row>
    <row r="255" spans="1:20">
      <c r="A255" s="55" t="s">
        <v>414</v>
      </c>
      <c r="B255" s="65" t="s">
        <v>367</v>
      </c>
      <c r="C255" s="75">
        <v>79853</v>
      </c>
      <c r="D255" s="75">
        <v>86295</v>
      </c>
      <c r="E255" s="75">
        <v>81522</v>
      </c>
      <c r="F255" s="75">
        <v>85990</v>
      </c>
      <c r="G255" s="75">
        <v>87236</v>
      </c>
      <c r="H255" s="75">
        <v>88982</v>
      </c>
      <c r="I255" s="75">
        <v>89218</v>
      </c>
      <c r="J255" s="75">
        <v>94574</v>
      </c>
      <c r="K255" s="75">
        <v>100423</v>
      </c>
      <c r="L255" s="76">
        <v>103738</v>
      </c>
      <c r="M255" s="75">
        <v>93478</v>
      </c>
      <c r="N255" s="66">
        <v>96242</v>
      </c>
      <c r="O255" s="59">
        <v>88407</v>
      </c>
      <c r="P255" s="59">
        <v>91017</v>
      </c>
      <c r="Q255" s="59">
        <v>91578</v>
      </c>
      <c r="R255" s="59">
        <v>90400</v>
      </c>
      <c r="S255" s="64">
        <v>89439</v>
      </c>
      <c r="T255" s="63"/>
    </row>
    <row r="256" spans="1:20">
      <c r="A256" s="55" t="s">
        <v>414</v>
      </c>
      <c r="B256" s="65" t="s">
        <v>368</v>
      </c>
      <c r="C256" s="75">
        <v>25472</v>
      </c>
      <c r="D256" s="75">
        <v>29462</v>
      </c>
      <c r="E256" s="75">
        <v>28579</v>
      </c>
      <c r="F256" s="75">
        <v>30544</v>
      </c>
      <c r="G256" s="75">
        <v>28985</v>
      </c>
      <c r="H256" s="75">
        <v>29478</v>
      </c>
      <c r="I256" s="75">
        <v>31714</v>
      </c>
      <c r="J256" s="75">
        <v>37302</v>
      </c>
      <c r="K256" s="75">
        <v>42641</v>
      </c>
      <c r="L256" s="76">
        <v>45890</v>
      </c>
      <c r="M256" s="75">
        <v>43555</v>
      </c>
      <c r="N256" s="66">
        <v>46257</v>
      </c>
      <c r="O256" s="59">
        <v>45875</v>
      </c>
      <c r="P256" s="59">
        <v>47781</v>
      </c>
      <c r="Q256" s="59">
        <v>50418</v>
      </c>
      <c r="R256" s="59">
        <v>54648</v>
      </c>
      <c r="S256" s="59">
        <v>57891</v>
      </c>
      <c r="T256" s="63"/>
    </row>
    <row r="257" spans="1:20">
      <c r="A257" s="55" t="s">
        <v>414</v>
      </c>
      <c r="B257" s="65" t="s">
        <v>369</v>
      </c>
      <c r="C257" s="75">
        <v>373799</v>
      </c>
      <c r="D257" s="75">
        <v>409186</v>
      </c>
      <c r="E257" s="75">
        <v>455217</v>
      </c>
      <c r="F257" s="75">
        <v>444757</v>
      </c>
      <c r="G257" s="75">
        <v>470022</v>
      </c>
      <c r="H257" s="75">
        <v>515397</v>
      </c>
      <c r="I257" s="75">
        <v>529419</v>
      </c>
      <c r="J257" s="75">
        <v>588013</v>
      </c>
      <c r="K257" s="75">
        <v>620451</v>
      </c>
      <c r="L257" s="76">
        <v>635673</v>
      </c>
      <c r="M257" s="75">
        <v>697348</v>
      </c>
      <c r="N257" s="75">
        <v>732051</v>
      </c>
      <c r="O257" s="59">
        <v>705347</v>
      </c>
      <c r="P257" s="59">
        <v>735106</v>
      </c>
      <c r="Q257" s="59">
        <v>736164</v>
      </c>
      <c r="R257" s="59">
        <v>748571</v>
      </c>
      <c r="S257" s="64">
        <v>781574</v>
      </c>
      <c r="T257" s="72"/>
    </row>
    <row r="258" spans="1:20">
      <c r="A258" s="55" t="s">
        <v>414</v>
      </c>
      <c r="B258" s="65" t="s">
        <v>442</v>
      </c>
      <c r="C258" s="75">
        <v>119511</v>
      </c>
      <c r="D258" s="75">
        <v>128613</v>
      </c>
      <c r="E258" s="75">
        <v>159195</v>
      </c>
      <c r="F258" s="75">
        <v>129606</v>
      </c>
      <c r="G258" s="75">
        <v>124588</v>
      </c>
      <c r="H258" s="75">
        <v>143839</v>
      </c>
      <c r="I258" s="75">
        <v>151563</v>
      </c>
      <c r="J258" s="75">
        <v>170828</v>
      </c>
      <c r="K258" s="75">
        <v>181494</v>
      </c>
      <c r="L258" s="76">
        <v>166369</v>
      </c>
      <c r="M258" s="75">
        <v>195915</v>
      </c>
      <c r="N258" s="75">
        <v>190300</v>
      </c>
      <c r="O258" s="59">
        <v>175756</v>
      </c>
      <c r="P258" s="59">
        <v>184549</v>
      </c>
      <c r="Q258" s="59">
        <v>190096</v>
      </c>
      <c r="R258" s="59">
        <v>194655</v>
      </c>
      <c r="S258" s="64">
        <v>205155</v>
      </c>
      <c r="T258" s="63"/>
    </row>
    <row r="259" spans="1:20">
      <c r="A259" s="55" t="s">
        <v>414</v>
      </c>
      <c r="B259" s="65" t="s">
        <v>371</v>
      </c>
      <c r="C259" s="75">
        <v>50561</v>
      </c>
      <c r="D259" s="75">
        <v>60780</v>
      </c>
      <c r="E259" s="75">
        <v>71129</v>
      </c>
      <c r="F259" s="75">
        <v>60820</v>
      </c>
      <c r="G259" s="75">
        <v>68237</v>
      </c>
      <c r="H259" s="75">
        <v>73127</v>
      </c>
      <c r="I259" s="75">
        <v>71632</v>
      </c>
      <c r="J259" s="75">
        <v>76390</v>
      </c>
      <c r="K259" s="75">
        <v>63104</v>
      </c>
      <c r="L259" s="76">
        <v>66835</v>
      </c>
      <c r="M259" s="75">
        <v>74882</v>
      </c>
      <c r="N259" s="66">
        <v>83397</v>
      </c>
      <c r="O259" s="59">
        <v>90850</v>
      </c>
      <c r="P259" s="59">
        <v>107437</v>
      </c>
      <c r="Q259" s="59">
        <v>105861</v>
      </c>
      <c r="R259" s="59">
        <v>110963</v>
      </c>
      <c r="S259" s="64">
        <v>113789</v>
      </c>
      <c r="T259" s="63"/>
    </row>
    <row r="260" spans="1:20">
      <c r="A260" s="55" t="s">
        <v>414</v>
      </c>
      <c r="B260" s="65" t="s">
        <v>372</v>
      </c>
      <c r="C260" s="75">
        <v>175948</v>
      </c>
      <c r="D260" s="75">
        <v>189599</v>
      </c>
      <c r="E260" s="75">
        <v>206116</v>
      </c>
      <c r="F260" s="75">
        <v>230336</v>
      </c>
      <c r="G260" s="75">
        <v>239025</v>
      </c>
      <c r="H260" s="75">
        <v>242494</v>
      </c>
      <c r="I260" s="75">
        <v>248424</v>
      </c>
      <c r="J260" s="75">
        <v>271814</v>
      </c>
      <c r="K260" s="75">
        <v>306889</v>
      </c>
      <c r="L260" s="76">
        <v>323097</v>
      </c>
      <c r="M260" s="75">
        <v>362114</v>
      </c>
      <c r="N260" s="66">
        <v>386088</v>
      </c>
      <c r="O260" s="59">
        <v>372266</v>
      </c>
      <c r="P260" s="59">
        <v>372705</v>
      </c>
      <c r="Q260" s="59">
        <v>365807</v>
      </c>
      <c r="R260" s="59">
        <v>373264</v>
      </c>
      <c r="S260" s="64">
        <v>381621</v>
      </c>
      <c r="T260" s="63"/>
    </row>
    <row r="261" spans="1:20">
      <c r="A261" s="55" t="s">
        <v>414</v>
      </c>
      <c r="B261" s="65" t="s">
        <v>443</v>
      </c>
      <c r="C261" s="75">
        <v>32145</v>
      </c>
      <c r="D261" s="75">
        <v>36584</v>
      </c>
      <c r="E261" s="75">
        <v>29770</v>
      </c>
      <c r="F261" s="75">
        <v>24094</v>
      </c>
      <c r="G261" s="75">
        <v>38251</v>
      </c>
      <c r="H261" s="75">
        <v>59240</v>
      </c>
      <c r="I261" s="75">
        <v>61270</v>
      </c>
      <c r="J261" s="75">
        <v>73309</v>
      </c>
      <c r="K261" s="75">
        <v>70463</v>
      </c>
      <c r="L261" s="76">
        <v>79366</v>
      </c>
      <c r="M261" s="75">
        <v>64875</v>
      </c>
      <c r="N261" s="66">
        <v>72346</v>
      </c>
      <c r="O261" s="59">
        <v>66476</v>
      </c>
      <c r="P261" s="59">
        <v>70396</v>
      </c>
      <c r="Q261" s="59">
        <v>74439</v>
      </c>
      <c r="R261" s="59">
        <v>69578</v>
      </c>
      <c r="S261" s="59">
        <v>81180</v>
      </c>
      <c r="T261" s="63"/>
    </row>
    <row r="262" spans="1:20">
      <c r="A262" s="55" t="s">
        <v>414</v>
      </c>
      <c r="B262" s="65" t="s">
        <v>374</v>
      </c>
      <c r="C262" s="75">
        <v>1975696</v>
      </c>
      <c r="D262" s="75">
        <v>2069131</v>
      </c>
      <c r="E262" s="75">
        <v>2211309</v>
      </c>
      <c r="F262" s="75">
        <v>2325724</v>
      </c>
      <c r="G262" s="75">
        <v>2475145</v>
      </c>
      <c r="H262" s="75">
        <v>2505811</v>
      </c>
      <c r="I262" s="75">
        <v>2535586</v>
      </c>
      <c r="J262" s="75">
        <v>2573782</v>
      </c>
      <c r="K262" s="75">
        <v>2743292</v>
      </c>
      <c r="L262" s="76">
        <v>2815660</v>
      </c>
      <c r="M262" s="75">
        <v>2866646</v>
      </c>
      <c r="N262" s="66">
        <v>2762979</v>
      </c>
      <c r="O262" s="59">
        <v>2874032</v>
      </c>
      <c r="P262" s="59">
        <v>2925477</v>
      </c>
      <c r="Q262" s="59">
        <v>2986148</v>
      </c>
      <c r="R262" s="59">
        <v>3066592</v>
      </c>
      <c r="S262" s="59">
        <v>3147726</v>
      </c>
      <c r="T262" s="72"/>
    </row>
    <row r="263" spans="1:20">
      <c r="A263" s="55" t="s">
        <v>414</v>
      </c>
      <c r="B263" s="65" t="s">
        <v>375</v>
      </c>
      <c r="C263" s="75">
        <v>582405</v>
      </c>
      <c r="D263" s="75">
        <v>649294</v>
      </c>
      <c r="E263" s="75">
        <v>712208</v>
      </c>
      <c r="F263" s="75">
        <v>782770</v>
      </c>
      <c r="G263" s="75">
        <v>862452</v>
      </c>
      <c r="H263" s="75">
        <v>866154</v>
      </c>
      <c r="I263" s="75">
        <v>872561</v>
      </c>
      <c r="J263" s="75">
        <v>870080</v>
      </c>
      <c r="K263" s="75">
        <v>947911</v>
      </c>
      <c r="L263" s="76">
        <v>988804</v>
      </c>
      <c r="M263" s="75">
        <v>962886</v>
      </c>
      <c r="N263" s="75">
        <v>837261</v>
      </c>
      <c r="O263" s="59">
        <v>969254</v>
      </c>
      <c r="P263" s="59">
        <v>968721</v>
      </c>
      <c r="Q263" s="59">
        <v>977939</v>
      </c>
      <c r="R263" s="59">
        <v>1019394</v>
      </c>
      <c r="S263" s="64">
        <v>1066402</v>
      </c>
      <c r="T263" s="72"/>
    </row>
    <row r="264" spans="1:20">
      <c r="A264" s="55" t="s">
        <v>414</v>
      </c>
      <c r="B264" s="65" t="s">
        <v>376</v>
      </c>
      <c r="C264" s="75">
        <v>220425</v>
      </c>
      <c r="D264" s="75">
        <v>258781</v>
      </c>
      <c r="E264" s="75">
        <v>309204</v>
      </c>
      <c r="F264" s="75">
        <v>310806</v>
      </c>
      <c r="G264" s="75">
        <v>337358</v>
      </c>
      <c r="H264" s="75">
        <v>374636</v>
      </c>
      <c r="I264" s="75">
        <v>381243</v>
      </c>
      <c r="J264" s="75">
        <v>348164</v>
      </c>
      <c r="K264" s="75">
        <v>374835</v>
      </c>
      <c r="L264" s="76">
        <v>374228</v>
      </c>
      <c r="M264" s="75">
        <v>356077</v>
      </c>
      <c r="N264" s="66">
        <v>354535</v>
      </c>
      <c r="O264" s="59">
        <v>399458</v>
      </c>
      <c r="P264" s="59">
        <v>388273</v>
      </c>
      <c r="Q264" s="59">
        <v>411510</v>
      </c>
      <c r="R264" s="59">
        <v>416283</v>
      </c>
      <c r="S264" s="64">
        <v>441609</v>
      </c>
      <c r="T264" s="63"/>
    </row>
    <row r="265" spans="1:20">
      <c r="A265" s="55" t="s">
        <v>414</v>
      </c>
      <c r="B265" s="65" t="s">
        <v>377</v>
      </c>
      <c r="C265" s="75">
        <v>101179</v>
      </c>
      <c r="D265" s="75">
        <v>103946</v>
      </c>
      <c r="E265" s="75">
        <v>112078</v>
      </c>
      <c r="F265" s="75">
        <v>145556</v>
      </c>
      <c r="G265" s="75">
        <v>223220</v>
      </c>
      <c r="H265" s="75">
        <v>199229</v>
      </c>
      <c r="I265" s="75">
        <v>174196</v>
      </c>
      <c r="J265" s="75">
        <v>176722</v>
      </c>
      <c r="K265" s="75">
        <v>211698</v>
      </c>
      <c r="L265" s="76">
        <v>238484</v>
      </c>
      <c r="M265" s="75">
        <v>196757</v>
      </c>
      <c r="N265" s="66">
        <v>109565</v>
      </c>
      <c r="O265" s="59">
        <v>186701</v>
      </c>
      <c r="P265" s="59">
        <v>192175</v>
      </c>
      <c r="Q265" s="59">
        <v>174002</v>
      </c>
      <c r="R265" s="59">
        <v>199186</v>
      </c>
      <c r="S265" s="64">
        <v>205901</v>
      </c>
      <c r="T265" s="63"/>
    </row>
    <row r="266" spans="1:20">
      <c r="A266" s="55" t="s">
        <v>414</v>
      </c>
      <c r="B266" s="65" t="s">
        <v>378</v>
      </c>
      <c r="C266" s="75">
        <v>259197</v>
      </c>
      <c r="D266" s="75">
        <v>279782</v>
      </c>
      <c r="E266" s="75">
        <v>276310</v>
      </c>
      <c r="F266" s="75">
        <v>321146</v>
      </c>
      <c r="G266" s="75">
        <v>298826</v>
      </c>
      <c r="H266" s="75">
        <v>280168</v>
      </c>
      <c r="I266" s="75">
        <v>298011</v>
      </c>
      <c r="J266" s="75">
        <v>329070</v>
      </c>
      <c r="K266" s="75">
        <v>345175</v>
      </c>
      <c r="L266" s="76">
        <v>366236</v>
      </c>
      <c r="M266" s="75">
        <v>395743</v>
      </c>
      <c r="N266" s="75">
        <v>348500</v>
      </c>
      <c r="O266" s="59">
        <v>357572</v>
      </c>
      <c r="P266" s="59">
        <v>359653</v>
      </c>
      <c r="Q266" s="59">
        <v>364133</v>
      </c>
      <c r="R266" s="59">
        <v>374424</v>
      </c>
      <c r="S266" s="64">
        <v>388441</v>
      </c>
      <c r="T266" s="63"/>
    </row>
    <row r="267" spans="1:20">
      <c r="A267" s="55" t="s">
        <v>414</v>
      </c>
      <c r="B267" s="65" t="s">
        <v>379</v>
      </c>
      <c r="C267" s="75">
        <v>8404</v>
      </c>
      <c r="D267" s="75">
        <v>14244</v>
      </c>
      <c r="E267" s="75">
        <v>18013</v>
      </c>
      <c r="F267" s="75">
        <v>12528</v>
      </c>
      <c r="G267" s="75">
        <v>13087</v>
      </c>
      <c r="H267" s="75">
        <v>13258</v>
      </c>
      <c r="I267" s="75">
        <v>15662</v>
      </c>
      <c r="J267" s="75">
        <v>17347</v>
      </c>
      <c r="K267" s="75">
        <v>19532</v>
      </c>
      <c r="L267" s="76">
        <v>18017</v>
      </c>
      <c r="M267" s="75">
        <v>21783</v>
      </c>
      <c r="N267" s="75">
        <v>25533</v>
      </c>
      <c r="O267" s="59">
        <v>25524</v>
      </c>
      <c r="P267" s="59">
        <v>28676</v>
      </c>
      <c r="Q267" s="59">
        <v>28525</v>
      </c>
      <c r="R267" s="59">
        <v>29606</v>
      </c>
      <c r="S267" s="59">
        <v>30318</v>
      </c>
      <c r="T267" s="63"/>
    </row>
    <row r="268" spans="1:20">
      <c r="A268" s="55" t="s">
        <v>414</v>
      </c>
      <c r="B268" s="65" t="s">
        <v>380</v>
      </c>
      <c r="C268" s="75">
        <v>1413041</v>
      </c>
      <c r="D268" s="75">
        <v>1427783</v>
      </c>
      <c r="E268" s="75">
        <v>1502698</v>
      </c>
      <c r="F268" s="75">
        <v>1539746</v>
      </c>
      <c r="G268" s="75">
        <v>1604433</v>
      </c>
      <c r="H268" s="75">
        <v>1632166</v>
      </c>
      <c r="I268" s="75">
        <v>1655919</v>
      </c>
      <c r="J268" s="75">
        <v>1698452</v>
      </c>
      <c r="K268" s="75">
        <v>1787082</v>
      </c>
      <c r="L268" s="76">
        <v>1816320</v>
      </c>
      <c r="M268" s="75">
        <v>1898226</v>
      </c>
      <c r="N268" s="66">
        <v>1930550</v>
      </c>
      <c r="O268" s="59">
        <v>1904778</v>
      </c>
      <c r="P268" s="59">
        <v>1957140</v>
      </c>
      <c r="Q268" s="59">
        <v>2009179</v>
      </c>
      <c r="R268" s="59">
        <v>2047141</v>
      </c>
      <c r="S268" s="64">
        <v>2079637</v>
      </c>
      <c r="T268" s="72"/>
    </row>
    <row r="269" spans="1:20">
      <c r="A269" s="55" t="s">
        <v>414</v>
      </c>
      <c r="B269" s="65" t="s">
        <v>381</v>
      </c>
      <c r="C269" s="75">
        <v>1276639</v>
      </c>
      <c r="D269" s="75">
        <v>1278171</v>
      </c>
      <c r="E269" s="75">
        <v>1336741</v>
      </c>
      <c r="F269" s="75">
        <v>1371796</v>
      </c>
      <c r="G269" s="75">
        <v>1421664</v>
      </c>
      <c r="H269" s="75">
        <v>1452193</v>
      </c>
      <c r="I269" s="75">
        <v>1485473</v>
      </c>
      <c r="J269" s="75">
        <v>1535497</v>
      </c>
      <c r="K269" s="75">
        <v>1623187</v>
      </c>
      <c r="L269" s="76">
        <v>1630550</v>
      </c>
      <c r="M269" s="75">
        <v>1720363</v>
      </c>
      <c r="N269" s="66">
        <v>1745253</v>
      </c>
      <c r="O269" s="59">
        <v>1740571</v>
      </c>
      <c r="P269" s="59">
        <v>1794738</v>
      </c>
      <c r="Q269" s="59">
        <v>1844692</v>
      </c>
      <c r="R269" s="59">
        <v>1872210</v>
      </c>
      <c r="S269" s="64">
        <v>1898354</v>
      </c>
      <c r="T269" s="63"/>
    </row>
    <row r="270" spans="1:20">
      <c r="A270" s="55" t="s">
        <v>414</v>
      </c>
      <c r="B270" s="68" t="s">
        <v>444</v>
      </c>
      <c r="C270" s="75">
        <v>1118422</v>
      </c>
      <c r="D270" s="75">
        <v>1140600</v>
      </c>
      <c r="E270" s="75">
        <v>1182936</v>
      </c>
      <c r="F270" s="75">
        <v>1218797</v>
      </c>
      <c r="G270" s="75">
        <v>1253954</v>
      </c>
      <c r="H270" s="75">
        <v>1263242</v>
      </c>
      <c r="I270" s="75">
        <v>1274155</v>
      </c>
      <c r="J270" s="75">
        <v>1319201</v>
      </c>
      <c r="K270" s="75">
        <v>1374252</v>
      </c>
      <c r="L270" s="76">
        <v>1410977</v>
      </c>
      <c r="M270" s="75">
        <v>1414493</v>
      </c>
      <c r="N270" s="66">
        <v>1457561</v>
      </c>
      <c r="O270" s="59">
        <v>1464900</v>
      </c>
      <c r="P270" s="59">
        <v>1480047</v>
      </c>
      <c r="Q270" s="59">
        <v>1505082</v>
      </c>
      <c r="R270" s="59">
        <v>1511176</v>
      </c>
      <c r="S270" s="64">
        <v>1530337</v>
      </c>
      <c r="T270" s="63"/>
    </row>
    <row r="271" spans="1:20">
      <c r="A271" s="55" t="s">
        <v>414</v>
      </c>
      <c r="B271" s="68" t="s">
        <v>445</v>
      </c>
      <c r="C271" s="75">
        <v>167217</v>
      </c>
      <c r="D271" s="75">
        <v>152132</v>
      </c>
      <c r="E271" s="75">
        <v>166348</v>
      </c>
      <c r="F271" s="75">
        <v>167194</v>
      </c>
      <c r="G271" s="75">
        <v>180008</v>
      </c>
      <c r="H271" s="75">
        <v>197052</v>
      </c>
      <c r="I271" s="75">
        <v>215310</v>
      </c>
      <c r="J271" s="75">
        <v>220890</v>
      </c>
      <c r="K271" s="75">
        <v>249708</v>
      </c>
      <c r="L271" s="76">
        <v>225623</v>
      </c>
      <c r="M271" s="75">
        <v>304465</v>
      </c>
      <c r="N271" s="66">
        <v>287484</v>
      </c>
      <c r="O271" s="59">
        <v>275671</v>
      </c>
      <c r="P271" s="59">
        <v>315216</v>
      </c>
      <c r="Q271" s="59">
        <v>340889</v>
      </c>
      <c r="R271" s="59">
        <v>363348</v>
      </c>
      <c r="S271" s="64">
        <v>370483</v>
      </c>
      <c r="T271" s="63"/>
    </row>
    <row r="272" spans="1:20">
      <c r="A272" s="55" t="s">
        <v>414</v>
      </c>
      <c r="B272" s="65" t="s">
        <v>382</v>
      </c>
      <c r="C272" s="75">
        <v>137911</v>
      </c>
      <c r="D272" s="75">
        <v>150842</v>
      </c>
      <c r="E272" s="75">
        <v>167365</v>
      </c>
      <c r="F272" s="75">
        <v>169388</v>
      </c>
      <c r="G272" s="75">
        <v>184391</v>
      </c>
      <c r="H272" s="75">
        <v>181352</v>
      </c>
      <c r="I272" s="75">
        <v>171178</v>
      </c>
      <c r="J272" s="75">
        <v>163145</v>
      </c>
      <c r="K272" s="75">
        <v>163772</v>
      </c>
      <c r="L272" s="76">
        <v>186470</v>
      </c>
      <c r="M272" s="75">
        <v>177904</v>
      </c>
      <c r="N272" s="66">
        <v>185475</v>
      </c>
      <c r="O272" s="59">
        <v>164207</v>
      </c>
      <c r="P272" s="59">
        <v>162411</v>
      </c>
      <c r="Q272" s="59">
        <v>164494</v>
      </c>
      <c r="R272" s="59">
        <v>174976</v>
      </c>
      <c r="S272" s="59">
        <v>181375</v>
      </c>
      <c r="T272" s="63"/>
    </row>
    <row r="273" spans="1:20">
      <c r="A273" s="55" t="s">
        <v>414</v>
      </c>
      <c r="B273" s="65" t="s">
        <v>383</v>
      </c>
      <c r="C273" s="75">
        <v>1224155</v>
      </c>
      <c r="D273" s="75">
        <v>1279538</v>
      </c>
      <c r="E273" s="75">
        <v>1337910</v>
      </c>
      <c r="F273" s="75">
        <v>1410784</v>
      </c>
      <c r="G273" s="75">
        <v>1447146</v>
      </c>
      <c r="H273" s="75">
        <v>1468923</v>
      </c>
      <c r="I273" s="75">
        <v>1508741</v>
      </c>
      <c r="J273" s="75">
        <v>1547445</v>
      </c>
      <c r="K273" s="75">
        <v>1612512</v>
      </c>
      <c r="L273" s="76">
        <v>1658193</v>
      </c>
      <c r="M273" s="75">
        <v>1701266</v>
      </c>
      <c r="N273" s="75">
        <v>1777877</v>
      </c>
      <c r="O273" s="59">
        <v>1661133</v>
      </c>
      <c r="P273" s="59">
        <v>1718060</v>
      </c>
      <c r="Q273" s="59">
        <v>1782927</v>
      </c>
      <c r="R273" s="59">
        <v>1861300</v>
      </c>
      <c r="S273" s="59">
        <v>1895021</v>
      </c>
      <c r="T273" s="72"/>
    </row>
    <row r="274" spans="1:20">
      <c r="A274" s="55" t="s">
        <v>414</v>
      </c>
      <c r="B274" s="65" t="s">
        <v>384</v>
      </c>
      <c r="C274" s="75">
        <v>706775</v>
      </c>
      <c r="D274" s="75">
        <v>743828</v>
      </c>
      <c r="E274" s="75">
        <v>782152</v>
      </c>
      <c r="F274" s="75">
        <v>818005</v>
      </c>
      <c r="G274" s="75">
        <v>841013</v>
      </c>
      <c r="H274" s="75">
        <v>862761</v>
      </c>
      <c r="I274" s="75">
        <v>868443</v>
      </c>
      <c r="J274" s="75">
        <v>900075</v>
      </c>
      <c r="K274" s="75">
        <v>926955</v>
      </c>
      <c r="L274" s="76">
        <v>960287</v>
      </c>
      <c r="M274" s="75">
        <v>990788</v>
      </c>
      <c r="N274" s="75">
        <v>1065535</v>
      </c>
      <c r="O274" s="59">
        <v>1000361</v>
      </c>
      <c r="P274" s="59">
        <v>1009354</v>
      </c>
      <c r="Q274" s="59">
        <v>1046077</v>
      </c>
      <c r="R274" s="59">
        <v>1080090</v>
      </c>
      <c r="S274" s="64">
        <v>1087743</v>
      </c>
      <c r="T274" s="72"/>
    </row>
    <row r="275" spans="1:20">
      <c r="A275" s="55" t="s">
        <v>414</v>
      </c>
      <c r="B275" s="65" t="s">
        <v>385</v>
      </c>
      <c r="C275" s="75">
        <v>191860</v>
      </c>
      <c r="D275" s="75">
        <v>198837</v>
      </c>
      <c r="E275" s="75">
        <v>204820</v>
      </c>
      <c r="F275" s="75">
        <v>210509</v>
      </c>
      <c r="G275" s="75">
        <v>216531</v>
      </c>
      <c r="H275" s="75">
        <v>217254</v>
      </c>
      <c r="I275" s="75">
        <v>224398</v>
      </c>
      <c r="J275" s="75">
        <v>226729</v>
      </c>
      <c r="K275" s="75">
        <v>223420</v>
      </c>
      <c r="L275" s="76">
        <v>224393</v>
      </c>
      <c r="M275" s="75">
        <v>226246</v>
      </c>
      <c r="N275" s="66">
        <v>242394</v>
      </c>
      <c r="O275" s="59">
        <v>213934</v>
      </c>
      <c r="P275" s="59">
        <v>198191</v>
      </c>
      <c r="Q275" s="59">
        <v>199695</v>
      </c>
      <c r="R275" s="59">
        <v>196043</v>
      </c>
      <c r="S275" s="64">
        <v>190382</v>
      </c>
      <c r="T275" s="63"/>
    </row>
    <row r="276" spans="1:20">
      <c r="A276" s="55" t="s">
        <v>414</v>
      </c>
      <c r="B276" s="65" t="s">
        <v>386</v>
      </c>
      <c r="C276" s="75">
        <v>74967</v>
      </c>
      <c r="D276" s="75">
        <v>90091</v>
      </c>
      <c r="E276" s="75">
        <v>101161</v>
      </c>
      <c r="F276" s="75">
        <v>107176</v>
      </c>
      <c r="G276" s="75">
        <v>109826</v>
      </c>
      <c r="H276" s="75">
        <v>105058</v>
      </c>
      <c r="I276" s="75">
        <v>112995</v>
      </c>
      <c r="J276" s="75">
        <v>123871</v>
      </c>
      <c r="K276" s="75">
        <v>136742</v>
      </c>
      <c r="L276" s="76">
        <v>149542</v>
      </c>
      <c r="M276" s="75">
        <v>166712</v>
      </c>
      <c r="N276" s="66">
        <v>176617</v>
      </c>
      <c r="O276" s="59">
        <v>180391</v>
      </c>
      <c r="P276" s="59">
        <v>193047</v>
      </c>
      <c r="Q276" s="59">
        <v>210489</v>
      </c>
      <c r="R276" s="59">
        <v>233224</v>
      </c>
      <c r="S276" s="64">
        <v>238495</v>
      </c>
      <c r="T276" s="63"/>
    </row>
    <row r="277" spans="1:20">
      <c r="A277" s="55" t="s">
        <v>414</v>
      </c>
      <c r="B277" s="65" t="s">
        <v>387</v>
      </c>
      <c r="C277" s="75">
        <v>451679</v>
      </c>
      <c r="D277" s="75">
        <v>462412</v>
      </c>
      <c r="E277" s="75">
        <v>481126</v>
      </c>
      <c r="F277" s="75">
        <v>504289</v>
      </c>
      <c r="G277" s="75">
        <v>518864</v>
      </c>
      <c r="H277" s="75">
        <v>546069</v>
      </c>
      <c r="I277" s="75">
        <v>535857</v>
      </c>
      <c r="J277" s="75">
        <v>552687</v>
      </c>
      <c r="K277" s="75">
        <v>568413</v>
      </c>
      <c r="L277" s="76">
        <v>587158</v>
      </c>
      <c r="M277" s="75">
        <v>597964</v>
      </c>
      <c r="N277" s="75">
        <v>646713</v>
      </c>
      <c r="O277" s="59">
        <v>606036</v>
      </c>
      <c r="P277" s="59">
        <v>618514</v>
      </c>
      <c r="Q277" s="59">
        <v>636907</v>
      </c>
      <c r="R277" s="59">
        <v>653416</v>
      </c>
      <c r="S277" s="59">
        <v>662464</v>
      </c>
      <c r="T277" s="63"/>
    </row>
    <row r="278" spans="1:20">
      <c r="A278" s="55" t="s">
        <v>414</v>
      </c>
      <c r="B278" s="65" t="s">
        <v>388</v>
      </c>
      <c r="C278" s="75">
        <v>249953</v>
      </c>
      <c r="D278" s="75">
        <v>258373</v>
      </c>
      <c r="E278" s="75">
        <v>259411</v>
      </c>
      <c r="F278" s="75">
        <v>272816</v>
      </c>
      <c r="G278" s="75">
        <v>280625</v>
      </c>
      <c r="H278" s="75">
        <v>278853</v>
      </c>
      <c r="I278" s="75">
        <v>288156</v>
      </c>
      <c r="J278" s="75">
        <v>274084</v>
      </c>
      <c r="K278" s="75">
        <v>276145</v>
      </c>
      <c r="L278" s="76">
        <v>278599</v>
      </c>
      <c r="M278" s="75">
        <v>271383</v>
      </c>
      <c r="N278" s="75">
        <v>269994</v>
      </c>
      <c r="O278" s="59">
        <v>247136</v>
      </c>
      <c r="P278" s="59">
        <v>266044</v>
      </c>
      <c r="Q278" s="59">
        <v>277670</v>
      </c>
      <c r="R278" s="59">
        <v>300199</v>
      </c>
      <c r="S278" s="59">
        <v>314085</v>
      </c>
      <c r="T278" s="72"/>
    </row>
    <row r="279" spans="1:20">
      <c r="A279" s="55" t="s">
        <v>414</v>
      </c>
      <c r="B279" s="65" t="s">
        <v>389</v>
      </c>
      <c r="C279" s="75">
        <v>278629</v>
      </c>
      <c r="D279" s="75">
        <v>288499</v>
      </c>
      <c r="E279" s="75">
        <v>305015</v>
      </c>
      <c r="F279" s="75">
        <v>328431</v>
      </c>
      <c r="G279" s="75">
        <v>334561</v>
      </c>
      <c r="H279" s="75">
        <v>335351</v>
      </c>
      <c r="I279" s="75">
        <v>359851</v>
      </c>
      <c r="J279" s="75">
        <v>376690</v>
      </c>
      <c r="K279" s="75">
        <v>411080</v>
      </c>
      <c r="L279" s="76">
        <v>420461</v>
      </c>
      <c r="M279" s="75">
        <v>439360</v>
      </c>
      <c r="N279" s="75">
        <v>442404</v>
      </c>
      <c r="O279" s="59">
        <v>413636</v>
      </c>
      <c r="P279" s="59">
        <v>442839</v>
      </c>
      <c r="Q279" s="59">
        <v>459380</v>
      </c>
      <c r="R279" s="59">
        <v>481485</v>
      </c>
      <c r="S279" s="64">
        <v>494030</v>
      </c>
      <c r="T279" s="72"/>
    </row>
    <row r="280" spans="1:20">
      <c r="A280" s="55" t="s">
        <v>414</v>
      </c>
      <c r="B280" s="65" t="s">
        <v>390</v>
      </c>
      <c r="C280" s="75">
        <v>248414</v>
      </c>
      <c r="D280" s="75">
        <v>257261</v>
      </c>
      <c r="E280" s="75">
        <v>271750</v>
      </c>
      <c r="F280" s="75">
        <v>295037</v>
      </c>
      <c r="G280" s="75">
        <v>300123</v>
      </c>
      <c r="H280" s="75">
        <v>299961</v>
      </c>
      <c r="I280" s="75">
        <v>323478</v>
      </c>
      <c r="J280" s="75">
        <v>341160</v>
      </c>
      <c r="K280" s="75">
        <v>373659</v>
      </c>
      <c r="L280" s="76">
        <v>385588</v>
      </c>
      <c r="M280" s="75">
        <v>401847</v>
      </c>
      <c r="N280" s="66">
        <v>405340</v>
      </c>
      <c r="O280" s="59">
        <v>376448</v>
      </c>
      <c r="P280" s="59">
        <v>398455</v>
      </c>
      <c r="Q280" s="59">
        <v>421550</v>
      </c>
      <c r="R280" s="59">
        <v>442616</v>
      </c>
      <c r="S280" s="64">
        <v>454964</v>
      </c>
      <c r="T280" s="63"/>
    </row>
    <row r="281" spans="1:20">
      <c r="A281" s="55" t="s">
        <v>414</v>
      </c>
      <c r="B281" s="65" t="s">
        <v>391</v>
      </c>
      <c r="C281" s="75">
        <v>30448</v>
      </c>
      <c r="D281" s="75">
        <v>31469</v>
      </c>
      <c r="E281" s="75">
        <v>33543</v>
      </c>
      <c r="F281" s="75">
        <v>33419</v>
      </c>
      <c r="G281" s="75">
        <v>34497</v>
      </c>
      <c r="H281" s="75">
        <v>35500</v>
      </c>
      <c r="I281" s="75">
        <v>36461</v>
      </c>
      <c r="J281" s="75">
        <v>35615</v>
      </c>
      <c r="K281" s="75">
        <v>37486</v>
      </c>
      <c r="L281" s="76">
        <v>34833</v>
      </c>
      <c r="M281" s="75">
        <v>37515</v>
      </c>
      <c r="N281" s="66">
        <v>37051</v>
      </c>
      <c r="O281" s="59">
        <v>37187</v>
      </c>
      <c r="P281" s="59">
        <v>44298</v>
      </c>
      <c r="Q281" s="59">
        <v>38108</v>
      </c>
      <c r="R281" s="59">
        <v>39200</v>
      </c>
      <c r="S281" s="59">
        <v>39453</v>
      </c>
      <c r="T281" s="63"/>
    </row>
    <row r="282" spans="1:20">
      <c r="A282" s="55" t="s">
        <v>414</v>
      </c>
      <c r="B282" s="65" t="s">
        <v>392</v>
      </c>
      <c r="C282" s="75">
        <v>869066</v>
      </c>
      <c r="D282" s="75">
        <v>875803</v>
      </c>
      <c r="E282" s="75">
        <v>898821</v>
      </c>
      <c r="F282" s="75">
        <v>922459</v>
      </c>
      <c r="G282" s="75">
        <v>946108</v>
      </c>
      <c r="H282" s="75">
        <v>984496</v>
      </c>
      <c r="I282" s="75">
        <v>1017542</v>
      </c>
      <c r="J282" s="75">
        <v>1057726</v>
      </c>
      <c r="K282" s="75">
        <v>1075852</v>
      </c>
      <c r="L282" s="76">
        <v>1117347</v>
      </c>
      <c r="M282" s="75">
        <v>1127994</v>
      </c>
      <c r="N282" s="66">
        <v>1187786</v>
      </c>
      <c r="O282" s="59">
        <v>1214033</v>
      </c>
      <c r="P282" s="59">
        <v>1220552</v>
      </c>
      <c r="Q282" s="59">
        <v>1239807</v>
      </c>
      <c r="R282" s="59">
        <v>1257362</v>
      </c>
      <c r="S282" s="59">
        <v>1281315</v>
      </c>
      <c r="T282" s="72"/>
    </row>
    <row r="283" spans="1:20">
      <c r="A283" s="55" t="s">
        <v>414</v>
      </c>
      <c r="B283" s="65" t="s">
        <v>393</v>
      </c>
      <c r="C283" s="75">
        <v>118959</v>
      </c>
      <c r="D283" s="75">
        <v>117244</v>
      </c>
      <c r="E283" s="75">
        <v>120540</v>
      </c>
      <c r="F283" s="75">
        <v>124581</v>
      </c>
      <c r="G283" s="75">
        <v>128836</v>
      </c>
      <c r="H283" s="75">
        <v>130818</v>
      </c>
      <c r="I283" s="75">
        <v>136829</v>
      </c>
      <c r="J283" s="75">
        <v>143584</v>
      </c>
      <c r="K283" s="75">
        <v>143073</v>
      </c>
      <c r="L283" s="76">
        <v>146491</v>
      </c>
      <c r="M283" s="75">
        <v>149666</v>
      </c>
      <c r="N283" s="75">
        <v>155559</v>
      </c>
      <c r="O283" s="59">
        <v>162991</v>
      </c>
      <c r="P283" s="59">
        <v>164815</v>
      </c>
      <c r="Q283" s="59">
        <v>166147</v>
      </c>
      <c r="R283" s="59">
        <v>165705</v>
      </c>
      <c r="S283" s="59">
        <v>163337</v>
      </c>
      <c r="T283" s="72"/>
    </row>
    <row r="284" spans="1:20">
      <c r="A284" s="55" t="s">
        <v>414</v>
      </c>
      <c r="B284" s="65" t="s">
        <v>394</v>
      </c>
      <c r="C284" s="75">
        <v>750454</v>
      </c>
      <c r="D284" s="75">
        <v>758632</v>
      </c>
      <c r="E284" s="75">
        <v>778381</v>
      </c>
      <c r="F284" s="75">
        <v>798046</v>
      </c>
      <c r="G284" s="75">
        <v>817532</v>
      </c>
      <c r="H284" s="75">
        <v>853677</v>
      </c>
      <c r="I284" s="75">
        <v>880826</v>
      </c>
      <c r="J284" s="75">
        <v>914354</v>
      </c>
      <c r="K284" s="75">
        <v>932831</v>
      </c>
      <c r="L284" s="76">
        <v>970837</v>
      </c>
      <c r="M284" s="75">
        <v>978341</v>
      </c>
      <c r="N284" s="75">
        <v>1032218</v>
      </c>
      <c r="O284" s="59">
        <v>1051042</v>
      </c>
      <c r="P284" s="59">
        <v>1055730</v>
      </c>
      <c r="Q284" s="59">
        <v>1073671</v>
      </c>
      <c r="R284" s="59">
        <v>1091749</v>
      </c>
      <c r="S284" s="64">
        <v>1118330</v>
      </c>
      <c r="T284" s="72"/>
    </row>
    <row r="285" spans="1:20">
      <c r="A285" s="55" t="s">
        <v>414</v>
      </c>
      <c r="B285" s="65" t="s">
        <v>395</v>
      </c>
      <c r="C285" s="75">
        <v>337524</v>
      </c>
      <c r="D285" s="75">
        <v>338450</v>
      </c>
      <c r="E285" s="75">
        <v>346532</v>
      </c>
      <c r="F285" s="75">
        <v>360923</v>
      </c>
      <c r="G285" s="75">
        <v>375532</v>
      </c>
      <c r="H285" s="75">
        <v>398034</v>
      </c>
      <c r="I285" s="75">
        <v>408533</v>
      </c>
      <c r="J285" s="75">
        <v>427408</v>
      </c>
      <c r="K285" s="75">
        <v>441310</v>
      </c>
      <c r="L285" s="76">
        <v>465217</v>
      </c>
      <c r="M285" s="75">
        <v>464789</v>
      </c>
      <c r="N285" s="66">
        <v>492094</v>
      </c>
      <c r="O285" s="59">
        <v>498278</v>
      </c>
      <c r="P285" s="59">
        <v>505045</v>
      </c>
      <c r="Q285" s="59">
        <v>517791</v>
      </c>
      <c r="R285" s="59">
        <v>531418</v>
      </c>
      <c r="S285" s="64">
        <v>546202</v>
      </c>
      <c r="T285" s="63"/>
    </row>
    <row r="286" spans="1:20">
      <c r="A286" s="55" t="s">
        <v>414</v>
      </c>
      <c r="B286" s="65" t="s">
        <v>446</v>
      </c>
      <c r="C286" s="75">
        <v>251616</v>
      </c>
      <c r="D286" s="75">
        <v>256224</v>
      </c>
      <c r="E286" s="75">
        <v>261475</v>
      </c>
      <c r="F286" s="75">
        <v>262447</v>
      </c>
      <c r="G286" s="75">
        <v>265203</v>
      </c>
      <c r="H286" s="75">
        <v>273568</v>
      </c>
      <c r="I286" s="75">
        <v>283090</v>
      </c>
      <c r="J286" s="75">
        <v>294179</v>
      </c>
      <c r="K286" s="75">
        <v>296378</v>
      </c>
      <c r="L286" s="76">
        <v>306093</v>
      </c>
      <c r="M286" s="75">
        <v>313004</v>
      </c>
      <c r="N286" s="66">
        <v>331577</v>
      </c>
      <c r="O286" s="59">
        <v>343639</v>
      </c>
      <c r="P286" s="59">
        <v>339127</v>
      </c>
      <c r="Q286" s="59">
        <v>346581</v>
      </c>
      <c r="R286" s="59">
        <v>349910</v>
      </c>
      <c r="S286" s="64">
        <v>352556</v>
      </c>
      <c r="T286" s="63"/>
    </row>
    <row r="287" spans="1:20">
      <c r="A287" s="55" t="s">
        <v>414</v>
      </c>
      <c r="B287" s="65" t="s">
        <v>447</v>
      </c>
      <c r="C287" s="75">
        <v>102860</v>
      </c>
      <c r="D287" s="75">
        <v>103513</v>
      </c>
      <c r="E287" s="75">
        <v>105650</v>
      </c>
      <c r="F287" s="75">
        <v>106363</v>
      </c>
      <c r="G287" s="75">
        <v>105932</v>
      </c>
      <c r="H287" s="75">
        <v>109302</v>
      </c>
      <c r="I287" s="75">
        <v>112019</v>
      </c>
      <c r="J287" s="75">
        <v>113787</v>
      </c>
      <c r="K287" s="75">
        <v>113620</v>
      </c>
      <c r="L287" s="76">
        <v>116002</v>
      </c>
      <c r="M287" s="75">
        <v>116089</v>
      </c>
      <c r="N287" s="75">
        <v>120021</v>
      </c>
      <c r="O287" s="59">
        <v>120061</v>
      </c>
      <c r="P287" s="59">
        <v>122034</v>
      </c>
      <c r="Q287" s="59">
        <v>122511</v>
      </c>
      <c r="R287" s="59">
        <v>123542</v>
      </c>
      <c r="S287" s="64">
        <v>126118</v>
      </c>
      <c r="T287" s="63"/>
    </row>
    <row r="288" spans="1:20">
      <c r="A288" s="55" t="s">
        <v>414</v>
      </c>
      <c r="B288" s="65" t="s">
        <v>397</v>
      </c>
      <c r="C288" s="75">
        <v>60773</v>
      </c>
      <c r="D288" s="75">
        <v>63197</v>
      </c>
      <c r="E288" s="75">
        <v>67504</v>
      </c>
      <c r="F288" s="75">
        <v>70136</v>
      </c>
      <c r="G288" s="75">
        <v>71884</v>
      </c>
      <c r="H288" s="75">
        <v>73311</v>
      </c>
      <c r="I288" s="75">
        <v>77789</v>
      </c>
      <c r="J288" s="75">
        <v>79408</v>
      </c>
      <c r="K288" s="75">
        <v>81716</v>
      </c>
      <c r="L288" s="76">
        <v>83585</v>
      </c>
      <c r="M288" s="75">
        <v>84515</v>
      </c>
      <c r="N288" s="66">
        <v>88534</v>
      </c>
      <c r="O288" s="59">
        <v>89065</v>
      </c>
      <c r="P288" s="59">
        <v>89517</v>
      </c>
      <c r="Q288" s="59">
        <v>86808</v>
      </c>
      <c r="R288" s="59">
        <v>86928</v>
      </c>
      <c r="S288" s="59">
        <v>93468</v>
      </c>
      <c r="T288" s="63"/>
    </row>
    <row r="289" spans="1:28">
      <c r="A289" s="55" t="s">
        <v>414</v>
      </c>
      <c r="B289" s="65" t="s">
        <v>398</v>
      </c>
      <c r="C289" s="75">
        <v>457110</v>
      </c>
      <c r="D289" s="75">
        <v>467713</v>
      </c>
      <c r="E289" s="75">
        <v>492966</v>
      </c>
      <c r="F289" s="75">
        <v>520904</v>
      </c>
      <c r="G289" s="75">
        <v>504420</v>
      </c>
      <c r="H289" s="75">
        <v>517368</v>
      </c>
      <c r="I289" s="75">
        <v>533330</v>
      </c>
      <c r="J289" s="75">
        <v>557481</v>
      </c>
      <c r="K289" s="75">
        <v>559330</v>
      </c>
      <c r="L289" s="76">
        <v>572074</v>
      </c>
      <c r="M289" s="75">
        <v>572800</v>
      </c>
      <c r="N289" s="66">
        <v>558656</v>
      </c>
      <c r="O289" s="59">
        <v>522304</v>
      </c>
      <c r="P289" s="59">
        <v>541269</v>
      </c>
      <c r="Q289" s="59">
        <v>562501</v>
      </c>
      <c r="R289" s="59">
        <v>574754</v>
      </c>
      <c r="S289" s="59">
        <v>586056</v>
      </c>
      <c r="T289" s="72"/>
    </row>
    <row r="290" spans="1:28">
      <c r="A290" s="55" t="s">
        <v>414</v>
      </c>
      <c r="B290" s="65" t="s">
        <v>399</v>
      </c>
      <c r="C290" s="75">
        <v>119811</v>
      </c>
      <c r="D290" s="75">
        <v>119640</v>
      </c>
      <c r="E290" s="75">
        <v>123840</v>
      </c>
      <c r="F290" s="75">
        <v>129337</v>
      </c>
      <c r="G290" s="75">
        <v>121935</v>
      </c>
      <c r="H290" s="75">
        <v>127722</v>
      </c>
      <c r="I290" s="75">
        <v>132690</v>
      </c>
      <c r="J290" s="75">
        <v>137476</v>
      </c>
      <c r="K290" s="75">
        <v>137866</v>
      </c>
      <c r="L290" s="76">
        <v>142066</v>
      </c>
      <c r="M290" s="75">
        <v>144300</v>
      </c>
      <c r="N290" s="75">
        <v>143770</v>
      </c>
      <c r="O290" s="59">
        <v>138842</v>
      </c>
      <c r="P290" s="59">
        <v>144904</v>
      </c>
      <c r="Q290" s="59">
        <v>147797</v>
      </c>
      <c r="R290" s="59">
        <v>151729</v>
      </c>
      <c r="S290" s="64">
        <v>156968</v>
      </c>
      <c r="T290" s="72"/>
    </row>
    <row r="291" spans="1:28">
      <c r="A291" s="55" t="s">
        <v>414</v>
      </c>
      <c r="B291" s="65" t="s">
        <v>400</v>
      </c>
      <c r="C291" s="75">
        <v>60132</v>
      </c>
      <c r="D291" s="75">
        <v>63660</v>
      </c>
      <c r="E291" s="75">
        <v>65168</v>
      </c>
      <c r="F291" s="75">
        <v>68195</v>
      </c>
      <c r="G291" s="75">
        <v>68342</v>
      </c>
      <c r="H291" s="75">
        <v>73086</v>
      </c>
      <c r="I291" s="75">
        <v>76980</v>
      </c>
      <c r="J291" s="75">
        <v>77997</v>
      </c>
      <c r="K291" s="75">
        <v>76526</v>
      </c>
      <c r="L291" s="76">
        <v>80704</v>
      </c>
      <c r="M291" s="75">
        <v>79259</v>
      </c>
      <c r="N291" s="75">
        <v>80118</v>
      </c>
      <c r="O291" s="59">
        <v>78762</v>
      </c>
      <c r="P291" s="59">
        <v>78285</v>
      </c>
      <c r="Q291" s="59">
        <v>79889</v>
      </c>
      <c r="R291" s="59">
        <v>82208</v>
      </c>
      <c r="S291" s="64">
        <v>86036</v>
      </c>
      <c r="T291" s="63"/>
    </row>
    <row r="292" spans="1:28">
      <c r="A292" s="55" t="s">
        <v>414</v>
      </c>
      <c r="B292" s="65" t="s">
        <v>401</v>
      </c>
      <c r="C292" s="75">
        <v>58691</v>
      </c>
      <c r="D292" s="75">
        <v>55579</v>
      </c>
      <c r="E292" s="75">
        <v>58146</v>
      </c>
      <c r="F292" s="75">
        <v>60610</v>
      </c>
      <c r="G292" s="75">
        <v>53551</v>
      </c>
      <c r="H292" s="75">
        <v>54750</v>
      </c>
      <c r="I292" s="75">
        <v>55934</v>
      </c>
      <c r="J292" s="75">
        <v>59566</v>
      </c>
      <c r="K292" s="75">
        <v>61341</v>
      </c>
      <c r="L292" s="76">
        <v>61420</v>
      </c>
      <c r="M292" s="75">
        <v>65036</v>
      </c>
      <c r="N292" s="75">
        <v>63656</v>
      </c>
      <c r="O292" s="59">
        <v>60081</v>
      </c>
      <c r="P292" s="59">
        <v>66667</v>
      </c>
      <c r="Q292" s="59">
        <v>67958</v>
      </c>
      <c r="R292" s="59">
        <v>69568</v>
      </c>
      <c r="S292" s="59">
        <v>70965</v>
      </c>
      <c r="T292" s="63"/>
    </row>
    <row r="293" spans="1:28">
      <c r="A293" s="55" t="s">
        <v>414</v>
      </c>
      <c r="B293" s="65" t="s">
        <v>402</v>
      </c>
      <c r="C293" s="75">
        <v>337309</v>
      </c>
      <c r="D293" s="75">
        <v>348134</v>
      </c>
      <c r="E293" s="75">
        <v>369228</v>
      </c>
      <c r="F293" s="75">
        <v>391729</v>
      </c>
      <c r="G293" s="75">
        <v>382776</v>
      </c>
      <c r="H293" s="75">
        <v>389866</v>
      </c>
      <c r="I293" s="75">
        <v>400829</v>
      </c>
      <c r="J293" s="75">
        <v>420267</v>
      </c>
      <c r="K293" s="75">
        <v>421724</v>
      </c>
      <c r="L293" s="76">
        <v>430233</v>
      </c>
      <c r="M293" s="75">
        <v>428649</v>
      </c>
      <c r="N293" s="66">
        <v>414937</v>
      </c>
      <c r="O293" s="59">
        <v>383462</v>
      </c>
      <c r="P293" s="59">
        <v>396365</v>
      </c>
      <c r="Q293" s="59">
        <v>414703</v>
      </c>
      <c r="R293" s="59">
        <v>423031</v>
      </c>
      <c r="S293" s="64">
        <v>429128</v>
      </c>
      <c r="T293" s="72"/>
    </row>
    <row r="294" spans="1:28">
      <c r="A294" s="55" t="s">
        <v>414</v>
      </c>
      <c r="B294" s="65" t="s">
        <v>403</v>
      </c>
      <c r="C294" s="75">
        <v>100603</v>
      </c>
      <c r="D294" s="75">
        <v>102844</v>
      </c>
      <c r="E294" s="75">
        <v>109310</v>
      </c>
      <c r="F294" s="75">
        <v>117789</v>
      </c>
      <c r="G294" s="75">
        <v>108197</v>
      </c>
      <c r="H294" s="75">
        <v>110321</v>
      </c>
      <c r="I294" s="75">
        <v>111999</v>
      </c>
      <c r="J294" s="75">
        <v>119637</v>
      </c>
      <c r="K294" s="75">
        <v>119857</v>
      </c>
      <c r="L294" s="76">
        <v>122282</v>
      </c>
      <c r="M294" s="75">
        <v>124597</v>
      </c>
      <c r="N294" s="66">
        <v>120317</v>
      </c>
      <c r="O294" s="59">
        <v>106640</v>
      </c>
      <c r="P294" s="59">
        <v>111689</v>
      </c>
      <c r="Q294" s="59">
        <v>119254</v>
      </c>
      <c r="R294" s="59">
        <v>121943</v>
      </c>
      <c r="S294" s="64">
        <v>125004</v>
      </c>
      <c r="T294" s="63"/>
    </row>
    <row r="295" spans="1:28">
      <c r="A295" s="55" t="s">
        <v>414</v>
      </c>
      <c r="B295" s="65" t="s">
        <v>404</v>
      </c>
      <c r="C295" s="75">
        <v>236124</v>
      </c>
      <c r="D295" s="75">
        <v>244788</v>
      </c>
      <c r="E295" s="75">
        <v>259360</v>
      </c>
      <c r="F295" s="75">
        <v>273149</v>
      </c>
      <c r="G295" s="75">
        <v>274632</v>
      </c>
      <c r="H295" s="75">
        <v>279585</v>
      </c>
      <c r="I295" s="75">
        <v>288986</v>
      </c>
      <c r="J295" s="75">
        <v>300634</v>
      </c>
      <c r="K295" s="75">
        <v>301888</v>
      </c>
      <c r="L295" s="76">
        <v>307973</v>
      </c>
      <c r="M295" s="75">
        <v>303765</v>
      </c>
      <c r="N295" s="75">
        <v>294375</v>
      </c>
      <c r="O295" s="59">
        <v>276822</v>
      </c>
      <c r="P295" s="59">
        <v>284689</v>
      </c>
      <c r="Q295" s="59">
        <v>295460</v>
      </c>
      <c r="R295" s="59">
        <v>301099</v>
      </c>
      <c r="S295" s="59">
        <v>304139</v>
      </c>
      <c r="T295" s="63"/>
    </row>
    <row r="296" spans="1:28">
      <c r="A296" s="55" t="s">
        <v>414</v>
      </c>
      <c r="B296" s="65" t="s">
        <v>415</v>
      </c>
      <c r="C296" s="75">
        <v>376824</v>
      </c>
      <c r="D296" s="75">
        <v>391936</v>
      </c>
      <c r="E296" s="75">
        <v>394727</v>
      </c>
      <c r="F296" s="75">
        <v>403482</v>
      </c>
      <c r="G296" s="75">
        <v>363430</v>
      </c>
      <c r="H296" s="75">
        <v>373351</v>
      </c>
      <c r="I296" s="75">
        <v>361670</v>
      </c>
      <c r="J296" s="75">
        <v>367325</v>
      </c>
      <c r="K296" s="75">
        <v>368623</v>
      </c>
      <c r="L296" s="76">
        <v>370119</v>
      </c>
      <c r="M296" s="75">
        <v>360889</v>
      </c>
      <c r="N296" s="66">
        <v>347432</v>
      </c>
      <c r="O296" s="59">
        <v>329510</v>
      </c>
      <c r="P296" s="59">
        <v>323922</v>
      </c>
      <c r="Q296" s="59">
        <v>322696</v>
      </c>
      <c r="R296" s="59">
        <v>329055</v>
      </c>
      <c r="S296" s="59">
        <v>331359</v>
      </c>
      <c r="T296" s="72"/>
    </row>
    <row r="297" spans="1:28">
      <c r="A297" s="55" t="s">
        <v>414</v>
      </c>
      <c r="B297" s="65" t="s">
        <v>174</v>
      </c>
      <c r="C297" s="75">
        <v>1796943</v>
      </c>
      <c r="D297" s="75">
        <v>1818468</v>
      </c>
      <c r="E297" s="75">
        <v>1840427</v>
      </c>
      <c r="F297" s="75">
        <v>1876123</v>
      </c>
      <c r="G297" s="75">
        <v>1893021</v>
      </c>
      <c r="H297" s="75">
        <v>1927623</v>
      </c>
      <c r="I297" s="75">
        <v>1950656</v>
      </c>
      <c r="J297" s="75">
        <v>1968318</v>
      </c>
      <c r="K297" s="75">
        <v>1985133</v>
      </c>
      <c r="L297" s="76">
        <v>1996702</v>
      </c>
      <c r="M297" s="75">
        <v>2017648</v>
      </c>
      <c r="N297" s="66">
        <v>2054522</v>
      </c>
      <c r="O297" s="59">
        <v>2065760</v>
      </c>
      <c r="P297" s="59">
        <v>2079725</v>
      </c>
      <c r="Q297" s="59">
        <v>2071647</v>
      </c>
      <c r="R297" s="59">
        <v>2062290</v>
      </c>
      <c r="S297" s="59">
        <v>2049317</v>
      </c>
      <c r="T297" s="72"/>
    </row>
    <row r="298" spans="1:28">
      <c r="A298" s="55" t="s">
        <v>414</v>
      </c>
      <c r="B298" s="65" t="s">
        <v>219</v>
      </c>
      <c r="C298" s="75">
        <v>585875</v>
      </c>
      <c r="D298" s="75">
        <v>584567</v>
      </c>
      <c r="E298" s="75">
        <v>580995</v>
      </c>
      <c r="F298" s="75">
        <v>587355</v>
      </c>
      <c r="G298" s="75">
        <v>580424</v>
      </c>
      <c r="H298" s="75">
        <v>591359</v>
      </c>
      <c r="I298" s="75">
        <v>602839</v>
      </c>
      <c r="J298" s="75">
        <v>613941</v>
      </c>
      <c r="K298" s="75">
        <v>619126</v>
      </c>
      <c r="L298" s="76">
        <v>622161</v>
      </c>
      <c r="M298" s="75">
        <v>627725</v>
      </c>
      <c r="N298" s="59">
        <v>644696</v>
      </c>
      <c r="O298" s="59">
        <v>663971</v>
      </c>
      <c r="P298" s="59">
        <v>680345</v>
      </c>
      <c r="Q298" s="59">
        <v>681852</v>
      </c>
      <c r="R298" s="59">
        <v>678678</v>
      </c>
      <c r="S298" s="64">
        <v>658009</v>
      </c>
      <c r="T298" s="72"/>
      <c r="U298" s="59"/>
    </row>
    <row r="299" spans="1:28">
      <c r="A299" s="55" t="s">
        <v>414</v>
      </c>
      <c r="B299" s="55" t="s">
        <v>448</v>
      </c>
      <c r="C299" s="75">
        <v>506988</v>
      </c>
      <c r="D299" s="75">
        <v>501736</v>
      </c>
      <c r="E299" s="75">
        <v>498048</v>
      </c>
      <c r="F299" s="75">
        <v>500855</v>
      </c>
      <c r="G299" s="75">
        <v>503010</v>
      </c>
      <c r="H299" s="75">
        <v>511624</v>
      </c>
      <c r="I299" s="75">
        <v>525266</v>
      </c>
      <c r="J299" s="75">
        <v>533433</v>
      </c>
      <c r="K299" s="75">
        <v>540785</v>
      </c>
      <c r="L299" s="76">
        <v>545294</v>
      </c>
      <c r="M299" s="75">
        <v>553129</v>
      </c>
      <c r="N299" s="59">
        <v>574160</v>
      </c>
      <c r="O299" s="59">
        <v>603629</v>
      </c>
      <c r="P299" s="59">
        <v>624261</v>
      </c>
      <c r="Q299" s="59">
        <v>630883</v>
      </c>
      <c r="R299" s="59">
        <v>630732</v>
      </c>
      <c r="S299" s="64">
        <v>618593</v>
      </c>
      <c r="T299" s="63"/>
      <c r="V299" s="59"/>
      <c r="W299" s="59"/>
      <c r="X299" s="59"/>
      <c r="Y299" s="59"/>
      <c r="Z299" s="59"/>
      <c r="AA299" s="59"/>
      <c r="AB299" s="59"/>
    </row>
    <row r="300" spans="1:28">
      <c r="A300" s="55" t="s">
        <v>414</v>
      </c>
      <c r="B300" s="69" t="s">
        <v>449</v>
      </c>
      <c r="C300" s="75">
        <v>327058</v>
      </c>
      <c r="D300" s="75">
        <v>318297</v>
      </c>
      <c r="E300" s="75">
        <v>311575</v>
      </c>
      <c r="F300" s="75">
        <v>308083</v>
      </c>
      <c r="G300" s="75">
        <v>308061</v>
      </c>
      <c r="H300" s="75">
        <v>312195</v>
      </c>
      <c r="I300" s="75">
        <v>320836</v>
      </c>
      <c r="J300" s="75">
        <v>328328</v>
      </c>
      <c r="K300" s="75">
        <v>333825</v>
      </c>
      <c r="L300" s="76">
        <v>335733</v>
      </c>
      <c r="M300" s="75">
        <v>340319</v>
      </c>
      <c r="N300" s="59">
        <v>353962</v>
      </c>
      <c r="O300" s="59">
        <v>373452</v>
      </c>
      <c r="P300" s="59">
        <v>385425</v>
      </c>
      <c r="Q300" s="59">
        <v>390963</v>
      </c>
      <c r="R300" s="59">
        <v>387819</v>
      </c>
      <c r="S300" s="64">
        <v>379050</v>
      </c>
      <c r="T300" s="63"/>
      <c r="V300" s="59"/>
      <c r="W300" s="59"/>
      <c r="X300" s="59"/>
      <c r="Y300" s="59"/>
      <c r="Z300" s="59"/>
      <c r="AA300" s="59"/>
      <c r="AB300" s="59"/>
    </row>
    <row r="301" spans="1:28">
      <c r="A301" s="55" t="s">
        <v>414</v>
      </c>
      <c r="B301" s="69" t="s">
        <v>450</v>
      </c>
      <c r="C301" s="75">
        <v>180671</v>
      </c>
      <c r="D301" s="75">
        <v>183951</v>
      </c>
      <c r="E301" s="75">
        <v>186786</v>
      </c>
      <c r="F301" s="75">
        <v>192835</v>
      </c>
      <c r="G301" s="75">
        <v>194948</v>
      </c>
      <c r="H301" s="75">
        <v>199384</v>
      </c>
      <c r="I301" s="75">
        <v>204388</v>
      </c>
      <c r="J301" s="75">
        <v>205108</v>
      </c>
      <c r="K301" s="75">
        <v>206973</v>
      </c>
      <c r="L301" s="75">
        <v>209576</v>
      </c>
      <c r="M301" s="75">
        <v>212824</v>
      </c>
      <c r="N301" s="59">
        <v>220208</v>
      </c>
      <c r="O301" s="59">
        <v>230177</v>
      </c>
      <c r="P301" s="59">
        <v>238829</v>
      </c>
      <c r="Q301" s="59">
        <v>239930</v>
      </c>
      <c r="R301" s="59">
        <v>242906</v>
      </c>
      <c r="S301" s="64">
        <v>239518</v>
      </c>
      <c r="T301" s="63"/>
      <c r="V301" s="59"/>
      <c r="W301" s="59"/>
      <c r="X301" s="59"/>
      <c r="Y301" s="59"/>
      <c r="Z301" s="59"/>
      <c r="AA301" s="59"/>
      <c r="AB301" s="59"/>
    </row>
    <row r="302" spans="1:28" ht="15">
      <c r="A302" s="55" t="s">
        <v>414</v>
      </c>
      <c r="B302" s="70" t="s">
        <v>451</v>
      </c>
      <c r="C302" s="75">
        <v>81436</v>
      </c>
      <c r="D302" s="75">
        <v>85143</v>
      </c>
      <c r="E302" s="75">
        <v>85225</v>
      </c>
      <c r="F302" s="75">
        <v>88768</v>
      </c>
      <c r="G302" s="75">
        <v>79728</v>
      </c>
      <c r="H302" s="75">
        <v>82077</v>
      </c>
      <c r="I302" s="75">
        <v>79945</v>
      </c>
      <c r="J302" s="75">
        <v>83005</v>
      </c>
      <c r="K302" s="75">
        <v>80527</v>
      </c>
      <c r="L302" s="75">
        <v>78812</v>
      </c>
      <c r="M302" s="75">
        <v>76202</v>
      </c>
      <c r="N302" s="59">
        <v>71449</v>
      </c>
      <c r="O302" s="59">
        <v>60342</v>
      </c>
      <c r="P302" s="59">
        <v>56078</v>
      </c>
      <c r="Q302" s="59">
        <v>50882</v>
      </c>
      <c r="R302" s="59">
        <v>47790</v>
      </c>
      <c r="S302" s="59">
        <v>39083</v>
      </c>
      <c r="T302" s="63"/>
    </row>
    <row r="303" spans="1:28">
      <c r="A303" s="55" t="s">
        <v>414</v>
      </c>
      <c r="B303" s="65" t="s">
        <v>221</v>
      </c>
      <c r="C303" s="75">
        <v>1210502</v>
      </c>
      <c r="D303" s="75">
        <v>1233757</v>
      </c>
      <c r="E303" s="75">
        <v>1259648</v>
      </c>
      <c r="F303" s="75">
        <v>1289114</v>
      </c>
      <c r="G303" s="75">
        <v>1313099</v>
      </c>
      <c r="H303" s="75">
        <v>1336761</v>
      </c>
      <c r="I303" s="75">
        <v>1348172</v>
      </c>
      <c r="J303" s="75">
        <v>1354536</v>
      </c>
      <c r="K303" s="75">
        <v>1366185</v>
      </c>
      <c r="L303" s="75">
        <v>1374721</v>
      </c>
      <c r="M303" s="75">
        <v>1390141</v>
      </c>
      <c r="N303" s="59">
        <v>1409934</v>
      </c>
      <c r="O303" s="59">
        <v>1401790</v>
      </c>
      <c r="P303" s="59">
        <v>1399351</v>
      </c>
      <c r="Q303" s="59">
        <v>1389749</v>
      </c>
      <c r="R303" s="59">
        <v>1383581</v>
      </c>
      <c r="S303" s="64">
        <v>1391108</v>
      </c>
      <c r="T303" s="72"/>
    </row>
    <row r="304" spans="1:28">
      <c r="A304" s="55" t="s">
        <v>414</v>
      </c>
      <c r="B304" s="65" t="s">
        <v>452</v>
      </c>
      <c r="C304" s="75">
        <v>1113803</v>
      </c>
      <c r="D304" s="75">
        <v>1137562</v>
      </c>
      <c r="E304" s="75">
        <v>1156287</v>
      </c>
      <c r="F304" s="75">
        <v>1180685</v>
      </c>
      <c r="G304" s="75">
        <v>1208877</v>
      </c>
      <c r="H304" s="75">
        <v>1232584</v>
      </c>
      <c r="I304" s="75">
        <v>1240447</v>
      </c>
      <c r="J304" s="75">
        <v>1244776</v>
      </c>
      <c r="K304" s="75">
        <v>1253630</v>
      </c>
      <c r="L304" s="75">
        <v>1264062</v>
      </c>
      <c r="M304" s="75">
        <v>1281835</v>
      </c>
      <c r="N304" s="75">
        <v>1298891</v>
      </c>
      <c r="O304" s="59">
        <v>1303990</v>
      </c>
      <c r="P304" s="59">
        <v>1295201</v>
      </c>
      <c r="Q304" s="59">
        <v>1280714</v>
      </c>
      <c r="R304" s="59">
        <v>1273855</v>
      </c>
      <c r="S304" s="64">
        <v>1283139</v>
      </c>
      <c r="T304" s="63"/>
    </row>
    <row r="305" spans="1:41">
      <c r="A305" s="55" t="s">
        <v>414</v>
      </c>
      <c r="B305" s="65" t="s">
        <v>453</v>
      </c>
      <c r="C305" s="75">
        <v>98307</v>
      </c>
      <c r="D305" s="75">
        <v>97981</v>
      </c>
      <c r="E305" s="75">
        <v>104934</v>
      </c>
      <c r="F305" s="75">
        <v>110073</v>
      </c>
      <c r="G305" s="75">
        <v>105785</v>
      </c>
      <c r="H305" s="75">
        <v>105741</v>
      </c>
      <c r="I305" s="75">
        <v>109409</v>
      </c>
      <c r="J305" s="75">
        <v>111556</v>
      </c>
      <c r="K305" s="75">
        <v>114558</v>
      </c>
      <c r="L305" s="75">
        <v>112414</v>
      </c>
      <c r="M305" s="75">
        <v>109685</v>
      </c>
      <c r="N305" s="75">
        <v>112612</v>
      </c>
      <c r="O305" s="59">
        <v>97800</v>
      </c>
      <c r="P305" s="59">
        <v>104276</v>
      </c>
      <c r="Q305" s="59">
        <v>109368</v>
      </c>
      <c r="R305" s="59">
        <v>110097</v>
      </c>
      <c r="S305" s="64">
        <v>108313</v>
      </c>
      <c r="T305" s="63"/>
    </row>
    <row r="306" spans="1:41">
      <c r="A306" s="55" t="s">
        <v>414</v>
      </c>
      <c r="B306" s="65" t="s">
        <v>458</v>
      </c>
      <c r="C306" s="55">
        <v>-616515</v>
      </c>
      <c r="D306" s="55">
        <v>-536211</v>
      </c>
      <c r="E306" s="55">
        <v>-467465</v>
      </c>
      <c r="F306" s="55">
        <v>-347649</v>
      </c>
      <c r="G306" s="55">
        <v>-336572</v>
      </c>
      <c r="H306" s="55">
        <v>-298794</v>
      </c>
      <c r="I306" s="55">
        <v>-232760</v>
      </c>
      <c r="J306" s="55">
        <v>-190710</v>
      </c>
      <c r="K306" s="55">
        <v>-136533</v>
      </c>
      <c r="L306" s="55">
        <v>-144053</v>
      </c>
      <c r="M306" s="55">
        <v>-85404</v>
      </c>
      <c r="N306" s="55">
        <v>-37716</v>
      </c>
      <c r="O306" s="55">
        <v>-7</v>
      </c>
      <c r="P306" s="55">
        <v>38655</v>
      </c>
      <c r="Q306" s="55">
        <v>44996</v>
      </c>
      <c r="R306" s="55">
        <v>84901</v>
      </c>
      <c r="S306" s="64">
        <v>152218</v>
      </c>
      <c r="T306" s="63"/>
    </row>
    <row r="307" spans="1:41">
      <c r="B307" s="55" t="s">
        <v>198</v>
      </c>
      <c r="T307" s="64"/>
    </row>
    <row r="308" spans="1:41" ht="14.25">
      <c r="A308" s="55" t="s">
        <v>414</v>
      </c>
      <c r="B308" s="69" t="s">
        <v>454</v>
      </c>
      <c r="C308" s="59">
        <v>2298851</v>
      </c>
      <c r="D308" s="59">
        <v>2396657</v>
      </c>
      <c r="E308" s="59">
        <v>2508533</v>
      </c>
      <c r="F308" s="59">
        <v>2639942</v>
      </c>
      <c r="G308" s="59">
        <v>2571970</v>
      </c>
      <c r="H308" s="59">
        <v>2572216</v>
      </c>
      <c r="I308" s="59">
        <v>2663356</v>
      </c>
      <c r="J308" s="59">
        <v>2803863</v>
      </c>
      <c r="K308" s="59">
        <v>2851700</v>
      </c>
      <c r="L308" s="59">
        <v>2953577</v>
      </c>
      <c r="M308" s="59">
        <v>2983547</v>
      </c>
      <c r="N308" s="59">
        <v>2884321</v>
      </c>
      <c r="O308" s="59">
        <v>2732011</v>
      </c>
      <c r="P308" s="59">
        <v>2780450</v>
      </c>
      <c r="Q308" s="59">
        <v>2796186</v>
      </c>
      <c r="R308" s="59">
        <v>2858886</v>
      </c>
      <c r="S308" s="59">
        <v>2930410</v>
      </c>
      <c r="T308" s="72"/>
    </row>
    <row r="309" spans="1:41" ht="14.25">
      <c r="A309" s="55" t="s">
        <v>414</v>
      </c>
      <c r="B309" s="69" t="s">
        <v>455</v>
      </c>
      <c r="C309" s="59">
        <v>7117977</v>
      </c>
      <c r="D309" s="59">
        <v>7470297</v>
      </c>
      <c r="E309" s="59">
        <v>7870914</v>
      </c>
      <c r="F309" s="59">
        <v>8178592</v>
      </c>
      <c r="G309" s="59">
        <v>8349076</v>
      </c>
      <c r="H309" s="59">
        <v>8541784</v>
      </c>
      <c r="I309" s="59">
        <v>8762681</v>
      </c>
      <c r="J309" s="59">
        <v>9075844</v>
      </c>
      <c r="K309" s="59">
        <v>9453852</v>
      </c>
      <c r="L309" s="59">
        <v>9718621</v>
      </c>
      <c r="M309" s="59">
        <v>9883620</v>
      </c>
      <c r="N309" s="59">
        <v>9874192</v>
      </c>
      <c r="O309" s="59">
        <v>9620968</v>
      </c>
      <c r="P309" s="59">
        <v>9869959</v>
      </c>
      <c r="Q309" s="59">
        <v>10077194</v>
      </c>
      <c r="R309" s="59">
        <v>10329071</v>
      </c>
      <c r="S309" s="59">
        <v>10554009</v>
      </c>
      <c r="T309" s="72"/>
    </row>
    <row r="310" spans="1:41" ht="14.25">
      <c r="A310" s="55" t="s">
        <v>414</v>
      </c>
      <c r="B310" s="71" t="s">
        <v>456</v>
      </c>
      <c r="C310" s="75">
        <v>265026</v>
      </c>
      <c r="D310" s="75">
        <v>315505</v>
      </c>
      <c r="E310" s="75">
        <v>365165</v>
      </c>
      <c r="F310" s="75">
        <v>432121</v>
      </c>
      <c r="G310" s="75">
        <v>452655</v>
      </c>
      <c r="H310" s="75">
        <v>484279</v>
      </c>
      <c r="I310" s="75">
        <v>533095</v>
      </c>
      <c r="J310" s="75">
        <v>602037</v>
      </c>
      <c r="K310" s="75">
        <v>672351</v>
      </c>
      <c r="L310" s="75">
        <v>734456</v>
      </c>
      <c r="M310" s="75">
        <v>812902</v>
      </c>
      <c r="N310" s="75">
        <v>871887</v>
      </c>
      <c r="O310" s="59">
        <v>852393</v>
      </c>
      <c r="P310" s="59">
        <v>891936</v>
      </c>
      <c r="Q310" s="59">
        <v>923176</v>
      </c>
      <c r="R310" s="59">
        <v>956692</v>
      </c>
      <c r="S310" s="64">
        <v>998971</v>
      </c>
      <c r="T310" s="63"/>
    </row>
    <row r="311" spans="1:41">
      <c r="B311" s="77"/>
      <c r="C311" s="59"/>
      <c r="D311" s="59"/>
      <c r="E311" s="59"/>
      <c r="F311" s="59"/>
      <c r="G311" s="59"/>
      <c r="H311" s="59"/>
      <c r="I311" s="59"/>
      <c r="J311" s="59"/>
      <c r="K311" s="59"/>
      <c r="L311" s="59"/>
      <c r="M311" s="59"/>
      <c r="N311" s="59"/>
      <c r="O311" s="59"/>
      <c r="P311" s="59"/>
      <c r="Q311" s="59"/>
      <c r="R311" s="59"/>
    </row>
    <row r="312" spans="1:41">
      <c r="A312" s="17" t="s">
        <v>459</v>
      </c>
      <c r="B312" s="78"/>
    </row>
    <row r="313" spans="1:41">
      <c r="A313" s="55" t="s">
        <v>418</v>
      </c>
      <c r="B313" s="55" t="s">
        <v>325</v>
      </c>
      <c r="C313" s="57">
        <v>76.531000000000006</v>
      </c>
      <c r="D313" s="57">
        <v>79.936999999999998</v>
      </c>
      <c r="E313" s="57">
        <v>83.682000000000002</v>
      </c>
      <c r="F313" s="57">
        <v>87.106999999999999</v>
      </c>
      <c r="G313" s="57">
        <v>87.956999999999994</v>
      </c>
      <c r="H313" s="57">
        <v>89.528000000000006</v>
      </c>
      <c r="I313" s="57">
        <v>92.040999999999997</v>
      </c>
      <c r="J313" s="57">
        <v>95.525000000000006</v>
      </c>
      <c r="K313" s="57">
        <v>98.72</v>
      </c>
      <c r="L313" s="57">
        <v>101.35299999999999</v>
      </c>
      <c r="M313" s="57">
        <v>103.15600000000001</v>
      </c>
      <c r="N313" s="57">
        <v>102.855</v>
      </c>
      <c r="O313" s="57">
        <v>100</v>
      </c>
      <c r="P313" s="57">
        <v>102.532</v>
      </c>
      <c r="Q313" s="57">
        <v>104.17400000000001</v>
      </c>
      <c r="R313" s="57">
        <v>106.592</v>
      </c>
      <c r="S313" s="57">
        <v>108.95699999999999</v>
      </c>
      <c r="AD313" s="57"/>
      <c r="AE313" s="57"/>
      <c r="AF313" s="57"/>
      <c r="AG313" s="57"/>
      <c r="AH313" s="57"/>
      <c r="AI313" s="57"/>
      <c r="AJ313" s="57"/>
      <c r="AK313" s="57"/>
      <c r="AL313" s="57"/>
      <c r="AM313" s="57"/>
      <c r="AN313" s="57"/>
      <c r="AO313" s="57"/>
    </row>
    <row r="314" spans="1:41">
      <c r="A314" s="55" t="s">
        <v>418</v>
      </c>
      <c r="B314" s="65" t="s">
        <v>326</v>
      </c>
      <c r="C314" s="79">
        <v>76.287999999999997</v>
      </c>
      <c r="D314" s="79">
        <v>79.929000000000002</v>
      </c>
      <c r="E314" s="79">
        <v>84.075999999999993</v>
      </c>
      <c r="F314" s="79">
        <v>87.64</v>
      </c>
      <c r="G314" s="79">
        <v>88.456000000000003</v>
      </c>
      <c r="H314" s="79">
        <v>90.02</v>
      </c>
      <c r="I314" s="79">
        <v>92.546000000000006</v>
      </c>
      <c r="J314" s="79">
        <v>96.221000000000004</v>
      </c>
      <c r="K314" s="79">
        <v>99.661000000000001</v>
      </c>
      <c r="L314" s="79">
        <v>102.636</v>
      </c>
      <c r="M314" s="79">
        <v>104.21</v>
      </c>
      <c r="N314" s="79">
        <v>103.29600000000001</v>
      </c>
      <c r="O314" s="57">
        <v>100</v>
      </c>
      <c r="P314" s="79">
        <v>102.40600000000001</v>
      </c>
      <c r="Q314" s="57">
        <v>104.199</v>
      </c>
      <c r="R314" s="57">
        <v>106.742</v>
      </c>
      <c r="S314" s="80">
        <v>109.146</v>
      </c>
      <c r="AD314" s="57"/>
      <c r="AE314" s="57"/>
      <c r="AF314" s="57"/>
      <c r="AG314" s="57"/>
      <c r="AH314" s="57"/>
      <c r="AI314" s="57"/>
      <c r="AJ314" s="57"/>
      <c r="AK314" s="57"/>
      <c r="AL314" s="57"/>
      <c r="AM314" s="57"/>
      <c r="AN314" s="57"/>
      <c r="AO314" s="57"/>
    </row>
    <row r="315" spans="1:41">
      <c r="A315" s="55" t="s">
        <v>418</v>
      </c>
      <c r="B315" s="65" t="s">
        <v>327</v>
      </c>
      <c r="C315" s="79">
        <v>66.061000000000007</v>
      </c>
      <c r="D315" s="79">
        <v>63.646000000000001</v>
      </c>
      <c r="E315" s="79">
        <v>66.893000000000001</v>
      </c>
      <c r="F315" s="79">
        <v>76.805999999999997</v>
      </c>
      <c r="G315" s="79">
        <v>72.947000000000003</v>
      </c>
      <c r="H315" s="79">
        <v>75.674999999999997</v>
      </c>
      <c r="I315" s="79">
        <v>82.97</v>
      </c>
      <c r="J315" s="79">
        <v>88.179000000000002</v>
      </c>
      <c r="K315" s="79">
        <v>92.406999999999996</v>
      </c>
      <c r="L315" s="79">
        <v>96.162000000000006</v>
      </c>
      <c r="M315" s="79">
        <v>83.01</v>
      </c>
      <c r="N315" s="79">
        <v>88.619</v>
      </c>
      <c r="O315" s="57">
        <v>100</v>
      </c>
      <c r="P315" s="79">
        <v>101.85299999999999</v>
      </c>
      <c r="Q315" s="57">
        <v>97.334999999999994</v>
      </c>
      <c r="R315" s="57">
        <v>94.037000000000006</v>
      </c>
      <c r="S315" s="80">
        <v>105.352</v>
      </c>
      <c r="T315" s="63"/>
      <c r="AD315" s="57"/>
      <c r="AE315" s="57"/>
      <c r="AF315" s="57"/>
      <c r="AG315" s="57"/>
      <c r="AH315" s="57"/>
      <c r="AI315" s="57"/>
      <c r="AJ315" s="57"/>
      <c r="AK315" s="57"/>
      <c r="AL315" s="57"/>
      <c r="AM315" s="57"/>
      <c r="AN315" s="57"/>
      <c r="AO315" s="57"/>
    </row>
    <row r="316" spans="1:41">
      <c r="A316" s="55" t="s">
        <v>418</v>
      </c>
      <c r="B316" s="65" t="s">
        <v>328</v>
      </c>
      <c r="C316" s="79">
        <v>64.801000000000002</v>
      </c>
      <c r="D316" s="79">
        <v>61.65</v>
      </c>
      <c r="E316" s="79">
        <v>64.418999999999997</v>
      </c>
      <c r="F316" s="79">
        <v>76.408000000000001</v>
      </c>
      <c r="G316" s="79">
        <v>70.757000000000005</v>
      </c>
      <c r="H316" s="79">
        <v>73.703000000000003</v>
      </c>
      <c r="I316" s="79">
        <v>81.813000000000002</v>
      </c>
      <c r="J316" s="79">
        <v>87.503</v>
      </c>
      <c r="K316" s="79">
        <v>92.573999999999998</v>
      </c>
      <c r="L316" s="79">
        <v>93.272000000000006</v>
      </c>
      <c r="M316" s="79">
        <v>78.480999999999995</v>
      </c>
      <c r="N316" s="81">
        <v>86.259</v>
      </c>
      <c r="O316" s="57">
        <v>100</v>
      </c>
      <c r="P316" s="79">
        <v>101.50700000000001</v>
      </c>
      <c r="Q316" s="57">
        <v>96.277000000000001</v>
      </c>
      <c r="R316" s="57">
        <v>90.781000000000006</v>
      </c>
      <c r="S316" s="80">
        <v>103.77800000000001</v>
      </c>
      <c r="T316" s="63"/>
      <c r="AD316" s="57"/>
      <c r="AE316" s="57"/>
      <c r="AF316" s="57"/>
      <c r="AG316" s="57"/>
      <c r="AH316" s="57"/>
      <c r="AI316" s="57"/>
      <c r="AJ316" s="57"/>
      <c r="AK316" s="57"/>
      <c r="AL316" s="57"/>
      <c r="AM316" s="57"/>
      <c r="AN316" s="57"/>
      <c r="AO316" s="57"/>
    </row>
    <row r="317" spans="1:41">
      <c r="A317" s="55" t="s">
        <v>418</v>
      </c>
      <c r="B317" s="65" t="s">
        <v>329</v>
      </c>
      <c r="C317" s="79">
        <v>72.712999999999994</v>
      </c>
      <c r="D317" s="79">
        <v>73.691999999999993</v>
      </c>
      <c r="E317" s="79">
        <v>79.058000000000007</v>
      </c>
      <c r="F317" s="79">
        <v>81.593999999999994</v>
      </c>
      <c r="G317" s="79">
        <v>84.575999999999993</v>
      </c>
      <c r="H317" s="79">
        <v>86.489000000000004</v>
      </c>
      <c r="I317" s="79">
        <v>90.59</v>
      </c>
      <c r="J317" s="79">
        <v>93.578999999999994</v>
      </c>
      <c r="K317" s="79">
        <v>93.903999999999996</v>
      </c>
      <c r="L317" s="79">
        <v>110.697</v>
      </c>
      <c r="M317" s="79">
        <v>104.574</v>
      </c>
      <c r="N317" s="81">
        <v>98.805999999999997</v>
      </c>
      <c r="O317" s="57">
        <v>100</v>
      </c>
      <c r="P317" s="79">
        <v>103.26600000000001</v>
      </c>
      <c r="Q317" s="57">
        <v>102.26900000000001</v>
      </c>
      <c r="R317" s="57">
        <v>111.754</v>
      </c>
      <c r="S317" s="80">
        <v>112.828</v>
      </c>
      <c r="AD317" s="57"/>
      <c r="AE317" s="57"/>
      <c r="AF317" s="57"/>
      <c r="AG317" s="57"/>
      <c r="AH317" s="57"/>
      <c r="AI317" s="57"/>
      <c r="AJ317" s="57"/>
      <c r="AK317" s="57"/>
      <c r="AL317" s="57"/>
      <c r="AM317" s="57"/>
      <c r="AN317" s="57"/>
      <c r="AO317" s="57"/>
    </row>
    <row r="318" spans="1:41">
      <c r="A318" s="55" t="s">
        <v>418</v>
      </c>
      <c r="B318" s="65" t="s">
        <v>330</v>
      </c>
      <c r="C318" s="79">
        <v>81.549000000000007</v>
      </c>
      <c r="D318" s="79">
        <v>85.643000000000001</v>
      </c>
      <c r="E318" s="79">
        <v>81.751999999999995</v>
      </c>
      <c r="F318" s="79">
        <v>72.590999999999994</v>
      </c>
      <c r="G318" s="79">
        <v>84.896000000000001</v>
      </c>
      <c r="H318" s="79">
        <v>83.435000000000002</v>
      </c>
      <c r="I318" s="79">
        <v>74.441000000000003</v>
      </c>
      <c r="J318" s="79">
        <v>73.748999999999995</v>
      </c>
      <c r="K318" s="79">
        <v>73.33</v>
      </c>
      <c r="L318" s="79">
        <v>81.2</v>
      </c>
      <c r="M318" s="79">
        <v>86.561000000000007</v>
      </c>
      <c r="N318" s="79">
        <v>87.555000000000007</v>
      </c>
      <c r="O318" s="57">
        <v>100</v>
      </c>
      <c r="P318" s="79">
        <v>93.924999999999997</v>
      </c>
      <c r="Q318" s="57">
        <v>99.927000000000007</v>
      </c>
      <c r="R318" s="57">
        <v>110.069</v>
      </c>
      <c r="S318" s="80">
        <v>114.6</v>
      </c>
      <c r="T318" s="63"/>
      <c r="AD318" s="57"/>
      <c r="AE318" s="57"/>
      <c r="AF318" s="57"/>
      <c r="AG318" s="57"/>
      <c r="AH318" s="57"/>
      <c r="AI318" s="57"/>
      <c r="AJ318" s="57"/>
      <c r="AK318" s="57"/>
      <c r="AL318" s="57"/>
      <c r="AM318" s="57"/>
      <c r="AN318" s="57"/>
      <c r="AO318" s="57"/>
    </row>
    <row r="319" spans="1:41">
      <c r="A319" s="55" t="s">
        <v>418</v>
      </c>
      <c r="B319" s="65" t="s">
        <v>331</v>
      </c>
      <c r="C319" s="79">
        <v>93.885000000000005</v>
      </c>
      <c r="D319" s="79">
        <v>97.379000000000005</v>
      </c>
      <c r="E319" s="79">
        <v>86.22</v>
      </c>
      <c r="F319" s="79">
        <v>64.231999999999999</v>
      </c>
      <c r="G319" s="79">
        <v>77.055000000000007</v>
      </c>
      <c r="H319" s="79">
        <v>83.995999999999995</v>
      </c>
      <c r="I319" s="79">
        <v>69.123000000000005</v>
      </c>
      <c r="J319" s="79">
        <v>67.525999999999996</v>
      </c>
      <c r="K319" s="79">
        <v>65.512</v>
      </c>
      <c r="L319" s="79">
        <v>71.156000000000006</v>
      </c>
      <c r="M319" s="79">
        <v>75.963999999999999</v>
      </c>
      <c r="N319" s="81">
        <v>76.236999999999995</v>
      </c>
      <c r="O319" s="57">
        <v>100</v>
      </c>
      <c r="P319" s="79">
        <v>85.923000000000002</v>
      </c>
      <c r="Q319" s="57">
        <v>89.509</v>
      </c>
      <c r="R319" s="57">
        <v>104.741</v>
      </c>
      <c r="S319" s="80">
        <v>110.75</v>
      </c>
      <c r="T319" s="63"/>
      <c r="AD319" s="57"/>
      <c r="AE319" s="57"/>
      <c r="AF319" s="57"/>
      <c r="AG319" s="57"/>
      <c r="AH319" s="57"/>
      <c r="AI319" s="57"/>
      <c r="AJ319" s="57"/>
      <c r="AK319" s="57"/>
      <c r="AL319" s="57"/>
      <c r="AM319" s="57"/>
      <c r="AN319" s="57"/>
      <c r="AO319" s="57"/>
    </row>
    <row r="320" spans="1:41">
      <c r="A320" s="55" t="s">
        <v>418</v>
      </c>
      <c r="B320" s="65" t="s">
        <v>332</v>
      </c>
      <c r="C320" s="79">
        <v>94.66</v>
      </c>
      <c r="D320" s="79">
        <v>110.124</v>
      </c>
      <c r="E320" s="79">
        <v>115.58799999999999</v>
      </c>
      <c r="F320" s="79">
        <v>113.49</v>
      </c>
      <c r="G320" s="79">
        <v>111.58199999999999</v>
      </c>
      <c r="H320" s="79">
        <v>102.93</v>
      </c>
      <c r="I320" s="79">
        <v>104.92100000000001</v>
      </c>
      <c r="J320" s="79">
        <v>102.715</v>
      </c>
      <c r="K320" s="79">
        <v>105.55200000000001</v>
      </c>
      <c r="L320" s="79">
        <v>107.94799999999999</v>
      </c>
      <c r="M320" s="79">
        <v>109.827</v>
      </c>
      <c r="N320" s="81">
        <v>104.404</v>
      </c>
      <c r="O320" s="57">
        <v>100</v>
      </c>
      <c r="P320" s="79">
        <v>106.492</v>
      </c>
      <c r="Q320" s="57">
        <v>110.538</v>
      </c>
      <c r="R320" s="57">
        <v>101.896</v>
      </c>
      <c r="S320" s="80">
        <v>103.637</v>
      </c>
      <c r="T320" s="63"/>
      <c r="AD320" s="57"/>
      <c r="AE320" s="57"/>
      <c r="AF320" s="57"/>
      <c r="AG320" s="57"/>
      <c r="AH320" s="57"/>
      <c r="AI320" s="57"/>
      <c r="AJ320" s="57"/>
      <c r="AK320" s="57"/>
      <c r="AL320" s="57"/>
      <c r="AM320" s="57"/>
      <c r="AN320" s="57"/>
      <c r="AO320" s="57"/>
    </row>
    <row r="321" spans="1:41">
      <c r="A321" s="55" t="s">
        <v>418</v>
      </c>
      <c r="B321" s="65" t="s">
        <v>333</v>
      </c>
      <c r="C321" s="79">
        <v>53.1</v>
      </c>
      <c r="D321" s="79">
        <v>47.49</v>
      </c>
      <c r="E321" s="79">
        <v>46.676000000000002</v>
      </c>
      <c r="F321" s="79">
        <v>63.277999999999999</v>
      </c>
      <c r="G321" s="79">
        <v>89.040999999999997</v>
      </c>
      <c r="H321" s="79">
        <v>62.893000000000001</v>
      </c>
      <c r="I321" s="79">
        <v>65.498999999999995</v>
      </c>
      <c r="J321" s="79">
        <v>71.566000000000003</v>
      </c>
      <c r="K321" s="79">
        <v>77.378</v>
      </c>
      <c r="L321" s="79">
        <v>105.14700000000001</v>
      </c>
      <c r="M321" s="79">
        <v>117.82</v>
      </c>
      <c r="N321" s="81">
        <v>132.398</v>
      </c>
      <c r="O321" s="57">
        <v>100</v>
      </c>
      <c r="P321" s="79">
        <v>114.96</v>
      </c>
      <c r="Q321" s="57">
        <v>139.93</v>
      </c>
      <c r="R321" s="57">
        <v>153.16300000000001</v>
      </c>
      <c r="S321" s="80">
        <v>153.88399999999999</v>
      </c>
      <c r="AD321" s="57"/>
      <c r="AE321" s="57"/>
      <c r="AF321" s="57"/>
      <c r="AG321" s="57"/>
      <c r="AH321" s="57"/>
      <c r="AI321" s="57"/>
      <c r="AJ321" s="57"/>
      <c r="AK321" s="57"/>
      <c r="AL321" s="57"/>
      <c r="AM321" s="57"/>
      <c r="AN321" s="57"/>
      <c r="AO321" s="57"/>
    </row>
    <row r="322" spans="1:41">
      <c r="A322" s="55" t="s">
        <v>418</v>
      </c>
      <c r="B322" s="65" t="s">
        <v>334</v>
      </c>
      <c r="C322" s="79">
        <v>106.432</v>
      </c>
      <c r="D322" s="79">
        <v>101.52500000000001</v>
      </c>
      <c r="E322" s="79">
        <v>118.789</v>
      </c>
      <c r="F322" s="79">
        <v>121.2</v>
      </c>
      <c r="G322" s="79">
        <v>102.70099999999999</v>
      </c>
      <c r="H322" s="79">
        <v>104.746</v>
      </c>
      <c r="I322" s="79">
        <v>101.66200000000001</v>
      </c>
      <c r="J322" s="79">
        <v>106.556</v>
      </c>
      <c r="K322" s="79">
        <v>99.930999999999997</v>
      </c>
      <c r="L322" s="79">
        <v>105.33</v>
      </c>
      <c r="M322" s="79">
        <v>106.60899999999999</v>
      </c>
      <c r="N322" s="79">
        <v>107.521</v>
      </c>
      <c r="O322" s="57">
        <v>100</v>
      </c>
      <c r="P322" s="79">
        <v>109.428</v>
      </c>
      <c r="Q322" s="57">
        <v>110.79600000000001</v>
      </c>
      <c r="R322" s="57">
        <v>111.32599999999999</v>
      </c>
      <c r="S322" s="80">
        <v>112.389</v>
      </c>
      <c r="AD322" s="57"/>
      <c r="AE322" s="57"/>
      <c r="AF322" s="57"/>
      <c r="AG322" s="57"/>
      <c r="AH322" s="57"/>
      <c r="AI322" s="57"/>
      <c r="AJ322" s="57"/>
      <c r="AK322" s="57"/>
      <c r="AL322" s="57"/>
      <c r="AM322" s="57"/>
      <c r="AN322" s="57"/>
      <c r="AO322" s="57"/>
    </row>
    <row r="323" spans="1:41">
      <c r="A323" s="55" t="s">
        <v>418</v>
      </c>
      <c r="B323" s="65" t="s">
        <v>335</v>
      </c>
      <c r="C323" s="79">
        <v>118.962</v>
      </c>
      <c r="D323" s="79">
        <v>123.932</v>
      </c>
      <c r="E323" s="79">
        <v>128.41</v>
      </c>
      <c r="F323" s="79">
        <v>133.185</v>
      </c>
      <c r="G323" s="79">
        <v>130.846</v>
      </c>
      <c r="H323" s="79">
        <v>126.70399999999999</v>
      </c>
      <c r="I323" s="79">
        <v>128.94999999999999</v>
      </c>
      <c r="J323" s="79">
        <v>133.459</v>
      </c>
      <c r="K323" s="79">
        <v>133.858</v>
      </c>
      <c r="L323" s="79">
        <v>130.51599999999999</v>
      </c>
      <c r="M323" s="79">
        <v>125.608</v>
      </c>
      <c r="N323" s="79">
        <v>114.706</v>
      </c>
      <c r="O323" s="57">
        <v>100</v>
      </c>
      <c r="P323" s="79">
        <v>95.55</v>
      </c>
      <c r="Q323" s="57">
        <v>95.034999999999997</v>
      </c>
      <c r="R323" s="57">
        <v>98.887</v>
      </c>
      <c r="S323" s="80">
        <v>100.74299999999999</v>
      </c>
      <c r="AD323" s="57"/>
      <c r="AE323" s="57"/>
      <c r="AF323" s="57"/>
      <c r="AG323" s="57"/>
      <c r="AH323" s="57"/>
      <c r="AI323" s="57"/>
      <c r="AJ323" s="57"/>
      <c r="AK323" s="57"/>
      <c r="AL323" s="57"/>
      <c r="AM323" s="57"/>
      <c r="AN323" s="57"/>
      <c r="AO323" s="57"/>
    </row>
    <row r="324" spans="1:41">
      <c r="A324" s="55" t="s">
        <v>418</v>
      </c>
      <c r="B324" s="65" t="s">
        <v>336</v>
      </c>
      <c r="C324" s="79">
        <v>79.057000000000002</v>
      </c>
      <c r="D324" s="79">
        <v>82.881</v>
      </c>
      <c r="E324" s="79">
        <v>87.418000000000006</v>
      </c>
      <c r="F324" s="79">
        <v>92.850999999999999</v>
      </c>
      <c r="G324" s="79">
        <v>89.102000000000004</v>
      </c>
      <c r="H324" s="79">
        <v>89.978999999999999</v>
      </c>
      <c r="I324" s="79">
        <v>94.522000000000006</v>
      </c>
      <c r="J324" s="79">
        <v>100.627</v>
      </c>
      <c r="K324" s="79">
        <v>102.89400000000001</v>
      </c>
      <c r="L324" s="79">
        <v>108.004</v>
      </c>
      <c r="M324" s="79">
        <v>111.474</v>
      </c>
      <c r="N324" s="79">
        <v>108.248</v>
      </c>
      <c r="O324" s="57">
        <v>100</v>
      </c>
      <c r="P324" s="79">
        <v>105.298</v>
      </c>
      <c r="Q324" s="57">
        <v>105.59099999999999</v>
      </c>
      <c r="R324" s="57">
        <v>106.377</v>
      </c>
      <c r="S324" s="80">
        <v>107.871</v>
      </c>
      <c r="AD324" s="57"/>
      <c r="AE324" s="57"/>
      <c r="AF324" s="57"/>
      <c r="AG324" s="57"/>
      <c r="AH324" s="57"/>
      <c r="AI324" s="57"/>
      <c r="AJ324" s="57"/>
      <c r="AK324" s="57"/>
      <c r="AL324" s="57"/>
      <c r="AM324" s="57"/>
      <c r="AN324" s="57"/>
      <c r="AO324" s="57"/>
    </row>
    <row r="325" spans="1:41">
      <c r="A325" s="55" t="s">
        <v>418</v>
      </c>
      <c r="B325" s="65" t="s">
        <v>337</v>
      </c>
      <c r="C325" s="79">
        <v>71.472999999999999</v>
      </c>
      <c r="D325" s="79">
        <v>77.349999999999994</v>
      </c>
      <c r="E325" s="79">
        <v>82.805000000000007</v>
      </c>
      <c r="F325" s="79">
        <v>92.2</v>
      </c>
      <c r="G325" s="79">
        <v>86.301000000000002</v>
      </c>
      <c r="H325" s="79">
        <v>88.009</v>
      </c>
      <c r="I325" s="79">
        <v>93.858999999999995</v>
      </c>
      <c r="J325" s="79">
        <v>99.994</v>
      </c>
      <c r="K325" s="79">
        <v>106.39100000000001</v>
      </c>
      <c r="L325" s="79">
        <v>113.75</v>
      </c>
      <c r="M325" s="79">
        <v>118.649</v>
      </c>
      <c r="N325" s="79">
        <v>117.26300000000001</v>
      </c>
      <c r="O325" s="57">
        <v>100</v>
      </c>
      <c r="P325" s="79">
        <v>111.64400000000001</v>
      </c>
      <c r="Q325" s="57">
        <v>118.672</v>
      </c>
      <c r="R325" s="57">
        <v>122.50700000000001</v>
      </c>
      <c r="S325" s="80">
        <v>124.59</v>
      </c>
      <c r="T325" s="63"/>
      <c r="AD325" s="57"/>
      <c r="AE325" s="57"/>
      <c r="AF325" s="57"/>
      <c r="AG325" s="57"/>
      <c r="AH325" s="57"/>
      <c r="AI325" s="57"/>
      <c r="AJ325" s="57"/>
      <c r="AK325" s="57"/>
      <c r="AL325" s="57"/>
      <c r="AM325" s="57"/>
      <c r="AN325" s="57"/>
      <c r="AO325" s="57"/>
    </row>
    <row r="326" spans="1:41">
      <c r="A326" s="55" t="s">
        <v>418</v>
      </c>
      <c r="B326" s="65" t="s">
        <v>338</v>
      </c>
      <c r="C326" s="79">
        <v>119.223</v>
      </c>
      <c r="D326" s="79">
        <v>120.61799999999999</v>
      </c>
      <c r="E326" s="79">
        <v>118.976</v>
      </c>
      <c r="F326" s="79">
        <v>121.453</v>
      </c>
      <c r="G326" s="79">
        <v>116.77500000000001</v>
      </c>
      <c r="H326" s="79">
        <v>118.218</v>
      </c>
      <c r="I326" s="79">
        <v>118.176</v>
      </c>
      <c r="J326" s="79">
        <v>116.276</v>
      </c>
      <c r="K326" s="79">
        <v>126.253</v>
      </c>
      <c r="L326" s="79">
        <v>123.70399999999999</v>
      </c>
      <c r="M326" s="79">
        <v>129.41800000000001</v>
      </c>
      <c r="N326" s="81">
        <v>118.794</v>
      </c>
      <c r="O326" s="57">
        <v>100</v>
      </c>
      <c r="P326" s="79">
        <v>103.40900000000001</v>
      </c>
      <c r="Q326" s="57">
        <v>113.22</v>
      </c>
      <c r="R326" s="57">
        <v>114.622</v>
      </c>
      <c r="S326" s="80">
        <v>106.92400000000001</v>
      </c>
      <c r="T326" s="63"/>
      <c r="AD326" s="57"/>
      <c r="AE326" s="57"/>
      <c r="AF326" s="57"/>
      <c r="AG326" s="57"/>
      <c r="AH326" s="57"/>
      <c r="AI326" s="57"/>
      <c r="AJ326" s="57"/>
      <c r="AK326" s="57"/>
      <c r="AL326" s="57"/>
      <c r="AM326" s="57"/>
      <c r="AN326" s="57"/>
      <c r="AO326" s="57"/>
    </row>
    <row r="327" spans="1:41">
      <c r="A327" s="55" t="s">
        <v>418</v>
      </c>
      <c r="B327" s="65" t="s">
        <v>339</v>
      </c>
      <c r="C327" s="79">
        <v>137.667</v>
      </c>
      <c r="D327" s="79">
        <v>137.09700000000001</v>
      </c>
      <c r="E327" s="79">
        <v>138.77199999999999</v>
      </c>
      <c r="F327" s="79">
        <v>137.376</v>
      </c>
      <c r="G327" s="79">
        <v>134.45099999999999</v>
      </c>
      <c r="H327" s="79">
        <v>132.74</v>
      </c>
      <c r="I327" s="79">
        <v>136.399</v>
      </c>
      <c r="J327" s="79">
        <v>145.88999999999999</v>
      </c>
      <c r="K327" s="79">
        <v>147.54599999999999</v>
      </c>
      <c r="L327" s="79">
        <v>137.477</v>
      </c>
      <c r="M327" s="79">
        <v>137.21199999999999</v>
      </c>
      <c r="N327" s="81">
        <v>125.61499999999999</v>
      </c>
      <c r="O327" s="57">
        <v>100</v>
      </c>
      <c r="P327" s="79">
        <v>100.05200000000001</v>
      </c>
      <c r="Q327" s="57">
        <v>103.277</v>
      </c>
      <c r="R327" s="57">
        <v>106.577</v>
      </c>
      <c r="S327" s="80">
        <v>104.982</v>
      </c>
      <c r="T327" s="63"/>
      <c r="AD327" s="57"/>
      <c r="AE327" s="57"/>
      <c r="AF327" s="57"/>
      <c r="AG327" s="57"/>
      <c r="AH327" s="57"/>
      <c r="AI327" s="57"/>
      <c r="AJ327" s="57"/>
      <c r="AK327" s="57"/>
      <c r="AL327" s="57"/>
      <c r="AM327" s="57"/>
      <c r="AN327" s="57"/>
      <c r="AO327" s="57"/>
    </row>
    <row r="328" spans="1:41">
      <c r="A328" s="55" t="s">
        <v>418</v>
      </c>
      <c r="B328" s="65" t="s">
        <v>340</v>
      </c>
      <c r="C328" s="79">
        <v>102.682</v>
      </c>
      <c r="D328" s="79">
        <v>110.32</v>
      </c>
      <c r="E328" s="79">
        <v>117.218</v>
      </c>
      <c r="F328" s="79">
        <v>116.879</v>
      </c>
      <c r="G328" s="79">
        <v>110.249</v>
      </c>
      <c r="H328" s="79">
        <v>114.17</v>
      </c>
      <c r="I328" s="79">
        <v>109.38200000000001</v>
      </c>
      <c r="J328" s="79">
        <v>120.098</v>
      </c>
      <c r="K328" s="79">
        <v>110.429</v>
      </c>
      <c r="L328" s="79">
        <v>100.968</v>
      </c>
      <c r="M328" s="79">
        <v>98.206000000000003</v>
      </c>
      <c r="N328" s="81">
        <v>100.992</v>
      </c>
      <c r="O328" s="57">
        <v>100</v>
      </c>
      <c r="P328" s="79">
        <v>95.671999999999997</v>
      </c>
      <c r="Q328" s="57">
        <v>100.121</v>
      </c>
      <c r="R328" s="57">
        <v>123.78100000000001</v>
      </c>
      <c r="S328" s="80">
        <v>141.57900000000001</v>
      </c>
      <c r="T328" s="63"/>
      <c r="AD328" s="57"/>
      <c r="AE328" s="57"/>
      <c r="AF328" s="57"/>
      <c r="AG328" s="57"/>
      <c r="AH328" s="57"/>
      <c r="AI328" s="57"/>
      <c r="AJ328" s="57"/>
      <c r="AK328" s="57"/>
      <c r="AL328" s="57"/>
      <c r="AM328" s="57"/>
      <c r="AN328" s="57"/>
      <c r="AO328" s="57"/>
    </row>
    <row r="329" spans="1:41">
      <c r="A329" s="55" t="s">
        <v>418</v>
      </c>
      <c r="B329" s="65" t="s">
        <v>341</v>
      </c>
      <c r="C329" s="79">
        <v>131.67500000000001</v>
      </c>
      <c r="D329" s="79">
        <v>128.46199999999999</v>
      </c>
      <c r="E329" s="79">
        <v>129.411</v>
      </c>
      <c r="F329" s="79">
        <v>137.45099999999999</v>
      </c>
      <c r="G329" s="79">
        <v>122.566</v>
      </c>
      <c r="H329" s="79">
        <v>116.964</v>
      </c>
      <c r="I329" s="79">
        <v>121.557</v>
      </c>
      <c r="J329" s="79">
        <v>126.38200000000001</v>
      </c>
      <c r="K329" s="79">
        <v>128.846</v>
      </c>
      <c r="L329" s="79">
        <v>133.84200000000001</v>
      </c>
      <c r="M329" s="79">
        <v>138.91999999999999</v>
      </c>
      <c r="N329" s="81">
        <v>130.976</v>
      </c>
      <c r="O329" s="57">
        <v>100</v>
      </c>
      <c r="P329" s="79">
        <v>109.602</v>
      </c>
      <c r="Q329" s="57">
        <v>116.529</v>
      </c>
      <c r="R329" s="57">
        <v>119.667</v>
      </c>
      <c r="S329" s="80">
        <v>118.291</v>
      </c>
      <c r="T329" s="63"/>
      <c r="AD329" s="57"/>
      <c r="AE329" s="57"/>
      <c r="AF329" s="57"/>
      <c r="AG329" s="57"/>
      <c r="AH329" s="57"/>
      <c r="AI329" s="57"/>
      <c r="AJ329" s="57"/>
      <c r="AK329" s="57"/>
      <c r="AL329" s="57"/>
      <c r="AM329" s="57"/>
      <c r="AN329" s="57"/>
      <c r="AO329" s="57"/>
    </row>
    <row r="330" spans="1:41">
      <c r="A330" s="55" t="s">
        <v>418</v>
      </c>
      <c r="B330" s="65" t="s">
        <v>342</v>
      </c>
      <c r="C330" s="79">
        <v>107.57299999999999</v>
      </c>
      <c r="D330" s="79">
        <v>116.003</v>
      </c>
      <c r="E330" s="79">
        <v>110.009</v>
      </c>
      <c r="F330" s="79">
        <v>112.63</v>
      </c>
      <c r="G330" s="79">
        <v>102.13800000000001</v>
      </c>
      <c r="H330" s="79">
        <v>95.174999999999997</v>
      </c>
      <c r="I330" s="79">
        <v>94.444999999999993</v>
      </c>
      <c r="J330" s="79">
        <v>104.58799999999999</v>
      </c>
      <c r="K330" s="79">
        <v>112.384</v>
      </c>
      <c r="L330" s="79">
        <v>119.995</v>
      </c>
      <c r="M330" s="79">
        <v>125.253</v>
      </c>
      <c r="N330" s="81">
        <v>125.42700000000001</v>
      </c>
      <c r="O330" s="57">
        <v>100</v>
      </c>
      <c r="P330" s="79">
        <v>110.563</v>
      </c>
      <c r="Q330" s="57">
        <v>125.06399999999999</v>
      </c>
      <c r="R330" s="57">
        <v>125.708</v>
      </c>
      <c r="S330" s="80">
        <v>121.57</v>
      </c>
      <c r="T330" s="63"/>
      <c r="AD330" s="57"/>
      <c r="AE330" s="57"/>
      <c r="AF330" s="57"/>
      <c r="AG330" s="57"/>
      <c r="AH330" s="57"/>
      <c r="AI330" s="57"/>
      <c r="AJ330" s="57"/>
      <c r="AK330" s="57"/>
      <c r="AL330" s="57"/>
      <c r="AM330" s="57"/>
      <c r="AN330" s="57"/>
      <c r="AO330" s="57"/>
    </row>
    <row r="331" spans="1:41">
      <c r="A331" s="55" t="s">
        <v>418</v>
      </c>
      <c r="B331" s="65" t="s">
        <v>343</v>
      </c>
      <c r="C331" s="79">
        <v>16.565000000000001</v>
      </c>
      <c r="D331" s="79">
        <v>21.277000000000001</v>
      </c>
      <c r="E331" s="79">
        <v>26.465</v>
      </c>
      <c r="F331" s="79">
        <v>40.11</v>
      </c>
      <c r="G331" s="79">
        <v>38.423999999999999</v>
      </c>
      <c r="H331" s="79">
        <v>41.658999999999999</v>
      </c>
      <c r="I331" s="79">
        <v>52.024999999999999</v>
      </c>
      <c r="J331" s="79">
        <v>59.463000000000001</v>
      </c>
      <c r="K331" s="79">
        <v>67.183999999999997</v>
      </c>
      <c r="L331" s="79">
        <v>78.418999999999997</v>
      </c>
      <c r="M331" s="79">
        <v>88.527000000000001</v>
      </c>
      <c r="N331" s="81">
        <v>99.39</v>
      </c>
      <c r="O331" s="57">
        <v>100</v>
      </c>
      <c r="P331" s="79">
        <v>111.74</v>
      </c>
      <c r="Q331" s="57">
        <v>115.7</v>
      </c>
      <c r="R331" s="57">
        <v>118.848</v>
      </c>
      <c r="S331" s="80">
        <v>119.399</v>
      </c>
      <c r="T331" s="63"/>
      <c r="AD331" s="57"/>
      <c r="AE331" s="57"/>
      <c r="AF331" s="57"/>
      <c r="AG331" s="57"/>
      <c r="AH331" s="57"/>
      <c r="AI331" s="57"/>
      <c r="AJ331" s="57"/>
      <c r="AK331" s="57"/>
      <c r="AL331" s="57"/>
      <c r="AM331" s="57"/>
      <c r="AN331" s="57"/>
      <c r="AO331" s="57"/>
    </row>
    <row r="332" spans="1:41">
      <c r="A332" s="55" t="s">
        <v>418</v>
      </c>
      <c r="B332" s="65" t="s">
        <v>344</v>
      </c>
      <c r="C332" s="79">
        <v>111.572</v>
      </c>
      <c r="D332" s="79">
        <v>93.272000000000006</v>
      </c>
      <c r="E332" s="79">
        <v>102.54900000000001</v>
      </c>
      <c r="F332" s="79">
        <v>106.86</v>
      </c>
      <c r="G332" s="79">
        <v>101.313</v>
      </c>
      <c r="H332" s="79">
        <v>100.944</v>
      </c>
      <c r="I332" s="79">
        <v>108.51300000000001</v>
      </c>
      <c r="J332" s="79">
        <v>102.339</v>
      </c>
      <c r="K332" s="79">
        <v>103.361</v>
      </c>
      <c r="L332" s="79">
        <v>120.13800000000001</v>
      </c>
      <c r="M332" s="79">
        <v>112.48399999999999</v>
      </c>
      <c r="N332" s="81">
        <v>119.845</v>
      </c>
      <c r="O332" s="57">
        <v>100</v>
      </c>
      <c r="P332" s="79">
        <v>102.238</v>
      </c>
      <c r="Q332" s="57">
        <v>98.19</v>
      </c>
      <c r="R332" s="57">
        <v>95.831999999999994</v>
      </c>
      <c r="S332" s="80">
        <v>96.960999999999999</v>
      </c>
      <c r="T332" s="63"/>
      <c r="AD332" s="57"/>
      <c r="AE332" s="57"/>
      <c r="AF332" s="57"/>
      <c r="AG332" s="57"/>
      <c r="AH332" s="57"/>
      <c r="AI332" s="57"/>
      <c r="AJ332" s="57"/>
      <c r="AK332" s="57"/>
      <c r="AL332" s="57"/>
      <c r="AM332" s="57"/>
      <c r="AN332" s="57"/>
      <c r="AO332" s="57"/>
    </row>
    <row r="333" spans="1:41">
      <c r="A333" s="55" t="s">
        <v>418</v>
      </c>
      <c r="B333" s="65" t="s">
        <v>345</v>
      </c>
      <c r="C333" s="79">
        <v>183.73</v>
      </c>
      <c r="D333" s="79">
        <v>203.06</v>
      </c>
      <c r="E333" s="79">
        <v>215.44399999999999</v>
      </c>
      <c r="F333" s="79">
        <v>220.65</v>
      </c>
      <c r="G333" s="79">
        <v>199.565</v>
      </c>
      <c r="H333" s="79">
        <v>227.39599999999999</v>
      </c>
      <c r="I333" s="79">
        <v>246.75299999999999</v>
      </c>
      <c r="J333" s="79">
        <v>253.41800000000001</v>
      </c>
      <c r="K333" s="79">
        <v>267.47899999999998</v>
      </c>
      <c r="L333" s="79">
        <v>294.78699999999998</v>
      </c>
      <c r="M333" s="79">
        <v>281.66500000000002</v>
      </c>
      <c r="N333" s="81">
        <v>220.48400000000001</v>
      </c>
      <c r="O333" s="57">
        <v>100</v>
      </c>
      <c r="P333" s="79">
        <v>205.94900000000001</v>
      </c>
      <c r="Q333" s="57">
        <v>263.21300000000002</v>
      </c>
      <c r="R333" s="57">
        <v>286.38200000000001</v>
      </c>
      <c r="S333" s="80">
        <v>309.2</v>
      </c>
      <c r="T333" s="63"/>
      <c r="AD333" s="57"/>
      <c r="AE333" s="57"/>
      <c r="AF333" s="57"/>
      <c r="AG333" s="57"/>
      <c r="AH333" s="57"/>
      <c r="AI333" s="57"/>
      <c r="AJ333" s="57"/>
      <c r="AK333" s="57"/>
      <c r="AL333" s="57"/>
      <c r="AM333" s="57"/>
      <c r="AN333" s="57"/>
      <c r="AO333" s="57"/>
    </row>
    <row r="334" spans="1:41">
      <c r="A334" s="55" t="s">
        <v>418</v>
      </c>
      <c r="B334" s="65" t="s">
        <v>346</v>
      </c>
      <c r="C334" s="79">
        <v>84.894999999999996</v>
      </c>
      <c r="D334" s="79">
        <v>86.215000000000003</v>
      </c>
      <c r="E334" s="79">
        <v>90.97</v>
      </c>
      <c r="F334" s="79">
        <v>82.543000000000006</v>
      </c>
      <c r="G334" s="79">
        <v>84.087000000000003</v>
      </c>
      <c r="H334" s="79">
        <v>78.494</v>
      </c>
      <c r="I334" s="79">
        <v>74.94</v>
      </c>
      <c r="J334" s="79">
        <v>76.72</v>
      </c>
      <c r="K334" s="79">
        <v>88.138999999999996</v>
      </c>
      <c r="L334" s="79">
        <v>91.902000000000001</v>
      </c>
      <c r="M334" s="79">
        <v>108.09699999999999</v>
      </c>
      <c r="N334" s="81">
        <v>105.521</v>
      </c>
      <c r="O334" s="57">
        <v>100</v>
      </c>
      <c r="P334" s="79">
        <v>100.383</v>
      </c>
      <c r="Q334" s="57">
        <v>102.268</v>
      </c>
      <c r="R334" s="57">
        <v>101.374</v>
      </c>
      <c r="S334" s="80">
        <v>104.07599999999999</v>
      </c>
      <c r="T334" s="63"/>
      <c r="AD334" s="57"/>
      <c r="AE334" s="57"/>
      <c r="AF334" s="57"/>
      <c r="AG334" s="57"/>
      <c r="AH334" s="57"/>
      <c r="AI334" s="57"/>
      <c r="AJ334" s="57"/>
      <c r="AK334" s="57"/>
      <c r="AL334" s="57"/>
      <c r="AM334" s="57"/>
      <c r="AN334" s="57"/>
      <c r="AO334" s="57"/>
    </row>
    <row r="335" spans="1:41">
      <c r="A335" s="55" t="s">
        <v>418</v>
      </c>
      <c r="B335" s="65" t="s">
        <v>347</v>
      </c>
      <c r="C335" s="79">
        <v>160.34100000000001</v>
      </c>
      <c r="D335" s="79">
        <v>161.84800000000001</v>
      </c>
      <c r="E335" s="79">
        <v>169.749</v>
      </c>
      <c r="F335" s="79">
        <v>176.21</v>
      </c>
      <c r="G335" s="79">
        <v>158.12299999999999</v>
      </c>
      <c r="H335" s="79">
        <v>155.25399999999999</v>
      </c>
      <c r="I335" s="79">
        <v>151.774</v>
      </c>
      <c r="J335" s="79">
        <v>163.11600000000001</v>
      </c>
      <c r="K335" s="79">
        <v>171.47200000000001</v>
      </c>
      <c r="L335" s="79">
        <v>174.59399999999999</v>
      </c>
      <c r="M335" s="79">
        <v>158.59</v>
      </c>
      <c r="N335" s="81">
        <v>136.262</v>
      </c>
      <c r="O335" s="57">
        <v>100</v>
      </c>
      <c r="P335" s="79">
        <v>100.831</v>
      </c>
      <c r="Q335" s="57">
        <v>102.02200000000001</v>
      </c>
      <c r="R335" s="57">
        <v>104.20399999999999</v>
      </c>
      <c r="S335" s="80">
        <v>107.42</v>
      </c>
      <c r="T335" s="63"/>
      <c r="AD335" s="57"/>
      <c r="AE335" s="57"/>
      <c r="AF335" s="57"/>
      <c r="AG335" s="57"/>
      <c r="AH335" s="57"/>
      <c r="AI335" s="57"/>
      <c r="AJ335" s="57"/>
      <c r="AK335" s="57"/>
      <c r="AL335" s="57"/>
      <c r="AM335" s="57"/>
      <c r="AN335" s="57"/>
      <c r="AO335" s="57"/>
    </row>
    <row r="336" spans="1:41">
      <c r="A336" s="55" t="s">
        <v>418</v>
      </c>
      <c r="B336" s="65" t="s">
        <v>348</v>
      </c>
      <c r="C336" s="79">
        <v>70.67</v>
      </c>
      <c r="D336" s="79">
        <v>73.013000000000005</v>
      </c>
      <c r="E336" s="79">
        <v>75.207999999999998</v>
      </c>
      <c r="F336" s="79">
        <v>77.647000000000006</v>
      </c>
      <c r="G336" s="79">
        <v>73.132000000000005</v>
      </c>
      <c r="H336" s="79">
        <v>76.123000000000005</v>
      </c>
      <c r="I336" s="79">
        <v>77.108000000000004</v>
      </c>
      <c r="J336" s="79">
        <v>81.084999999999994</v>
      </c>
      <c r="K336" s="79">
        <v>84.838999999999999</v>
      </c>
      <c r="L336" s="79">
        <v>90.611999999999995</v>
      </c>
      <c r="M336" s="79">
        <v>92.097999999999999</v>
      </c>
      <c r="N336" s="81">
        <v>97.194999999999993</v>
      </c>
      <c r="O336" s="57">
        <v>100</v>
      </c>
      <c r="P336" s="79">
        <v>102.105</v>
      </c>
      <c r="Q336" s="57">
        <v>98.094999999999999</v>
      </c>
      <c r="R336" s="57">
        <v>96.974999999999994</v>
      </c>
      <c r="S336" s="80">
        <v>100.09</v>
      </c>
      <c r="AD336" s="57"/>
      <c r="AE336" s="57"/>
      <c r="AF336" s="57"/>
      <c r="AG336" s="57"/>
      <c r="AH336" s="57"/>
      <c r="AI336" s="57"/>
      <c r="AJ336" s="57"/>
      <c r="AK336" s="57"/>
      <c r="AL336" s="57"/>
      <c r="AM336" s="57"/>
      <c r="AN336" s="57"/>
      <c r="AO336" s="57"/>
    </row>
    <row r="337" spans="1:41">
      <c r="A337" s="55" t="s">
        <v>418</v>
      </c>
      <c r="B337" s="65" t="s">
        <v>349</v>
      </c>
      <c r="C337" s="79">
        <v>92.486999999999995</v>
      </c>
      <c r="D337" s="79">
        <v>92.501999999999995</v>
      </c>
      <c r="E337" s="79">
        <v>95.468999999999994</v>
      </c>
      <c r="F337" s="79">
        <v>94.676000000000002</v>
      </c>
      <c r="G337" s="79">
        <v>94.037000000000006</v>
      </c>
      <c r="H337" s="79">
        <v>93.757999999999996</v>
      </c>
      <c r="I337" s="79">
        <v>96.563000000000002</v>
      </c>
      <c r="J337" s="79">
        <v>102.7</v>
      </c>
      <c r="K337" s="79">
        <v>99.78</v>
      </c>
      <c r="L337" s="79">
        <v>102.31</v>
      </c>
      <c r="M337" s="79">
        <v>104.21</v>
      </c>
      <c r="N337" s="79">
        <v>99.034000000000006</v>
      </c>
      <c r="O337" s="57">
        <v>100</v>
      </c>
      <c r="P337" s="79">
        <v>98.992000000000004</v>
      </c>
      <c r="Q337" s="57">
        <v>93.075999999999993</v>
      </c>
      <c r="R337" s="57">
        <v>91.26</v>
      </c>
      <c r="S337" s="80">
        <v>92.233000000000004</v>
      </c>
      <c r="AD337" s="57"/>
      <c r="AE337" s="57"/>
      <c r="AF337" s="57"/>
      <c r="AG337" s="57"/>
      <c r="AH337" s="57"/>
      <c r="AI337" s="57"/>
      <c r="AJ337" s="57"/>
      <c r="AK337" s="57"/>
      <c r="AL337" s="57"/>
      <c r="AM337" s="57"/>
      <c r="AN337" s="57"/>
      <c r="AO337" s="57"/>
    </row>
    <row r="338" spans="1:41">
      <c r="A338" s="55" t="s">
        <v>418</v>
      </c>
      <c r="B338" s="65" t="s">
        <v>350</v>
      </c>
      <c r="C338" s="79">
        <v>84.286000000000001</v>
      </c>
      <c r="D338" s="79">
        <v>84.266999999999996</v>
      </c>
      <c r="E338" s="79">
        <v>86.997</v>
      </c>
      <c r="F338" s="79">
        <v>86.298000000000002</v>
      </c>
      <c r="G338" s="79">
        <v>87.82</v>
      </c>
      <c r="H338" s="79">
        <v>83.418000000000006</v>
      </c>
      <c r="I338" s="79">
        <v>86.1</v>
      </c>
      <c r="J338" s="79">
        <v>87.674000000000007</v>
      </c>
      <c r="K338" s="79">
        <v>87.227000000000004</v>
      </c>
      <c r="L338" s="79">
        <v>96.944000000000003</v>
      </c>
      <c r="M338" s="79">
        <v>97.218000000000004</v>
      </c>
      <c r="N338" s="81">
        <v>92.653999999999996</v>
      </c>
      <c r="O338" s="57">
        <v>100</v>
      </c>
      <c r="P338" s="79">
        <v>95.956000000000003</v>
      </c>
      <c r="Q338" s="57">
        <v>92.674000000000007</v>
      </c>
      <c r="R338" s="57">
        <v>89.804000000000002</v>
      </c>
      <c r="S338" s="80">
        <v>90.453999999999994</v>
      </c>
      <c r="T338" s="63"/>
      <c r="AD338" s="57"/>
      <c r="AE338" s="57"/>
      <c r="AF338" s="57"/>
      <c r="AG338" s="57"/>
      <c r="AH338" s="57"/>
      <c r="AI338" s="57"/>
      <c r="AJ338" s="57"/>
      <c r="AK338" s="57"/>
      <c r="AL338" s="57"/>
      <c r="AM338" s="57"/>
      <c r="AN338" s="57"/>
      <c r="AO338" s="57"/>
    </row>
    <row r="339" spans="1:41">
      <c r="A339" s="55" t="s">
        <v>418</v>
      </c>
      <c r="B339" s="65" t="s">
        <v>351</v>
      </c>
      <c r="C339" s="79">
        <v>198.00299999999999</v>
      </c>
      <c r="D339" s="79">
        <v>195.90299999999999</v>
      </c>
      <c r="E339" s="79">
        <v>196.28100000000001</v>
      </c>
      <c r="F339" s="79">
        <v>196.381</v>
      </c>
      <c r="G339" s="79">
        <v>171.435</v>
      </c>
      <c r="H339" s="79">
        <v>163.88499999999999</v>
      </c>
      <c r="I339" s="79">
        <v>137.828</v>
      </c>
      <c r="J339" s="79">
        <v>165.59</v>
      </c>
      <c r="K339" s="79">
        <v>147.179</v>
      </c>
      <c r="L339" s="79">
        <v>140.01499999999999</v>
      </c>
      <c r="M339" s="79">
        <v>134.76400000000001</v>
      </c>
      <c r="N339" s="81">
        <v>126.529</v>
      </c>
      <c r="O339" s="57">
        <v>100</v>
      </c>
      <c r="P339" s="79">
        <v>102.905</v>
      </c>
      <c r="Q339" s="57">
        <v>88.566000000000003</v>
      </c>
      <c r="R339" s="57">
        <v>98.774000000000001</v>
      </c>
      <c r="S339" s="80">
        <v>103.173</v>
      </c>
      <c r="T339" s="63"/>
      <c r="AD339" s="57"/>
      <c r="AE339" s="57"/>
      <c r="AF339" s="57"/>
      <c r="AG339" s="57"/>
      <c r="AH339" s="57"/>
      <c r="AI339" s="57"/>
      <c r="AJ339" s="57"/>
      <c r="AK339" s="57"/>
      <c r="AL339" s="57"/>
      <c r="AM339" s="57"/>
      <c r="AN339" s="57"/>
      <c r="AO339" s="57"/>
    </row>
    <row r="340" spans="1:41">
      <c r="A340" s="55" t="s">
        <v>418</v>
      </c>
      <c r="B340" s="65" t="s">
        <v>352</v>
      </c>
      <c r="C340" s="79">
        <v>235.898</v>
      </c>
      <c r="D340" s="79">
        <v>211.56899999999999</v>
      </c>
      <c r="E340" s="79">
        <v>196.21700000000001</v>
      </c>
      <c r="F340" s="79">
        <v>198.00399999999999</v>
      </c>
      <c r="G340" s="79">
        <v>176.09</v>
      </c>
      <c r="H340" s="79">
        <v>165.345</v>
      </c>
      <c r="I340" s="79">
        <v>142.99600000000001</v>
      </c>
      <c r="J340" s="79">
        <v>138.137</v>
      </c>
      <c r="K340" s="79">
        <v>133.82499999999999</v>
      </c>
      <c r="L340" s="79">
        <v>126.794</v>
      </c>
      <c r="M340" s="79">
        <v>118.908</v>
      </c>
      <c r="N340" s="81">
        <v>118.386</v>
      </c>
      <c r="O340" s="57">
        <v>100</v>
      </c>
      <c r="P340" s="79">
        <v>108.98</v>
      </c>
      <c r="Q340" s="57">
        <v>105.84</v>
      </c>
      <c r="R340" s="57">
        <v>105.214</v>
      </c>
      <c r="S340" s="80">
        <v>105.54</v>
      </c>
      <c r="T340" s="63"/>
      <c r="AD340" s="57"/>
      <c r="AE340" s="57"/>
      <c r="AF340" s="57"/>
      <c r="AG340" s="57"/>
      <c r="AH340" s="57"/>
      <c r="AI340" s="57"/>
      <c r="AJ340" s="57"/>
      <c r="AK340" s="57"/>
      <c r="AL340" s="57"/>
      <c r="AM340" s="57"/>
      <c r="AN340" s="57"/>
      <c r="AO340" s="57"/>
    </row>
    <row r="341" spans="1:41">
      <c r="A341" s="55" t="s">
        <v>418</v>
      </c>
      <c r="B341" s="65" t="s">
        <v>353</v>
      </c>
      <c r="C341" s="79">
        <v>136.77199999999999</v>
      </c>
      <c r="D341" s="79">
        <v>126.46899999999999</v>
      </c>
      <c r="E341" s="79">
        <v>132.149</v>
      </c>
      <c r="F341" s="79">
        <v>124.006</v>
      </c>
      <c r="G341" s="79">
        <v>106.771</v>
      </c>
      <c r="H341" s="79">
        <v>109.872</v>
      </c>
      <c r="I341" s="79">
        <v>107.875</v>
      </c>
      <c r="J341" s="79">
        <v>115.09</v>
      </c>
      <c r="K341" s="79">
        <v>110.90300000000001</v>
      </c>
      <c r="L341" s="79">
        <v>117.042</v>
      </c>
      <c r="M341" s="79">
        <v>109.78700000000001</v>
      </c>
      <c r="N341" s="81">
        <v>95.896000000000001</v>
      </c>
      <c r="O341" s="57">
        <v>100</v>
      </c>
      <c r="P341" s="79">
        <v>91.278000000000006</v>
      </c>
      <c r="Q341" s="57">
        <v>86.763999999999996</v>
      </c>
      <c r="R341" s="57">
        <v>85.388999999999996</v>
      </c>
      <c r="S341" s="80">
        <v>81.545000000000002</v>
      </c>
      <c r="T341" s="63"/>
      <c r="AD341" s="57"/>
      <c r="AE341" s="57"/>
      <c r="AF341" s="57"/>
      <c r="AG341" s="57"/>
      <c r="AH341" s="57"/>
      <c r="AI341" s="57"/>
      <c r="AJ341" s="57"/>
      <c r="AK341" s="57"/>
      <c r="AL341" s="57"/>
      <c r="AM341" s="57"/>
      <c r="AN341" s="57"/>
      <c r="AO341" s="57"/>
    </row>
    <row r="342" spans="1:41">
      <c r="A342" s="55" t="s">
        <v>418</v>
      </c>
      <c r="B342" s="65" t="s">
        <v>354</v>
      </c>
      <c r="C342" s="79">
        <v>98.840999999999994</v>
      </c>
      <c r="D342" s="79">
        <v>98.917000000000002</v>
      </c>
      <c r="E342" s="79">
        <v>100.063</v>
      </c>
      <c r="F342" s="79">
        <v>103.699</v>
      </c>
      <c r="G342" s="79">
        <v>104.07</v>
      </c>
      <c r="H342" s="79">
        <v>108.815</v>
      </c>
      <c r="I342" s="79">
        <v>109.572</v>
      </c>
      <c r="J342" s="79">
        <v>112.08</v>
      </c>
      <c r="K342" s="79">
        <v>113.56399999999999</v>
      </c>
      <c r="L342" s="79">
        <v>115.626</v>
      </c>
      <c r="M342" s="79">
        <v>118.819</v>
      </c>
      <c r="N342" s="81">
        <v>115.812</v>
      </c>
      <c r="O342" s="57">
        <v>100</v>
      </c>
      <c r="P342" s="79">
        <v>101.148</v>
      </c>
      <c r="Q342" s="57">
        <v>103.30500000000001</v>
      </c>
      <c r="R342" s="57">
        <v>101.501</v>
      </c>
      <c r="S342" s="80">
        <v>100.58499999999999</v>
      </c>
      <c r="T342" s="63"/>
      <c r="AD342" s="57"/>
      <c r="AE342" s="57"/>
      <c r="AF342" s="57"/>
      <c r="AG342" s="57"/>
      <c r="AH342" s="57"/>
      <c r="AI342" s="57"/>
      <c r="AJ342" s="57"/>
      <c r="AK342" s="57"/>
      <c r="AL342" s="57"/>
      <c r="AM342" s="57"/>
      <c r="AN342" s="57"/>
      <c r="AO342" s="57"/>
    </row>
    <row r="343" spans="1:41">
      <c r="A343" s="55" t="s">
        <v>418</v>
      </c>
      <c r="B343" s="65" t="s">
        <v>355</v>
      </c>
      <c r="C343" s="79">
        <v>63.975999999999999</v>
      </c>
      <c r="D343" s="79">
        <v>72.05</v>
      </c>
      <c r="E343" s="79">
        <v>67.825000000000003</v>
      </c>
      <c r="F343" s="79">
        <v>66.215000000000003</v>
      </c>
      <c r="G343" s="79">
        <v>81.89</v>
      </c>
      <c r="H343" s="79">
        <v>75.125</v>
      </c>
      <c r="I343" s="79">
        <v>100.53700000000001</v>
      </c>
      <c r="J343" s="79">
        <v>112.373</v>
      </c>
      <c r="K343" s="79">
        <v>111.209</v>
      </c>
      <c r="L343" s="79">
        <v>95.272999999999996</v>
      </c>
      <c r="M343" s="79">
        <v>96.504000000000005</v>
      </c>
      <c r="N343" s="81">
        <v>103.485</v>
      </c>
      <c r="O343" s="57">
        <v>100</v>
      </c>
      <c r="P343" s="79">
        <v>85.953000000000003</v>
      </c>
      <c r="Q343" s="57">
        <v>73.760000000000005</v>
      </c>
      <c r="R343" s="57">
        <v>73.481999999999999</v>
      </c>
      <c r="S343" s="80">
        <v>78.637</v>
      </c>
      <c r="T343" s="63"/>
      <c r="AD343" s="57"/>
      <c r="AE343" s="57"/>
      <c r="AF343" s="57"/>
      <c r="AG343" s="57"/>
      <c r="AH343" s="57"/>
      <c r="AI343" s="57"/>
      <c r="AJ343" s="57"/>
      <c r="AK343" s="57"/>
      <c r="AL343" s="57"/>
      <c r="AM343" s="57"/>
      <c r="AN343" s="57"/>
      <c r="AO343" s="57"/>
    </row>
    <row r="344" spans="1:41">
      <c r="A344" s="55" t="s">
        <v>418</v>
      </c>
      <c r="B344" s="65" t="s">
        <v>356</v>
      </c>
      <c r="C344" s="79">
        <v>80.823999999999998</v>
      </c>
      <c r="D344" s="79">
        <v>80.239000000000004</v>
      </c>
      <c r="E344" s="79">
        <v>85.438000000000002</v>
      </c>
      <c r="F344" s="79">
        <v>84.881</v>
      </c>
      <c r="G344" s="79">
        <v>83.972999999999999</v>
      </c>
      <c r="H344" s="79">
        <v>89.32</v>
      </c>
      <c r="I344" s="79">
        <v>89.418999999999997</v>
      </c>
      <c r="J344" s="79">
        <v>96.853999999999999</v>
      </c>
      <c r="K344" s="79">
        <v>91.766999999999996</v>
      </c>
      <c r="L344" s="79">
        <v>101.569</v>
      </c>
      <c r="M344" s="79">
        <v>107.503</v>
      </c>
      <c r="N344" s="81">
        <v>98.287000000000006</v>
      </c>
      <c r="O344" s="57">
        <v>100</v>
      </c>
      <c r="P344" s="79">
        <v>106.48099999999999</v>
      </c>
      <c r="Q344" s="57">
        <v>100.322</v>
      </c>
      <c r="R344" s="57">
        <v>96.372</v>
      </c>
      <c r="S344" s="80">
        <v>95.772000000000006</v>
      </c>
      <c r="T344" s="63"/>
      <c r="AD344" s="57"/>
      <c r="AE344" s="57"/>
      <c r="AF344" s="57"/>
      <c r="AG344" s="57"/>
      <c r="AH344" s="57"/>
      <c r="AI344" s="57"/>
      <c r="AJ344" s="57"/>
      <c r="AK344" s="57"/>
      <c r="AL344" s="57"/>
      <c r="AM344" s="57"/>
      <c r="AN344" s="57"/>
      <c r="AO344" s="57"/>
    </row>
    <row r="345" spans="1:41">
      <c r="A345" s="55" t="s">
        <v>418</v>
      </c>
      <c r="B345" s="65" t="s">
        <v>357</v>
      </c>
      <c r="C345" s="79">
        <v>112.953</v>
      </c>
      <c r="D345" s="79">
        <v>118.489</v>
      </c>
      <c r="E345" s="79">
        <v>126.172</v>
      </c>
      <c r="F345" s="79">
        <v>127.619</v>
      </c>
      <c r="G345" s="79">
        <v>120.68300000000001</v>
      </c>
      <c r="H345" s="79">
        <v>118.562</v>
      </c>
      <c r="I345" s="79">
        <v>120.702</v>
      </c>
      <c r="J345" s="79">
        <v>127.551</v>
      </c>
      <c r="K345" s="79">
        <v>123.312</v>
      </c>
      <c r="L345" s="79">
        <v>113.61199999999999</v>
      </c>
      <c r="M345" s="79">
        <v>115.657</v>
      </c>
      <c r="N345" s="81">
        <v>100.648</v>
      </c>
      <c r="O345" s="57">
        <v>100</v>
      </c>
      <c r="P345" s="79">
        <v>106.17</v>
      </c>
      <c r="Q345" s="57">
        <v>104.705</v>
      </c>
      <c r="R345" s="57">
        <v>109.517</v>
      </c>
      <c r="S345" s="80">
        <v>110.179</v>
      </c>
      <c r="AD345" s="57"/>
      <c r="AE345" s="57"/>
      <c r="AF345" s="57"/>
      <c r="AG345" s="57"/>
      <c r="AH345" s="57"/>
      <c r="AI345" s="57"/>
      <c r="AJ345" s="57"/>
      <c r="AK345" s="57"/>
      <c r="AL345" s="57"/>
      <c r="AM345" s="57"/>
      <c r="AN345" s="57"/>
      <c r="AO345" s="57"/>
    </row>
    <row r="346" spans="1:41">
      <c r="A346" s="55" t="s">
        <v>418</v>
      </c>
      <c r="B346" s="65" t="s">
        <v>358</v>
      </c>
      <c r="C346" s="79">
        <v>75.364999999999995</v>
      </c>
      <c r="D346" s="79">
        <v>81.703000000000003</v>
      </c>
      <c r="E346" s="79">
        <v>84.813000000000002</v>
      </c>
      <c r="F346" s="79">
        <v>90.016999999999996</v>
      </c>
      <c r="G346" s="79">
        <v>91.656999999999996</v>
      </c>
      <c r="H346" s="79">
        <v>91.998999999999995</v>
      </c>
      <c r="I346" s="79">
        <v>97.468000000000004</v>
      </c>
      <c r="J346" s="79">
        <v>102.785</v>
      </c>
      <c r="K346" s="79">
        <v>108.123</v>
      </c>
      <c r="L346" s="79">
        <v>112.215</v>
      </c>
      <c r="M346" s="79">
        <v>115.998</v>
      </c>
      <c r="N346" s="79">
        <v>114.661</v>
      </c>
      <c r="O346" s="57">
        <v>100</v>
      </c>
      <c r="P346" s="79">
        <v>103.099</v>
      </c>
      <c r="Q346" s="57">
        <v>105.249</v>
      </c>
      <c r="R346" s="57">
        <v>108.607</v>
      </c>
      <c r="S346" s="80">
        <v>110.30200000000001</v>
      </c>
      <c r="AD346" s="57"/>
      <c r="AE346" s="57"/>
      <c r="AF346" s="57"/>
      <c r="AG346" s="57"/>
      <c r="AH346" s="57"/>
      <c r="AI346" s="57"/>
      <c r="AJ346" s="57"/>
      <c r="AK346" s="57"/>
      <c r="AL346" s="57"/>
      <c r="AM346" s="57"/>
      <c r="AN346" s="57"/>
      <c r="AO346" s="57"/>
    </row>
    <row r="347" spans="1:41">
      <c r="A347" s="55" t="s">
        <v>418</v>
      </c>
      <c r="B347" s="65" t="s">
        <v>359</v>
      </c>
      <c r="C347" s="79">
        <v>79.799000000000007</v>
      </c>
      <c r="D347" s="79">
        <v>87.302000000000007</v>
      </c>
      <c r="E347" s="79">
        <v>90.215000000000003</v>
      </c>
      <c r="F347" s="79">
        <v>92.944000000000003</v>
      </c>
      <c r="G347" s="79">
        <v>95.563999999999993</v>
      </c>
      <c r="H347" s="79">
        <v>99.156999999999996</v>
      </c>
      <c r="I347" s="79">
        <v>104.824</v>
      </c>
      <c r="J347" s="79">
        <v>106.334</v>
      </c>
      <c r="K347" s="79">
        <v>109.848</v>
      </c>
      <c r="L347" s="79">
        <v>110.413</v>
      </c>
      <c r="M347" s="79">
        <v>107.36799999999999</v>
      </c>
      <c r="N347" s="79">
        <v>102.88200000000001</v>
      </c>
      <c r="O347" s="57">
        <v>100</v>
      </c>
      <c r="P347" s="79">
        <v>102.379</v>
      </c>
      <c r="Q347" s="57">
        <v>103.01300000000001</v>
      </c>
      <c r="R347" s="57">
        <v>104.717</v>
      </c>
      <c r="S347" s="80">
        <v>107.208</v>
      </c>
      <c r="T347" s="63"/>
      <c r="AD347" s="57"/>
      <c r="AE347" s="57"/>
      <c r="AF347" s="57"/>
      <c r="AG347" s="57"/>
      <c r="AH347" s="57"/>
      <c r="AI347" s="57"/>
      <c r="AJ347" s="57"/>
      <c r="AK347" s="57"/>
      <c r="AL347" s="57"/>
      <c r="AM347" s="57"/>
      <c r="AN347" s="57"/>
      <c r="AO347" s="57"/>
    </row>
    <row r="348" spans="1:41">
      <c r="A348" s="55" t="s">
        <v>418</v>
      </c>
      <c r="B348" s="68" t="s">
        <v>438</v>
      </c>
      <c r="C348" s="79">
        <v>118.104</v>
      </c>
      <c r="D348" s="79">
        <v>118.93300000000001</v>
      </c>
      <c r="E348" s="79">
        <v>124.66</v>
      </c>
      <c r="F348" s="79">
        <v>124.863</v>
      </c>
      <c r="G348" s="79">
        <v>123.80800000000001</v>
      </c>
      <c r="H348" s="79">
        <v>123.45</v>
      </c>
      <c r="I348" s="79">
        <v>123.59099999999999</v>
      </c>
      <c r="J348" s="79">
        <v>127.577</v>
      </c>
      <c r="K348" s="79">
        <v>126.791</v>
      </c>
      <c r="L348" s="79">
        <v>124.184</v>
      </c>
      <c r="M348" s="79">
        <v>123.78700000000001</v>
      </c>
      <c r="N348" s="79">
        <v>114.85899999999999</v>
      </c>
      <c r="O348" s="57">
        <v>100</v>
      </c>
      <c r="P348" s="79">
        <v>107.634</v>
      </c>
      <c r="Q348" s="57">
        <v>109.74299999999999</v>
      </c>
      <c r="R348" s="57">
        <v>118.994</v>
      </c>
      <c r="S348" s="80">
        <v>128.99199999999999</v>
      </c>
      <c r="T348" s="63"/>
      <c r="AD348" s="57"/>
      <c r="AE348" s="57"/>
      <c r="AF348" s="57"/>
      <c r="AG348" s="57"/>
      <c r="AH348" s="57"/>
      <c r="AI348" s="57"/>
      <c r="AJ348" s="57"/>
      <c r="AK348" s="57"/>
      <c r="AL348" s="57"/>
      <c r="AM348" s="57"/>
      <c r="AN348" s="57"/>
      <c r="AO348" s="57"/>
    </row>
    <row r="349" spans="1:41">
      <c r="A349" s="55" t="s">
        <v>418</v>
      </c>
      <c r="B349" s="68" t="s">
        <v>439</v>
      </c>
      <c r="C349" s="79">
        <v>108.03700000000001</v>
      </c>
      <c r="D349" s="79">
        <v>115.798</v>
      </c>
      <c r="E349" s="79">
        <v>115.509</v>
      </c>
      <c r="F349" s="79">
        <v>115.381</v>
      </c>
      <c r="G349" s="79">
        <v>116.11799999999999</v>
      </c>
      <c r="H349" s="79">
        <v>116.46299999999999</v>
      </c>
      <c r="I349" s="79">
        <v>114.935</v>
      </c>
      <c r="J349" s="79">
        <v>111.31</v>
      </c>
      <c r="K349" s="79">
        <v>108.79</v>
      </c>
      <c r="L349" s="79">
        <v>109.11799999999999</v>
      </c>
      <c r="M349" s="79">
        <v>103.73099999999999</v>
      </c>
      <c r="N349" s="81">
        <v>100.477</v>
      </c>
      <c r="O349" s="57">
        <v>100</v>
      </c>
      <c r="P349" s="79">
        <v>106.541</v>
      </c>
      <c r="Q349" s="57">
        <v>101.285</v>
      </c>
      <c r="R349" s="57">
        <v>98.683999999999997</v>
      </c>
      <c r="S349" s="80">
        <v>99.468000000000004</v>
      </c>
      <c r="T349" s="63"/>
      <c r="AD349" s="57"/>
      <c r="AE349" s="57"/>
      <c r="AF349" s="57"/>
      <c r="AG349" s="57"/>
      <c r="AH349" s="57"/>
      <c r="AI349" s="57"/>
      <c r="AJ349" s="57"/>
      <c r="AK349" s="57"/>
      <c r="AL349" s="57"/>
      <c r="AM349" s="57"/>
      <c r="AN349" s="57"/>
      <c r="AO349" s="57"/>
    </row>
    <row r="350" spans="1:41">
      <c r="A350" s="55" t="s">
        <v>418</v>
      </c>
      <c r="B350" s="68" t="s">
        <v>440</v>
      </c>
      <c r="C350" s="79">
        <v>60.777000000000001</v>
      </c>
      <c r="D350" s="79">
        <v>66.343000000000004</v>
      </c>
      <c r="E350" s="79">
        <v>69.453999999999994</v>
      </c>
      <c r="F350" s="79">
        <v>74.516000000000005</v>
      </c>
      <c r="G350" s="79">
        <v>76.605000000000004</v>
      </c>
      <c r="H350" s="79">
        <v>81.400000000000006</v>
      </c>
      <c r="I350" s="79">
        <v>91.861999999999995</v>
      </c>
      <c r="J350" s="79">
        <v>93.539000000000001</v>
      </c>
      <c r="K350" s="79">
        <v>98.74</v>
      </c>
      <c r="L350" s="79">
        <v>95.891999999999996</v>
      </c>
      <c r="M350" s="79">
        <v>93.957999999999998</v>
      </c>
      <c r="N350" s="81">
        <v>92.757000000000005</v>
      </c>
      <c r="O350" s="57">
        <v>100</v>
      </c>
      <c r="P350" s="79">
        <v>91.340999999999994</v>
      </c>
      <c r="Q350" s="57">
        <v>93.281000000000006</v>
      </c>
      <c r="R350" s="57">
        <v>84.478999999999999</v>
      </c>
      <c r="S350" s="80">
        <v>85.682000000000002</v>
      </c>
      <c r="T350" s="63"/>
      <c r="AD350" s="57"/>
      <c r="AE350" s="57"/>
      <c r="AF350" s="57"/>
      <c r="AG350" s="57"/>
      <c r="AH350" s="57"/>
      <c r="AI350" s="57"/>
      <c r="AJ350" s="57"/>
      <c r="AK350" s="57"/>
      <c r="AL350" s="57"/>
      <c r="AM350" s="57"/>
      <c r="AN350" s="57"/>
      <c r="AO350" s="57"/>
    </row>
    <row r="351" spans="1:41">
      <c r="A351" s="55" t="s">
        <v>418</v>
      </c>
      <c r="B351" s="68" t="s">
        <v>441</v>
      </c>
      <c r="C351" s="79">
        <v>67.944999999999993</v>
      </c>
      <c r="D351" s="79">
        <v>77.63</v>
      </c>
      <c r="E351" s="79">
        <v>80.295000000000002</v>
      </c>
      <c r="F351" s="79">
        <v>83.5</v>
      </c>
      <c r="G351" s="79">
        <v>87.715000000000003</v>
      </c>
      <c r="H351" s="79">
        <v>92.805000000000007</v>
      </c>
      <c r="I351" s="79">
        <v>100.41200000000001</v>
      </c>
      <c r="J351" s="79">
        <v>102.43</v>
      </c>
      <c r="K351" s="79">
        <v>108.416</v>
      </c>
      <c r="L351" s="79">
        <v>111.179</v>
      </c>
      <c r="M351" s="79">
        <v>107.614</v>
      </c>
      <c r="N351" s="81">
        <v>103.105</v>
      </c>
      <c r="O351" s="57">
        <v>100</v>
      </c>
      <c r="P351" s="79">
        <v>103.014</v>
      </c>
      <c r="Q351" s="57">
        <v>104.514</v>
      </c>
      <c r="R351" s="57">
        <v>108.848</v>
      </c>
      <c r="S351" s="80">
        <v>110.048</v>
      </c>
      <c r="AD351" s="57"/>
      <c r="AE351" s="57"/>
      <c r="AF351" s="57"/>
      <c r="AG351" s="57"/>
      <c r="AH351" s="57"/>
      <c r="AI351" s="57"/>
      <c r="AJ351" s="57"/>
      <c r="AK351" s="57"/>
      <c r="AL351" s="57"/>
      <c r="AM351" s="57"/>
      <c r="AN351" s="57"/>
      <c r="AO351" s="57"/>
    </row>
    <row r="352" spans="1:41">
      <c r="A352" s="55" t="s">
        <v>418</v>
      </c>
      <c r="B352" s="65" t="s">
        <v>360</v>
      </c>
      <c r="C352" s="79">
        <v>89.623999999999995</v>
      </c>
      <c r="D352" s="79">
        <v>92.878</v>
      </c>
      <c r="E352" s="79">
        <v>93.718999999999994</v>
      </c>
      <c r="F352" s="79">
        <v>95.253</v>
      </c>
      <c r="G352" s="79">
        <v>88.885000000000005</v>
      </c>
      <c r="H352" s="79">
        <v>86.061999999999998</v>
      </c>
      <c r="I352" s="79">
        <v>89.55</v>
      </c>
      <c r="J352" s="79">
        <v>98.35</v>
      </c>
      <c r="K352" s="79">
        <v>103.914</v>
      </c>
      <c r="L352" s="79">
        <v>110.313</v>
      </c>
      <c r="M352" s="79">
        <v>108.93</v>
      </c>
      <c r="N352" s="81">
        <v>108.809</v>
      </c>
      <c r="O352" s="57">
        <v>100</v>
      </c>
      <c r="P352" s="79">
        <v>105.655</v>
      </c>
      <c r="Q352" s="57">
        <v>109.44499999999999</v>
      </c>
      <c r="R352" s="57">
        <v>109.709</v>
      </c>
      <c r="S352" s="80">
        <v>110.458</v>
      </c>
      <c r="T352" s="63"/>
      <c r="AD352" s="57"/>
      <c r="AE352" s="57"/>
      <c r="AF352" s="57"/>
      <c r="AG352" s="57"/>
      <c r="AH352" s="57"/>
      <c r="AI352" s="57"/>
      <c r="AJ352" s="57"/>
      <c r="AK352" s="57"/>
      <c r="AL352" s="57"/>
      <c r="AM352" s="57"/>
      <c r="AN352" s="57"/>
      <c r="AO352" s="57"/>
    </row>
    <row r="353" spans="1:41">
      <c r="A353" s="55" t="s">
        <v>418</v>
      </c>
      <c r="B353" s="65" t="s">
        <v>361</v>
      </c>
      <c r="C353" s="79">
        <v>129.726</v>
      </c>
      <c r="D353" s="79">
        <v>123.093</v>
      </c>
      <c r="E353" s="79">
        <v>122.422</v>
      </c>
      <c r="F353" s="79">
        <v>108.352</v>
      </c>
      <c r="G353" s="79">
        <v>75.311999999999998</v>
      </c>
      <c r="H353" s="79">
        <v>75.957999999999998</v>
      </c>
      <c r="I353" s="79">
        <v>81.326999999999998</v>
      </c>
      <c r="J353" s="79">
        <v>97.501999999999995</v>
      </c>
      <c r="K353" s="79">
        <v>103.623</v>
      </c>
      <c r="L353" s="79">
        <v>108.886</v>
      </c>
      <c r="M353" s="79">
        <v>117.134</v>
      </c>
      <c r="N353" s="81">
        <v>105.881</v>
      </c>
      <c r="O353" s="57">
        <v>100</v>
      </c>
      <c r="P353" s="79">
        <v>110.05800000000001</v>
      </c>
      <c r="Q353" s="57">
        <v>108.238</v>
      </c>
      <c r="R353" s="57">
        <v>101.389</v>
      </c>
      <c r="S353" s="80">
        <v>105.05200000000001</v>
      </c>
      <c r="T353" s="63"/>
      <c r="AD353" s="57"/>
      <c r="AE353" s="57"/>
      <c r="AF353" s="57"/>
      <c r="AG353" s="57"/>
      <c r="AH353" s="57"/>
      <c r="AI353" s="57"/>
      <c r="AJ353" s="57"/>
      <c r="AK353" s="57"/>
      <c r="AL353" s="57"/>
      <c r="AM353" s="57"/>
      <c r="AN353" s="57"/>
      <c r="AO353" s="57"/>
    </row>
    <row r="354" spans="1:41">
      <c r="A354" s="55" t="s">
        <v>418</v>
      </c>
      <c r="B354" s="65" t="s">
        <v>362</v>
      </c>
      <c r="C354" s="79">
        <v>93.831999999999994</v>
      </c>
      <c r="D354" s="79">
        <v>96.566999999999993</v>
      </c>
      <c r="E354" s="79">
        <v>100.548</v>
      </c>
      <c r="F354" s="79">
        <v>104.486</v>
      </c>
      <c r="G354" s="79">
        <v>100.752</v>
      </c>
      <c r="H354" s="79">
        <v>91.335999999999999</v>
      </c>
      <c r="I354" s="79">
        <v>99.153999999999996</v>
      </c>
      <c r="J354" s="79">
        <v>105.405</v>
      </c>
      <c r="K354" s="79">
        <v>107.29600000000001</v>
      </c>
      <c r="L354" s="79">
        <v>110.809</v>
      </c>
      <c r="M354" s="79">
        <v>109.376</v>
      </c>
      <c r="N354" s="81">
        <v>114.124</v>
      </c>
      <c r="O354" s="57">
        <v>100</v>
      </c>
      <c r="P354" s="79">
        <v>102.169</v>
      </c>
      <c r="Q354" s="57">
        <v>104.77</v>
      </c>
      <c r="R354" s="57">
        <v>107.89400000000001</v>
      </c>
      <c r="S354" s="80">
        <v>106.998</v>
      </c>
      <c r="T354" s="63"/>
      <c r="AD354" s="57"/>
      <c r="AE354" s="57"/>
      <c r="AF354" s="57"/>
      <c r="AG354" s="57"/>
      <c r="AH354" s="57"/>
      <c r="AI354" s="57"/>
      <c r="AJ354" s="57"/>
      <c r="AK354" s="57"/>
      <c r="AL354" s="57"/>
      <c r="AM354" s="57"/>
      <c r="AN354" s="57"/>
      <c r="AO354" s="57"/>
    </row>
    <row r="355" spans="1:41">
      <c r="A355" s="55" t="s">
        <v>418</v>
      </c>
      <c r="B355" s="65" t="s">
        <v>363</v>
      </c>
      <c r="C355" s="79">
        <v>35.000999999999998</v>
      </c>
      <c r="D355" s="79">
        <v>27.094000000000001</v>
      </c>
      <c r="E355" s="79">
        <v>22.43</v>
      </c>
      <c r="F355" s="79">
        <v>27.457999999999998</v>
      </c>
      <c r="G355" s="79">
        <v>25.484999999999999</v>
      </c>
      <c r="H355" s="79">
        <v>19.433</v>
      </c>
      <c r="I355" s="79">
        <v>20.094000000000001</v>
      </c>
      <c r="J355" s="79">
        <v>25.623999999999999</v>
      </c>
      <c r="K355" s="79">
        <v>33.521999999999998</v>
      </c>
      <c r="L355" s="79">
        <v>53.853999999999999</v>
      </c>
      <c r="M355" s="79">
        <v>70.92</v>
      </c>
      <c r="N355" s="81">
        <v>83.721999999999994</v>
      </c>
      <c r="O355" s="57">
        <v>100</v>
      </c>
      <c r="P355" s="79">
        <v>83.8</v>
      </c>
      <c r="Q355" s="57">
        <v>95.012</v>
      </c>
      <c r="R355" s="57">
        <v>102.773</v>
      </c>
      <c r="S355" s="80">
        <v>112.681</v>
      </c>
      <c r="T355" s="63"/>
      <c r="AD355" s="57"/>
      <c r="AE355" s="57"/>
      <c r="AF355" s="57"/>
      <c r="AG355" s="57"/>
      <c r="AH355" s="57"/>
      <c r="AI355" s="57"/>
      <c r="AJ355" s="57"/>
      <c r="AK355" s="57"/>
      <c r="AL355" s="57"/>
      <c r="AM355" s="57"/>
      <c r="AN355" s="57"/>
      <c r="AO355" s="57"/>
    </row>
    <row r="356" spans="1:41">
      <c r="A356" s="55" t="s">
        <v>418</v>
      </c>
      <c r="B356" s="65" t="s">
        <v>364</v>
      </c>
      <c r="C356" s="79">
        <v>98.462000000000003</v>
      </c>
      <c r="D356" s="79">
        <v>101.19799999999999</v>
      </c>
      <c r="E356" s="79">
        <v>106.236</v>
      </c>
      <c r="F356" s="79">
        <v>110.572</v>
      </c>
      <c r="G356" s="79">
        <v>103.542</v>
      </c>
      <c r="H356" s="79">
        <v>102.03100000000001</v>
      </c>
      <c r="I356" s="79">
        <v>104.866</v>
      </c>
      <c r="J356" s="79">
        <v>111.696</v>
      </c>
      <c r="K356" s="79">
        <v>115.504</v>
      </c>
      <c r="L356" s="79">
        <v>122.264</v>
      </c>
      <c r="M356" s="79">
        <v>118.61</v>
      </c>
      <c r="N356" s="81">
        <v>112.79900000000001</v>
      </c>
      <c r="O356" s="57">
        <v>100</v>
      </c>
      <c r="P356" s="79">
        <v>109.626</v>
      </c>
      <c r="Q356" s="57">
        <v>118.646</v>
      </c>
      <c r="R356" s="57">
        <v>120.363</v>
      </c>
      <c r="S356" s="80">
        <v>120.111</v>
      </c>
      <c r="T356" s="63"/>
      <c r="AD356" s="57"/>
      <c r="AE356" s="57"/>
      <c r="AF356" s="57"/>
      <c r="AG356" s="57"/>
      <c r="AH356" s="57"/>
      <c r="AI356" s="57"/>
      <c r="AJ356" s="57"/>
      <c r="AK356" s="57"/>
      <c r="AL356" s="57"/>
      <c r="AM356" s="57"/>
      <c r="AN356" s="57"/>
      <c r="AO356" s="57"/>
    </row>
    <row r="357" spans="1:41">
      <c r="A357" s="55" t="s">
        <v>418</v>
      </c>
      <c r="B357" s="65" t="s">
        <v>365</v>
      </c>
      <c r="C357" s="79">
        <v>87.763000000000005</v>
      </c>
      <c r="D357" s="79">
        <v>91.617999999999995</v>
      </c>
      <c r="E357" s="79">
        <v>100.158</v>
      </c>
      <c r="F357" s="79">
        <v>102.788</v>
      </c>
      <c r="G357" s="79">
        <v>101.80200000000001</v>
      </c>
      <c r="H357" s="79">
        <v>101.151</v>
      </c>
      <c r="I357" s="79">
        <v>103.63500000000001</v>
      </c>
      <c r="J357" s="79">
        <v>107.32</v>
      </c>
      <c r="K357" s="79">
        <v>106.754</v>
      </c>
      <c r="L357" s="79">
        <v>111.745</v>
      </c>
      <c r="M357" s="79">
        <v>112.02800000000001</v>
      </c>
      <c r="N357" s="79">
        <v>110.46599999999999</v>
      </c>
      <c r="O357" s="57">
        <v>100</v>
      </c>
      <c r="P357" s="79">
        <v>100.425</v>
      </c>
      <c r="Q357" s="57">
        <v>103.45399999999999</v>
      </c>
      <c r="R357" s="57">
        <v>100.03400000000001</v>
      </c>
      <c r="S357" s="80">
        <v>97.394999999999996</v>
      </c>
      <c r="T357" s="63"/>
      <c r="AD357" s="57"/>
      <c r="AE357" s="57"/>
      <c r="AF357" s="57"/>
      <c r="AG357" s="57"/>
      <c r="AH357" s="57"/>
      <c r="AI357" s="57"/>
      <c r="AJ357" s="57"/>
      <c r="AK357" s="57"/>
      <c r="AL357" s="57"/>
      <c r="AM357" s="57"/>
      <c r="AN357" s="57"/>
      <c r="AO357" s="57"/>
    </row>
    <row r="358" spans="1:41">
      <c r="A358" s="55" t="s">
        <v>418</v>
      </c>
      <c r="B358" s="65" t="s">
        <v>366</v>
      </c>
      <c r="C358" s="79">
        <v>47.134</v>
      </c>
      <c r="D358" s="79">
        <v>64.623000000000005</v>
      </c>
      <c r="E358" s="79">
        <v>74.850999999999999</v>
      </c>
      <c r="F358" s="79">
        <v>74.683000000000007</v>
      </c>
      <c r="G358" s="79">
        <v>119.90900000000001</v>
      </c>
      <c r="H358" s="79">
        <v>74.224000000000004</v>
      </c>
      <c r="I358" s="79">
        <v>84.54</v>
      </c>
      <c r="J358" s="79">
        <v>91.206000000000003</v>
      </c>
      <c r="K358" s="79">
        <v>90.858000000000004</v>
      </c>
      <c r="L358" s="79">
        <v>93.028000000000006</v>
      </c>
      <c r="M358" s="79">
        <v>110.14100000000001</v>
      </c>
      <c r="N358" s="81">
        <v>138.96700000000001</v>
      </c>
      <c r="O358" s="57">
        <v>100</v>
      </c>
      <c r="P358" s="79">
        <v>123.51900000000001</v>
      </c>
      <c r="Q358" s="57">
        <v>126.428</v>
      </c>
      <c r="R358" s="57">
        <v>128.48099999999999</v>
      </c>
      <c r="S358" s="80">
        <v>121.13200000000001</v>
      </c>
      <c r="T358" s="63"/>
      <c r="AD358" s="57"/>
      <c r="AE358" s="57"/>
      <c r="AF358" s="57"/>
      <c r="AG358" s="57"/>
      <c r="AH358" s="57"/>
      <c r="AI358" s="57"/>
      <c r="AJ358" s="57"/>
      <c r="AK358" s="57"/>
      <c r="AL358" s="57"/>
      <c r="AM358" s="57"/>
      <c r="AN358" s="57"/>
      <c r="AO358" s="57"/>
    </row>
    <row r="359" spans="1:41">
      <c r="A359" s="55" t="s">
        <v>418</v>
      </c>
      <c r="B359" s="65" t="s">
        <v>367</v>
      </c>
      <c r="C359" s="79">
        <v>90.323999999999998</v>
      </c>
      <c r="D359" s="79">
        <v>97.611000000000004</v>
      </c>
      <c r="E359" s="79">
        <v>92.212000000000003</v>
      </c>
      <c r="F359" s="79">
        <v>97.266000000000005</v>
      </c>
      <c r="G359" s="79">
        <v>98.676000000000002</v>
      </c>
      <c r="H359" s="79">
        <v>100.65</v>
      </c>
      <c r="I359" s="79">
        <v>100.917</v>
      </c>
      <c r="J359" s="79">
        <v>106.976</v>
      </c>
      <c r="K359" s="79">
        <v>113.592</v>
      </c>
      <c r="L359" s="79">
        <v>117.34099999999999</v>
      </c>
      <c r="M359" s="79">
        <v>105.736</v>
      </c>
      <c r="N359" s="81">
        <v>108.86199999999999</v>
      </c>
      <c r="O359" s="57">
        <v>100</v>
      </c>
      <c r="P359" s="79">
        <v>102.952</v>
      </c>
      <c r="Q359" s="57">
        <v>103.587</v>
      </c>
      <c r="R359" s="57">
        <v>102.254</v>
      </c>
      <c r="S359" s="80">
        <v>101.167</v>
      </c>
      <c r="T359" s="63"/>
      <c r="AD359" s="57"/>
      <c r="AE359" s="57"/>
      <c r="AF359" s="57"/>
      <c r="AG359" s="57"/>
      <c r="AH359" s="57"/>
      <c r="AI359" s="57"/>
      <c r="AJ359" s="57"/>
      <c r="AK359" s="57"/>
      <c r="AL359" s="57"/>
      <c r="AM359" s="57"/>
      <c r="AN359" s="57"/>
      <c r="AO359" s="57"/>
    </row>
    <row r="360" spans="1:41">
      <c r="A360" s="55" t="s">
        <v>418</v>
      </c>
      <c r="B360" s="65" t="s">
        <v>368</v>
      </c>
      <c r="C360" s="79">
        <v>55.524000000000001</v>
      </c>
      <c r="D360" s="79">
        <v>64.222999999999999</v>
      </c>
      <c r="E360" s="79">
        <v>62.296999999999997</v>
      </c>
      <c r="F360" s="79">
        <v>66.581999999999994</v>
      </c>
      <c r="G360" s="79">
        <v>63.182000000000002</v>
      </c>
      <c r="H360" s="79">
        <v>64.257000000000005</v>
      </c>
      <c r="I360" s="79">
        <v>69.131</v>
      </c>
      <c r="J360" s="79">
        <v>81.311999999999998</v>
      </c>
      <c r="K360" s="79">
        <v>92.95</v>
      </c>
      <c r="L360" s="79">
        <v>100.032</v>
      </c>
      <c r="M360" s="79">
        <v>94.941999999999993</v>
      </c>
      <c r="N360" s="81">
        <v>100.83199999999999</v>
      </c>
      <c r="O360" s="57">
        <v>100</v>
      </c>
      <c r="P360" s="79">
        <v>104.154</v>
      </c>
      <c r="Q360" s="57">
        <v>109.902</v>
      </c>
      <c r="R360" s="57">
        <v>119.124</v>
      </c>
      <c r="S360" s="80">
        <v>126.19199999999999</v>
      </c>
      <c r="AD360" s="57"/>
      <c r="AE360" s="57"/>
      <c r="AF360" s="57"/>
      <c r="AG360" s="57"/>
      <c r="AH360" s="57"/>
      <c r="AI360" s="57"/>
      <c r="AJ360" s="57"/>
      <c r="AK360" s="57"/>
      <c r="AL360" s="57"/>
      <c r="AM360" s="57"/>
      <c r="AN360" s="57"/>
      <c r="AO360" s="57"/>
    </row>
    <row r="361" spans="1:41">
      <c r="A361" s="55" t="s">
        <v>418</v>
      </c>
      <c r="B361" s="65" t="s">
        <v>369</v>
      </c>
      <c r="C361" s="79">
        <v>52.994999999999997</v>
      </c>
      <c r="D361" s="79">
        <v>58.012</v>
      </c>
      <c r="E361" s="79">
        <v>64.537999999999997</v>
      </c>
      <c r="F361" s="79">
        <v>63.055</v>
      </c>
      <c r="G361" s="79">
        <v>66.637</v>
      </c>
      <c r="H361" s="79">
        <v>73.069999999999993</v>
      </c>
      <c r="I361" s="79">
        <v>75.058000000000007</v>
      </c>
      <c r="J361" s="79">
        <v>83.364999999999995</v>
      </c>
      <c r="K361" s="79">
        <v>87.963999999999999</v>
      </c>
      <c r="L361" s="79">
        <v>90.122</v>
      </c>
      <c r="M361" s="79">
        <v>98.866</v>
      </c>
      <c r="N361" s="81">
        <v>103.786</v>
      </c>
      <c r="O361" s="57">
        <v>100</v>
      </c>
      <c r="P361" s="79">
        <v>104.21899999999999</v>
      </c>
      <c r="Q361" s="57">
        <v>104.369</v>
      </c>
      <c r="R361" s="57">
        <v>106.128</v>
      </c>
      <c r="S361" s="80">
        <v>110.807</v>
      </c>
      <c r="T361" s="63"/>
      <c r="AD361" s="57"/>
      <c r="AE361" s="57"/>
      <c r="AF361" s="57"/>
      <c r="AG361" s="57"/>
      <c r="AH361" s="57"/>
      <c r="AI361" s="57"/>
      <c r="AJ361" s="57"/>
      <c r="AK361" s="57"/>
      <c r="AL361" s="57"/>
      <c r="AM361" s="57"/>
      <c r="AN361" s="57"/>
      <c r="AO361" s="57"/>
    </row>
    <row r="362" spans="1:41">
      <c r="A362" s="55" t="s">
        <v>418</v>
      </c>
      <c r="B362" s="65" t="s">
        <v>442</v>
      </c>
      <c r="C362" s="79">
        <v>67.998000000000005</v>
      </c>
      <c r="D362" s="79">
        <v>73.177000000000007</v>
      </c>
      <c r="E362" s="79">
        <v>90.576999999999998</v>
      </c>
      <c r="F362" s="79">
        <v>73.742000000000004</v>
      </c>
      <c r="G362" s="79">
        <v>70.887</v>
      </c>
      <c r="H362" s="79">
        <v>81.84</v>
      </c>
      <c r="I362" s="79">
        <v>86.234999999999999</v>
      </c>
      <c r="J362" s="79">
        <v>97.195999999999998</v>
      </c>
      <c r="K362" s="79">
        <v>103.265</v>
      </c>
      <c r="L362" s="79">
        <v>94.659000000000006</v>
      </c>
      <c r="M362" s="79">
        <v>111.47</v>
      </c>
      <c r="N362" s="79">
        <v>108.27500000000001</v>
      </c>
      <c r="O362" s="57">
        <v>100</v>
      </c>
      <c r="P362" s="79">
        <v>105.003</v>
      </c>
      <c r="Q362" s="57">
        <v>108.15900000000001</v>
      </c>
      <c r="R362" s="57">
        <v>110.753</v>
      </c>
      <c r="S362" s="80">
        <v>116.727</v>
      </c>
      <c r="T362" s="63"/>
      <c r="AD362" s="57"/>
      <c r="AE362" s="57"/>
      <c r="AF362" s="57"/>
      <c r="AG362" s="57"/>
      <c r="AH362" s="57"/>
      <c r="AI362" s="57"/>
      <c r="AJ362" s="57"/>
      <c r="AK362" s="57"/>
      <c r="AL362" s="57"/>
      <c r="AM362" s="57"/>
      <c r="AN362" s="57"/>
      <c r="AO362" s="57"/>
    </row>
    <row r="363" spans="1:41">
      <c r="A363" s="55" t="s">
        <v>418</v>
      </c>
      <c r="B363" s="65" t="s">
        <v>371</v>
      </c>
      <c r="C363" s="79">
        <v>55.652999999999999</v>
      </c>
      <c r="D363" s="79">
        <v>66.900999999999996</v>
      </c>
      <c r="E363" s="79">
        <v>78.293000000000006</v>
      </c>
      <c r="F363" s="79">
        <v>66.945999999999998</v>
      </c>
      <c r="G363" s="79">
        <v>75.108999999999995</v>
      </c>
      <c r="H363" s="79">
        <v>80.492000000000004</v>
      </c>
      <c r="I363" s="79">
        <v>78.846000000000004</v>
      </c>
      <c r="J363" s="79">
        <v>84.084000000000003</v>
      </c>
      <c r="K363" s="79">
        <v>69.459999999999994</v>
      </c>
      <c r="L363" s="79">
        <v>73.566000000000003</v>
      </c>
      <c r="M363" s="79">
        <v>82.424000000000007</v>
      </c>
      <c r="N363" s="79">
        <v>91.796000000000006</v>
      </c>
      <c r="O363" s="57">
        <v>100</v>
      </c>
      <c r="P363" s="79">
        <v>118.258</v>
      </c>
      <c r="Q363" s="57">
        <v>116.523</v>
      </c>
      <c r="R363" s="57">
        <v>122.139</v>
      </c>
      <c r="S363" s="80">
        <v>125.249</v>
      </c>
      <c r="T363" s="63"/>
      <c r="AD363" s="57"/>
      <c r="AE363" s="57"/>
      <c r="AF363" s="57"/>
      <c r="AG363" s="57"/>
      <c r="AH363" s="57"/>
      <c r="AI363" s="57"/>
      <c r="AJ363" s="57"/>
      <c r="AK363" s="57"/>
      <c r="AL363" s="57"/>
      <c r="AM363" s="57"/>
      <c r="AN363" s="57"/>
      <c r="AO363" s="57"/>
    </row>
    <row r="364" spans="1:41">
      <c r="A364" s="55" t="s">
        <v>418</v>
      </c>
      <c r="B364" s="65" t="s">
        <v>372</v>
      </c>
      <c r="C364" s="79">
        <v>47.264000000000003</v>
      </c>
      <c r="D364" s="79">
        <v>50.930999999999997</v>
      </c>
      <c r="E364" s="79">
        <v>55.368000000000002</v>
      </c>
      <c r="F364" s="79">
        <v>61.874000000000002</v>
      </c>
      <c r="G364" s="79">
        <v>64.207999999999998</v>
      </c>
      <c r="H364" s="79">
        <v>65.14</v>
      </c>
      <c r="I364" s="79">
        <v>66.733000000000004</v>
      </c>
      <c r="J364" s="79">
        <v>73.016000000000005</v>
      </c>
      <c r="K364" s="79">
        <v>82.438000000000002</v>
      </c>
      <c r="L364" s="79">
        <v>86.792000000000002</v>
      </c>
      <c r="M364" s="79">
        <v>97.272999999999996</v>
      </c>
      <c r="N364" s="81">
        <v>103.71299999999999</v>
      </c>
      <c r="O364" s="57">
        <v>100</v>
      </c>
      <c r="P364" s="79">
        <v>100.11799999999999</v>
      </c>
      <c r="Q364" s="57">
        <v>98.265000000000001</v>
      </c>
      <c r="R364" s="57">
        <v>100.268</v>
      </c>
      <c r="S364" s="80">
        <v>102.51300000000001</v>
      </c>
      <c r="T364" s="63"/>
      <c r="AD364" s="57"/>
      <c r="AE364" s="57"/>
      <c r="AF364" s="57"/>
      <c r="AG364" s="57"/>
      <c r="AH364" s="57"/>
      <c r="AI364" s="57"/>
      <c r="AJ364" s="57"/>
      <c r="AK364" s="57"/>
      <c r="AL364" s="57"/>
      <c r="AM364" s="57"/>
      <c r="AN364" s="57"/>
      <c r="AO364" s="57"/>
    </row>
    <row r="365" spans="1:41">
      <c r="A365" s="55" t="s">
        <v>418</v>
      </c>
      <c r="B365" s="65" t="s">
        <v>443</v>
      </c>
      <c r="C365" s="79">
        <v>48.356000000000002</v>
      </c>
      <c r="D365" s="79">
        <v>55.033000000000001</v>
      </c>
      <c r="E365" s="79">
        <v>44.783000000000001</v>
      </c>
      <c r="F365" s="79">
        <v>36.244999999999997</v>
      </c>
      <c r="G365" s="79">
        <v>57.540999999999997</v>
      </c>
      <c r="H365" s="79">
        <v>89.114999999999995</v>
      </c>
      <c r="I365" s="79">
        <v>92.168999999999997</v>
      </c>
      <c r="J365" s="79">
        <v>110.279</v>
      </c>
      <c r="K365" s="79">
        <v>105.998</v>
      </c>
      <c r="L365" s="79">
        <v>119.39100000000001</v>
      </c>
      <c r="M365" s="79">
        <v>97.590999999999994</v>
      </c>
      <c r="N365" s="81">
        <v>108.831</v>
      </c>
      <c r="O365" s="57">
        <v>100</v>
      </c>
      <c r="P365" s="79">
        <v>105.89700000000001</v>
      </c>
      <c r="Q365" s="57">
        <v>111.979</v>
      </c>
      <c r="R365" s="57">
        <v>104.666</v>
      </c>
      <c r="S365" s="80">
        <v>122.12</v>
      </c>
      <c r="AD365" s="57"/>
      <c r="AE365" s="57"/>
      <c r="AF365" s="57"/>
      <c r="AG365" s="57"/>
      <c r="AH365" s="57"/>
      <c r="AI365" s="57"/>
      <c r="AJ365" s="57"/>
      <c r="AK365" s="57"/>
      <c r="AL365" s="57"/>
      <c r="AM365" s="57"/>
      <c r="AN365" s="57"/>
      <c r="AO365" s="57"/>
    </row>
    <row r="366" spans="1:41">
      <c r="A366" s="55" t="s">
        <v>418</v>
      </c>
      <c r="B366" s="65" t="s">
        <v>374</v>
      </c>
      <c r="C366" s="79">
        <v>68.742999999999995</v>
      </c>
      <c r="D366" s="79">
        <v>71.994</v>
      </c>
      <c r="E366" s="79">
        <v>76.941000000000003</v>
      </c>
      <c r="F366" s="79">
        <v>80.921999999999997</v>
      </c>
      <c r="G366" s="79">
        <v>86.120999999999995</v>
      </c>
      <c r="H366" s="79">
        <v>87.188000000000002</v>
      </c>
      <c r="I366" s="79">
        <v>88.224000000000004</v>
      </c>
      <c r="J366" s="79">
        <v>89.552999999999997</v>
      </c>
      <c r="K366" s="79">
        <v>95.450999999999993</v>
      </c>
      <c r="L366" s="79">
        <v>97.968999999999994</v>
      </c>
      <c r="M366" s="79">
        <v>99.742999999999995</v>
      </c>
      <c r="N366" s="81">
        <v>96.135999999999996</v>
      </c>
      <c r="O366" s="57">
        <v>100</v>
      </c>
      <c r="P366" s="79">
        <v>101.79</v>
      </c>
      <c r="Q366" s="57">
        <v>103.901</v>
      </c>
      <c r="R366" s="57">
        <v>106.7</v>
      </c>
      <c r="S366" s="80">
        <v>109.523</v>
      </c>
      <c r="AD366" s="57"/>
      <c r="AE366" s="57"/>
      <c r="AF366" s="57"/>
      <c r="AG366" s="57"/>
      <c r="AH366" s="57"/>
      <c r="AI366" s="57"/>
      <c r="AJ366" s="57"/>
      <c r="AK366" s="57"/>
      <c r="AL366" s="57"/>
      <c r="AM366" s="57"/>
      <c r="AN366" s="57"/>
      <c r="AO366" s="57"/>
    </row>
    <row r="367" spans="1:41">
      <c r="A367" s="55" t="s">
        <v>418</v>
      </c>
      <c r="B367" s="65" t="s">
        <v>375</v>
      </c>
      <c r="C367" s="79">
        <v>60.088000000000001</v>
      </c>
      <c r="D367" s="79">
        <v>66.989000000000004</v>
      </c>
      <c r="E367" s="79">
        <v>73.48</v>
      </c>
      <c r="F367" s="79">
        <v>80.760000000000005</v>
      </c>
      <c r="G367" s="79">
        <v>88.980999999999995</v>
      </c>
      <c r="H367" s="79">
        <v>89.363</v>
      </c>
      <c r="I367" s="79">
        <v>90.024000000000001</v>
      </c>
      <c r="J367" s="79">
        <v>89.768000000000001</v>
      </c>
      <c r="K367" s="79">
        <v>97.798000000000002</v>
      </c>
      <c r="L367" s="79">
        <v>102.017</v>
      </c>
      <c r="M367" s="79">
        <v>99.343000000000004</v>
      </c>
      <c r="N367" s="81">
        <v>86.382000000000005</v>
      </c>
      <c r="O367" s="57">
        <v>100</v>
      </c>
      <c r="P367" s="79">
        <v>99.944999999999993</v>
      </c>
      <c r="Q367" s="57">
        <v>100.896</v>
      </c>
      <c r="R367" s="57">
        <v>105.173</v>
      </c>
      <c r="S367" s="80">
        <v>110.023</v>
      </c>
      <c r="T367" s="63"/>
      <c r="AD367" s="57"/>
      <c r="AE367" s="57"/>
      <c r="AF367" s="57"/>
      <c r="AG367" s="57"/>
      <c r="AH367" s="57"/>
      <c r="AI367" s="57"/>
      <c r="AJ367" s="57"/>
      <c r="AK367" s="57"/>
      <c r="AL367" s="57"/>
      <c r="AM367" s="57"/>
      <c r="AN367" s="57"/>
      <c r="AO367" s="57"/>
    </row>
    <row r="368" spans="1:41">
      <c r="A368" s="55" t="s">
        <v>418</v>
      </c>
      <c r="B368" s="65" t="s">
        <v>376</v>
      </c>
      <c r="C368" s="79">
        <v>55.180999999999997</v>
      </c>
      <c r="D368" s="79">
        <v>64.783000000000001</v>
      </c>
      <c r="E368" s="79">
        <v>77.406000000000006</v>
      </c>
      <c r="F368" s="79">
        <v>77.807000000000002</v>
      </c>
      <c r="G368" s="79">
        <v>84.453999999999994</v>
      </c>
      <c r="H368" s="79">
        <v>93.786000000000001</v>
      </c>
      <c r="I368" s="79">
        <v>95.44</v>
      </c>
      <c r="J368" s="79">
        <v>87.159000000000006</v>
      </c>
      <c r="K368" s="79">
        <v>93.835999999999999</v>
      </c>
      <c r="L368" s="79">
        <v>93.683999999999997</v>
      </c>
      <c r="M368" s="79">
        <v>89.14</v>
      </c>
      <c r="N368" s="79">
        <v>88.754000000000005</v>
      </c>
      <c r="O368" s="57">
        <v>100</v>
      </c>
      <c r="P368" s="79">
        <v>97.2</v>
      </c>
      <c r="Q368" s="57">
        <v>103.017</v>
      </c>
      <c r="R368" s="57">
        <v>104.212</v>
      </c>
      <c r="S368" s="80">
        <v>110.55200000000001</v>
      </c>
      <c r="T368" s="63"/>
      <c r="AD368" s="57"/>
      <c r="AE368" s="57"/>
      <c r="AF368" s="57"/>
      <c r="AG368" s="57"/>
      <c r="AH368" s="57"/>
      <c r="AI368" s="57"/>
      <c r="AJ368" s="57"/>
      <c r="AK368" s="57"/>
      <c r="AL368" s="57"/>
      <c r="AM368" s="57"/>
      <c r="AN368" s="57"/>
      <c r="AO368" s="57"/>
    </row>
    <row r="369" spans="1:41">
      <c r="A369" s="55" t="s">
        <v>418</v>
      </c>
      <c r="B369" s="65" t="s">
        <v>377</v>
      </c>
      <c r="C369" s="79">
        <v>54.192999999999998</v>
      </c>
      <c r="D369" s="79">
        <v>55.674999999999997</v>
      </c>
      <c r="E369" s="79">
        <v>60.030999999999999</v>
      </c>
      <c r="F369" s="79">
        <v>77.962000000000003</v>
      </c>
      <c r="G369" s="79">
        <v>119.56</v>
      </c>
      <c r="H369" s="79">
        <v>106.71</v>
      </c>
      <c r="I369" s="79">
        <v>93.302000000000007</v>
      </c>
      <c r="J369" s="79">
        <v>94.655000000000001</v>
      </c>
      <c r="K369" s="79">
        <v>113.389</v>
      </c>
      <c r="L369" s="79">
        <v>127.736</v>
      </c>
      <c r="M369" s="79">
        <v>105.386</v>
      </c>
      <c r="N369" s="81">
        <v>58.685000000000002</v>
      </c>
      <c r="O369" s="57">
        <v>100</v>
      </c>
      <c r="P369" s="79">
        <v>102.932</v>
      </c>
      <c r="Q369" s="57">
        <v>93.197999999999993</v>
      </c>
      <c r="R369" s="57">
        <v>106.687</v>
      </c>
      <c r="S369" s="80">
        <v>110.28400000000001</v>
      </c>
      <c r="T369" s="63"/>
      <c r="AD369" s="57"/>
      <c r="AE369" s="57"/>
      <c r="AF369" s="57"/>
      <c r="AG369" s="57"/>
      <c r="AH369" s="57"/>
      <c r="AI369" s="57"/>
      <c r="AJ369" s="57"/>
      <c r="AK369" s="57"/>
      <c r="AL369" s="57"/>
      <c r="AM369" s="57"/>
      <c r="AN369" s="57"/>
      <c r="AO369" s="57"/>
    </row>
    <row r="370" spans="1:41">
      <c r="A370" s="55" t="s">
        <v>418</v>
      </c>
      <c r="B370" s="65" t="s">
        <v>378</v>
      </c>
      <c r="C370" s="79">
        <v>72.488</v>
      </c>
      <c r="D370" s="79">
        <v>78.245000000000005</v>
      </c>
      <c r="E370" s="79">
        <v>77.274000000000001</v>
      </c>
      <c r="F370" s="79">
        <v>89.813000000000002</v>
      </c>
      <c r="G370" s="79">
        <v>83.570999999999998</v>
      </c>
      <c r="H370" s="79">
        <v>78.352999999999994</v>
      </c>
      <c r="I370" s="79">
        <v>83.343000000000004</v>
      </c>
      <c r="J370" s="79">
        <v>92.028999999999996</v>
      </c>
      <c r="K370" s="79">
        <v>96.533000000000001</v>
      </c>
      <c r="L370" s="79">
        <v>102.423</v>
      </c>
      <c r="M370" s="79">
        <v>110.675</v>
      </c>
      <c r="N370" s="81">
        <v>97.462999999999994</v>
      </c>
      <c r="O370" s="57">
        <v>100</v>
      </c>
      <c r="P370" s="79">
        <v>100.58199999999999</v>
      </c>
      <c r="Q370" s="57">
        <v>101.83499999999999</v>
      </c>
      <c r="R370" s="57">
        <v>104.71299999999999</v>
      </c>
      <c r="S370" s="80">
        <v>108.633</v>
      </c>
      <c r="T370" s="63"/>
      <c r="AD370" s="57"/>
      <c r="AE370" s="57"/>
      <c r="AF370" s="57"/>
      <c r="AG370" s="57"/>
      <c r="AH370" s="57"/>
      <c r="AI370" s="57"/>
      <c r="AJ370" s="57"/>
      <c r="AK370" s="57"/>
      <c r="AL370" s="57"/>
      <c r="AM370" s="57"/>
      <c r="AN370" s="57"/>
      <c r="AO370" s="57"/>
    </row>
    <row r="371" spans="1:41">
      <c r="A371" s="55" t="s">
        <v>418</v>
      </c>
      <c r="B371" s="65" t="s">
        <v>379</v>
      </c>
      <c r="C371" s="79">
        <v>32.926000000000002</v>
      </c>
      <c r="D371" s="79">
        <v>55.807000000000002</v>
      </c>
      <c r="E371" s="79">
        <v>70.572000000000003</v>
      </c>
      <c r="F371" s="79">
        <v>49.084000000000003</v>
      </c>
      <c r="G371" s="79">
        <v>51.273000000000003</v>
      </c>
      <c r="H371" s="79">
        <v>51.944000000000003</v>
      </c>
      <c r="I371" s="79">
        <v>61.362000000000002</v>
      </c>
      <c r="J371" s="79">
        <v>67.962000000000003</v>
      </c>
      <c r="K371" s="79">
        <v>76.524000000000001</v>
      </c>
      <c r="L371" s="79">
        <v>70.587999999999994</v>
      </c>
      <c r="M371" s="79">
        <v>85.343999999999994</v>
      </c>
      <c r="N371" s="79">
        <v>100.03700000000001</v>
      </c>
      <c r="O371" s="57">
        <v>100</v>
      </c>
      <c r="P371" s="79">
        <v>112.349</v>
      </c>
      <c r="Q371" s="57">
        <v>111.759</v>
      </c>
      <c r="R371" s="57">
        <v>115.991</v>
      </c>
      <c r="S371" s="80">
        <v>118.783</v>
      </c>
      <c r="AD371" s="57"/>
      <c r="AE371" s="57"/>
      <c r="AF371" s="57"/>
      <c r="AG371" s="57"/>
      <c r="AH371" s="57"/>
      <c r="AI371" s="57"/>
      <c r="AJ371" s="57"/>
      <c r="AK371" s="57"/>
      <c r="AL371" s="57"/>
      <c r="AM371" s="57"/>
      <c r="AN371" s="57"/>
      <c r="AO371" s="57"/>
    </row>
    <row r="372" spans="1:41">
      <c r="A372" s="55" t="s">
        <v>418</v>
      </c>
      <c r="B372" s="65" t="s">
        <v>380</v>
      </c>
      <c r="C372" s="79">
        <v>74.183999999999997</v>
      </c>
      <c r="D372" s="79">
        <v>74.957999999999998</v>
      </c>
      <c r="E372" s="79">
        <v>78.891000000000005</v>
      </c>
      <c r="F372" s="79">
        <v>80.835999999999999</v>
      </c>
      <c r="G372" s="79">
        <v>84.231999999999999</v>
      </c>
      <c r="H372" s="79">
        <v>85.688000000000002</v>
      </c>
      <c r="I372" s="79">
        <v>86.935000000000002</v>
      </c>
      <c r="J372" s="79">
        <v>89.168000000000006</v>
      </c>
      <c r="K372" s="79">
        <v>93.820999999999998</v>
      </c>
      <c r="L372" s="79">
        <v>95.355999999999995</v>
      </c>
      <c r="M372" s="79">
        <v>99.656000000000006</v>
      </c>
      <c r="N372" s="79">
        <v>101.35299999999999</v>
      </c>
      <c r="O372" s="57">
        <v>100</v>
      </c>
      <c r="P372" s="79">
        <v>102.749</v>
      </c>
      <c r="Q372" s="57">
        <v>105.48099999999999</v>
      </c>
      <c r="R372" s="57">
        <v>107.474</v>
      </c>
      <c r="S372" s="80">
        <v>109.18</v>
      </c>
      <c r="T372" s="63"/>
      <c r="AD372" s="57"/>
      <c r="AE372" s="57"/>
      <c r="AF372" s="57"/>
      <c r="AG372" s="57"/>
      <c r="AH372" s="57"/>
      <c r="AI372" s="57"/>
      <c r="AJ372" s="57"/>
      <c r="AK372" s="57"/>
      <c r="AL372" s="57"/>
      <c r="AM372" s="57"/>
      <c r="AN372" s="57"/>
      <c r="AO372" s="57"/>
    </row>
    <row r="373" spans="1:41">
      <c r="A373" s="55" t="s">
        <v>418</v>
      </c>
      <c r="B373" s="65" t="s">
        <v>381</v>
      </c>
      <c r="C373" s="79">
        <v>73.346000000000004</v>
      </c>
      <c r="D373" s="79">
        <v>73.433999999999997</v>
      </c>
      <c r="E373" s="79">
        <v>76.799000000000007</v>
      </c>
      <c r="F373" s="79">
        <v>78.813000000000002</v>
      </c>
      <c r="G373" s="79">
        <v>81.677999999999997</v>
      </c>
      <c r="H373" s="79">
        <v>83.432000000000002</v>
      </c>
      <c r="I373" s="79">
        <v>85.343999999999994</v>
      </c>
      <c r="J373" s="79">
        <v>88.218000000000004</v>
      </c>
      <c r="K373" s="79">
        <v>93.256</v>
      </c>
      <c r="L373" s="79">
        <v>93.679000000000002</v>
      </c>
      <c r="M373" s="79">
        <v>98.838999999999999</v>
      </c>
      <c r="N373" s="81">
        <v>100.26900000000001</v>
      </c>
      <c r="O373" s="57">
        <v>100</v>
      </c>
      <c r="P373" s="79">
        <v>103.11199999999999</v>
      </c>
      <c r="Q373" s="57">
        <v>105.982</v>
      </c>
      <c r="R373" s="57">
        <v>107.563</v>
      </c>
      <c r="S373" s="80">
        <v>109.065</v>
      </c>
      <c r="T373" s="63"/>
      <c r="AD373" s="57"/>
      <c r="AE373" s="57"/>
      <c r="AF373" s="57"/>
      <c r="AG373" s="57"/>
      <c r="AH373" s="57"/>
      <c r="AI373" s="57"/>
      <c r="AJ373" s="57"/>
      <c r="AK373" s="57"/>
      <c r="AL373" s="57"/>
      <c r="AM373" s="57"/>
      <c r="AN373" s="57"/>
      <c r="AO373" s="57"/>
    </row>
    <row r="374" spans="1:41">
      <c r="A374" s="55" t="s">
        <v>418</v>
      </c>
      <c r="B374" s="68" t="s">
        <v>444</v>
      </c>
      <c r="C374" s="79">
        <v>76.347999999999999</v>
      </c>
      <c r="D374" s="79">
        <v>77.861999999999995</v>
      </c>
      <c r="E374" s="79">
        <v>80.751999999999995</v>
      </c>
      <c r="F374" s="79">
        <v>83.2</v>
      </c>
      <c r="G374" s="79">
        <v>85.6</v>
      </c>
      <c r="H374" s="79">
        <v>86.233999999999995</v>
      </c>
      <c r="I374" s="79">
        <v>86.978999999999999</v>
      </c>
      <c r="J374" s="79">
        <v>90.054000000000002</v>
      </c>
      <c r="K374" s="79">
        <v>93.811999999999998</v>
      </c>
      <c r="L374" s="79">
        <v>96.319000000000003</v>
      </c>
      <c r="M374" s="79">
        <v>96.558999999999997</v>
      </c>
      <c r="N374" s="81">
        <v>99.498999999999995</v>
      </c>
      <c r="O374" s="57">
        <v>100</v>
      </c>
      <c r="P374" s="79">
        <v>101.03400000000001</v>
      </c>
      <c r="Q374" s="57">
        <v>102.74299999999999</v>
      </c>
      <c r="R374" s="57">
        <v>103.15900000000001</v>
      </c>
      <c r="S374" s="80">
        <v>104.467</v>
      </c>
      <c r="T374" s="63"/>
      <c r="AD374" s="57"/>
      <c r="AE374" s="57"/>
      <c r="AF374" s="57"/>
      <c r="AG374" s="57"/>
      <c r="AH374" s="57"/>
      <c r="AI374" s="57"/>
      <c r="AJ374" s="57"/>
      <c r="AK374" s="57"/>
      <c r="AL374" s="57"/>
      <c r="AM374" s="57"/>
      <c r="AN374" s="57"/>
      <c r="AO374" s="57"/>
    </row>
    <row r="375" spans="1:41">
      <c r="A375" s="55" t="s">
        <v>418</v>
      </c>
      <c r="B375" s="68" t="s">
        <v>445</v>
      </c>
      <c r="C375" s="79">
        <v>60.658000000000001</v>
      </c>
      <c r="D375" s="79">
        <v>55.186</v>
      </c>
      <c r="E375" s="79">
        <v>60.343000000000004</v>
      </c>
      <c r="F375" s="79">
        <v>60.65</v>
      </c>
      <c r="G375" s="79">
        <v>65.298000000000002</v>
      </c>
      <c r="H375" s="79">
        <v>71.480999999999995</v>
      </c>
      <c r="I375" s="79">
        <v>78.103999999999999</v>
      </c>
      <c r="J375" s="79">
        <v>80.128</v>
      </c>
      <c r="K375" s="79">
        <v>90.581999999999994</v>
      </c>
      <c r="L375" s="79">
        <v>81.844999999999999</v>
      </c>
      <c r="M375" s="79">
        <v>110.44499999999999</v>
      </c>
      <c r="N375" s="81">
        <v>104.285</v>
      </c>
      <c r="O375" s="57">
        <v>100</v>
      </c>
      <c r="P375" s="79">
        <v>114.345</v>
      </c>
      <c r="Q375" s="57">
        <v>123.658</v>
      </c>
      <c r="R375" s="57">
        <v>131.80500000000001</v>
      </c>
      <c r="S375" s="80">
        <v>134.393</v>
      </c>
      <c r="T375" s="63"/>
      <c r="AD375" s="57"/>
      <c r="AE375" s="57"/>
      <c r="AF375" s="57"/>
      <c r="AG375" s="57"/>
      <c r="AH375" s="57"/>
      <c r="AI375" s="57"/>
      <c r="AJ375" s="57"/>
      <c r="AK375" s="57"/>
      <c r="AL375" s="57"/>
      <c r="AM375" s="57"/>
      <c r="AN375" s="57"/>
      <c r="AO375" s="57"/>
    </row>
    <row r="376" spans="1:41">
      <c r="A376" s="55" t="s">
        <v>418</v>
      </c>
      <c r="B376" s="65" t="s">
        <v>382</v>
      </c>
      <c r="C376" s="79">
        <v>83.986000000000004</v>
      </c>
      <c r="D376" s="79">
        <v>91.861000000000004</v>
      </c>
      <c r="E376" s="79">
        <v>101.923</v>
      </c>
      <c r="F376" s="79">
        <v>103.155</v>
      </c>
      <c r="G376" s="79">
        <v>112.292</v>
      </c>
      <c r="H376" s="79">
        <v>110.441</v>
      </c>
      <c r="I376" s="79">
        <v>104.245</v>
      </c>
      <c r="J376" s="79">
        <v>99.352999999999994</v>
      </c>
      <c r="K376" s="79">
        <v>99.734999999999999</v>
      </c>
      <c r="L376" s="79">
        <v>113.55800000000001</v>
      </c>
      <c r="M376" s="79">
        <v>108.34099999999999</v>
      </c>
      <c r="N376" s="81">
        <v>112.952</v>
      </c>
      <c r="O376" s="57">
        <v>100</v>
      </c>
      <c r="P376" s="79">
        <v>98.906000000000006</v>
      </c>
      <c r="Q376" s="57">
        <v>100.175</v>
      </c>
      <c r="R376" s="57">
        <v>106.55800000000001</v>
      </c>
      <c r="S376" s="80">
        <v>110.455</v>
      </c>
      <c r="AD376" s="57"/>
      <c r="AE376" s="57"/>
      <c r="AF376" s="57"/>
      <c r="AG376" s="57"/>
      <c r="AH376" s="57"/>
      <c r="AI376" s="57"/>
      <c r="AJ376" s="57"/>
      <c r="AK376" s="57"/>
      <c r="AL376" s="57"/>
      <c r="AM376" s="57"/>
      <c r="AN376" s="57"/>
      <c r="AO376" s="57"/>
    </row>
    <row r="377" spans="1:41">
      <c r="A377" s="55" t="s">
        <v>418</v>
      </c>
      <c r="B377" s="65" t="s">
        <v>383</v>
      </c>
      <c r="C377" s="79">
        <v>73.694000000000003</v>
      </c>
      <c r="D377" s="79">
        <v>77.028000000000006</v>
      </c>
      <c r="E377" s="79">
        <v>80.542000000000002</v>
      </c>
      <c r="F377" s="79">
        <v>84.929000000000002</v>
      </c>
      <c r="G377" s="79">
        <v>87.117999999999995</v>
      </c>
      <c r="H377" s="79">
        <v>88.429000000000002</v>
      </c>
      <c r="I377" s="79">
        <v>90.825999999999993</v>
      </c>
      <c r="J377" s="79">
        <v>93.156000000000006</v>
      </c>
      <c r="K377" s="79">
        <v>97.072999999999993</v>
      </c>
      <c r="L377" s="79">
        <v>99.822999999999993</v>
      </c>
      <c r="M377" s="79">
        <v>102.416</v>
      </c>
      <c r="N377" s="81">
        <v>107.02800000000001</v>
      </c>
      <c r="O377" s="57">
        <v>100</v>
      </c>
      <c r="P377" s="79">
        <v>103.42700000000001</v>
      </c>
      <c r="Q377" s="57">
        <v>107.33199999999999</v>
      </c>
      <c r="R377" s="57">
        <v>112.05</v>
      </c>
      <c r="S377" s="80">
        <v>114.08</v>
      </c>
      <c r="AD377" s="57"/>
      <c r="AE377" s="57"/>
      <c r="AF377" s="57"/>
      <c r="AG377" s="57"/>
      <c r="AH377" s="57"/>
      <c r="AI377" s="57"/>
      <c r="AJ377" s="57"/>
      <c r="AK377" s="57"/>
      <c r="AL377" s="57"/>
      <c r="AM377" s="57"/>
      <c r="AN377" s="57"/>
      <c r="AO377" s="57"/>
    </row>
    <row r="378" spans="1:41">
      <c r="A378" s="55" t="s">
        <v>418</v>
      </c>
      <c r="B378" s="65" t="s">
        <v>384</v>
      </c>
      <c r="C378" s="79">
        <v>70.652000000000001</v>
      </c>
      <c r="D378" s="79">
        <v>74.355999999999995</v>
      </c>
      <c r="E378" s="79">
        <v>78.186999999999998</v>
      </c>
      <c r="F378" s="79">
        <v>81.771000000000001</v>
      </c>
      <c r="G378" s="79">
        <v>84.070999999999998</v>
      </c>
      <c r="H378" s="79">
        <v>86.245000000000005</v>
      </c>
      <c r="I378" s="79">
        <v>86.813000000000002</v>
      </c>
      <c r="J378" s="79">
        <v>89.974999999999994</v>
      </c>
      <c r="K378" s="79">
        <v>92.662000000000006</v>
      </c>
      <c r="L378" s="79">
        <v>95.994</v>
      </c>
      <c r="M378" s="79">
        <v>99.043000000000006</v>
      </c>
      <c r="N378" s="79">
        <v>106.515</v>
      </c>
      <c r="O378" s="57">
        <v>100</v>
      </c>
      <c r="P378" s="79">
        <v>100.899</v>
      </c>
      <c r="Q378" s="57">
        <v>104.57</v>
      </c>
      <c r="R378" s="57">
        <v>107.97</v>
      </c>
      <c r="S378" s="80">
        <v>108.735</v>
      </c>
      <c r="T378" s="63"/>
      <c r="AD378" s="57"/>
      <c r="AE378" s="57"/>
      <c r="AF378" s="57"/>
      <c r="AG378" s="57"/>
      <c r="AH378" s="57"/>
      <c r="AI378" s="57"/>
      <c r="AJ378" s="57"/>
      <c r="AK378" s="57"/>
      <c r="AL378" s="57"/>
      <c r="AM378" s="57"/>
      <c r="AN378" s="57"/>
      <c r="AO378" s="57"/>
    </row>
    <row r="379" spans="1:41">
      <c r="A379" s="55" t="s">
        <v>418</v>
      </c>
      <c r="B379" s="65" t="s">
        <v>385</v>
      </c>
      <c r="C379" s="79">
        <v>89.682000000000002</v>
      </c>
      <c r="D379" s="79">
        <v>92.942999999999998</v>
      </c>
      <c r="E379" s="79">
        <v>95.74</v>
      </c>
      <c r="F379" s="79">
        <v>98.399000000000001</v>
      </c>
      <c r="G379" s="79">
        <v>101.214</v>
      </c>
      <c r="H379" s="79">
        <v>101.55200000000001</v>
      </c>
      <c r="I379" s="79">
        <v>104.89100000000001</v>
      </c>
      <c r="J379" s="79">
        <v>105.98099999999999</v>
      </c>
      <c r="K379" s="79">
        <v>104.434</v>
      </c>
      <c r="L379" s="79">
        <v>104.889</v>
      </c>
      <c r="M379" s="79">
        <v>105.755</v>
      </c>
      <c r="N379" s="79">
        <v>113.303</v>
      </c>
      <c r="O379" s="57">
        <v>100</v>
      </c>
      <c r="P379" s="79">
        <v>92.641000000000005</v>
      </c>
      <c r="Q379" s="57">
        <v>93.343999999999994</v>
      </c>
      <c r="R379" s="57">
        <v>91.637</v>
      </c>
      <c r="S379" s="80">
        <v>88.991</v>
      </c>
      <c r="T379" s="63"/>
      <c r="AD379" s="57"/>
      <c r="AE379" s="57"/>
      <c r="AF379" s="57"/>
      <c r="AG379" s="57"/>
      <c r="AH379" s="57"/>
      <c r="AI379" s="57"/>
      <c r="AJ379" s="57"/>
      <c r="AK379" s="57"/>
      <c r="AL379" s="57"/>
      <c r="AM379" s="57"/>
      <c r="AN379" s="57"/>
      <c r="AO379" s="57"/>
    </row>
    <row r="380" spans="1:41">
      <c r="A380" s="55" t="s">
        <v>418</v>
      </c>
      <c r="B380" s="65" t="s">
        <v>386</v>
      </c>
      <c r="C380" s="79">
        <v>41.558</v>
      </c>
      <c r="D380" s="79">
        <v>49.942</v>
      </c>
      <c r="E380" s="79">
        <v>56.079000000000001</v>
      </c>
      <c r="F380" s="79">
        <v>59.412999999999997</v>
      </c>
      <c r="G380" s="79">
        <v>60.881999999999998</v>
      </c>
      <c r="H380" s="79">
        <v>58.238999999999997</v>
      </c>
      <c r="I380" s="79">
        <v>62.639000000000003</v>
      </c>
      <c r="J380" s="79">
        <v>68.668000000000006</v>
      </c>
      <c r="K380" s="79">
        <v>75.802999999999997</v>
      </c>
      <c r="L380" s="79">
        <v>82.899000000000001</v>
      </c>
      <c r="M380" s="79">
        <v>92.417000000000002</v>
      </c>
      <c r="N380" s="81">
        <v>97.908000000000001</v>
      </c>
      <c r="O380" s="57">
        <v>100</v>
      </c>
      <c r="P380" s="79">
        <v>107.01600000000001</v>
      </c>
      <c r="Q380" s="57">
        <v>116.685</v>
      </c>
      <c r="R380" s="57">
        <v>129.28800000000001</v>
      </c>
      <c r="S380" s="80">
        <v>132.21</v>
      </c>
      <c r="T380" s="63"/>
      <c r="AD380" s="57"/>
      <c r="AE380" s="57"/>
      <c r="AF380" s="57"/>
      <c r="AG380" s="57"/>
      <c r="AH380" s="57"/>
      <c r="AI380" s="57"/>
      <c r="AJ380" s="57"/>
      <c r="AK380" s="57"/>
      <c r="AL380" s="57"/>
      <c r="AM380" s="57"/>
      <c r="AN380" s="57"/>
      <c r="AO380" s="57"/>
    </row>
    <row r="381" spans="1:41">
      <c r="A381" s="55" t="s">
        <v>418</v>
      </c>
      <c r="B381" s="65" t="s">
        <v>387</v>
      </c>
      <c r="C381" s="79">
        <v>74.53</v>
      </c>
      <c r="D381" s="79">
        <v>76.301000000000002</v>
      </c>
      <c r="E381" s="79">
        <v>79.388999999999996</v>
      </c>
      <c r="F381" s="79">
        <v>83.210999999999999</v>
      </c>
      <c r="G381" s="79">
        <v>85.616</v>
      </c>
      <c r="H381" s="79">
        <v>90.105000000000004</v>
      </c>
      <c r="I381" s="79">
        <v>88.42</v>
      </c>
      <c r="J381" s="79">
        <v>91.197000000000003</v>
      </c>
      <c r="K381" s="79">
        <v>93.792000000000002</v>
      </c>
      <c r="L381" s="79">
        <v>96.885000000000005</v>
      </c>
      <c r="M381" s="79">
        <v>98.668000000000006</v>
      </c>
      <c r="N381" s="81">
        <v>106.712</v>
      </c>
      <c r="O381" s="57">
        <v>100</v>
      </c>
      <c r="P381" s="79">
        <v>102.059</v>
      </c>
      <c r="Q381" s="57">
        <v>105.09399999999999</v>
      </c>
      <c r="R381" s="57">
        <v>107.818</v>
      </c>
      <c r="S381" s="80">
        <v>109.31100000000001</v>
      </c>
      <c r="AD381" s="57"/>
      <c r="AE381" s="57"/>
      <c r="AF381" s="57"/>
      <c r="AG381" s="57"/>
      <c r="AH381" s="57"/>
      <c r="AI381" s="57"/>
      <c r="AJ381" s="57"/>
      <c r="AK381" s="57"/>
      <c r="AL381" s="57"/>
      <c r="AM381" s="57"/>
      <c r="AN381" s="57"/>
      <c r="AO381" s="57"/>
    </row>
    <row r="382" spans="1:41">
      <c r="A382" s="55" t="s">
        <v>418</v>
      </c>
      <c r="B382" s="65" t="s">
        <v>388</v>
      </c>
      <c r="C382" s="79">
        <v>101.14</v>
      </c>
      <c r="D382" s="79">
        <v>104.547</v>
      </c>
      <c r="E382" s="79">
        <v>104.967</v>
      </c>
      <c r="F382" s="79">
        <v>110.39100000000001</v>
      </c>
      <c r="G382" s="79">
        <v>113.551</v>
      </c>
      <c r="H382" s="79">
        <v>112.834</v>
      </c>
      <c r="I382" s="79">
        <v>116.598</v>
      </c>
      <c r="J382" s="79">
        <v>110.904</v>
      </c>
      <c r="K382" s="79">
        <v>111.738</v>
      </c>
      <c r="L382" s="79">
        <v>112.73099999999999</v>
      </c>
      <c r="M382" s="79">
        <v>109.81100000000001</v>
      </c>
      <c r="N382" s="79">
        <v>109.249</v>
      </c>
      <c r="O382" s="57">
        <v>100</v>
      </c>
      <c r="P382" s="79">
        <v>107.651</v>
      </c>
      <c r="Q382" s="57">
        <v>112.355</v>
      </c>
      <c r="R382" s="57">
        <v>121.471</v>
      </c>
      <c r="S382" s="80">
        <v>127.09</v>
      </c>
      <c r="AD382" s="57"/>
      <c r="AE382" s="57"/>
      <c r="AF382" s="57"/>
      <c r="AG382" s="57"/>
      <c r="AH382" s="57"/>
      <c r="AI382" s="57"/>
      <c r="AJ382" s="57"/>
      <c r="AK382" s="57"/>
      <c r="AL382" s="57"/>
      <c r="AM382" s="57"/>
      <c r="AN382" s="57"/>
      <c r="AO382" s="57"/>
    </row>
    <row r="383" spans="1:41">
      <c r="A383" s="55" t="s">
        <v>418</v>
      </c>
      <c r="B383" s="65" t="s">
        <v>389</v>
      </c>
      <c r="C383" s="79">
        <v>67.361000000000004</v>
      </c>
      <c r="D383" s="79">
        <v>69.747</v>
      </c>
      <c r="E383" s="79">
        <v>73.739999999999995</v>
      </c>
      <c r="F383" s="79">
        <v>79.400999999999996</v>
      </c>
      <c r="G383" s="79">
        <v>80.882999999999996</v>
      </c>
      <c r="H383" s="79">
        <v>81.073999999999998</v>
      </c>
      <c r="I383" s="79">
        <v>86.997</v>
      </c>
      <c r="J383" s="79">
        <v>91.067999999999998</v>
      </c>
      <c r="K383" s="79">
        <v>99.382000000000005</v>
      </c>
      <c r="L383" s="79">
        <v>101.65</v>
      </c>
      <c r="M383" s="79">
        <v>106.21899999999999</v>
      </c>
      <c r="N383" s="79">
        <v>106.955</v>
      </c>
      <c r="O383" s="57">
        <v>100</v>
      </c>
      <c r="P383" s="79">
        <v>107.06</v>
      </c>
      <c r="Q383" s="57">
        <v>111.059</v>
      </c>
      <c r="R383" s="57">
        <v>116.40300000000001</v>
      </c>
      <c r="S383" s="80">
        <v>119.43600000000001</v>
      </c>
      <c r="T383" s="63"/>
      <c r="AD383" s="57"/>
      <c r="AE383" s="57"/>
      <c r="AF383" s="57"/>
      <c r="AG383" s="57"/>
      <c r="AH383" s="57"/>
      <c r="AI383" s="57"/>
      <c r="AJ383" s="57"/>
      <c r="AK383" s="57"/>
      <c r="AL383" s="57"/>
      <c r="AM383" s="57"/>
      <c r="AN383" s="57"/>
      <c r="AO383" s="57"/>
    </row>
    <row r="384" spans="1:41">
      <c r="A384" s="55" t="s">
        <v>418</v>
      </c>
      <c r="B384" s="65" t="s">
        <v>390</v>
      </c>
      <c r="C384" s="79">
        <v>65.989000000000004</v>
      </c>
      <c r="D384" s="79">
        <v>68.338999999999999</v>
      </c>
      <c r="E384" s="79">
        <v>72.188000000000002</v>
      </c>
      <c r="F384" s="79">
        <v>78.373999999999995</v>
      </c>
      <c r="G384" s="79">
        <v>79.724999999999994</v>
      </c>
      <c r="H384" s="79">
        <v>79.682000000000002</v>
      </c>
      <c r="I384" s="79">
        <v>85.929000000000002</v>
      </c>
      <c r="J384" s="79">
        <v>90.626000000000005</v>
      </c>
      <c r="K384" s="79">
        <v>99.259</v>
      </c>
      <c r="L384" s="79">
        <v>102.428</v>
      </c>
      <c r="M384" s="79">
        <v>106.747</v>
      </c>
      <c r="N384" s="79">
        <v>107.675</v>
      </c>
      <c r="O384" s="57">
        <v>100</v>
      </c>
      <c r="P384" s="79">
        <v>105.846</v>
      </c>
      <c r="Q384" s="57">
        <v>111.98099999999999</v>
      </c>
      <c r="R384" s="57">
        <v>117.577</v>
      </c>
      <c r="S384" s="80">
        <v>120.857</v>
      </c>
      <c r="T384" s="63"/>
      <c r="AD384" s="57"/>
      <c r="AE384" s="57"/>
      <c r="AF384" s="57"/>
      <c r="AG384" s="57"/>
      <c r="AH384" s="57"/>
      <c r="AI384" s="57"/>
      <c r="AJ384" s="57"/>
      <c r="AK384" s="57"/>
      <c r="AL384" s="57"/>
      <c r="AM384" s="57"/>
      <c r="AN384" s="57"/>
      <c r="AO384" s="57"/>
    </row>
    <row r="385" spans="1:41">
      <c r="A385" s="55" t="s">
        <v>418</v>
      </c>
      <c r="B385" s="65" t="s">
        <v>391</v>
      </c>
      <c r="C385" s="79">
        <v>81.879000000000005</v>
      </c>
      <c r="D385" s="79">
        <v>84.623000000000005</v>
      </c>
      <c r="E385" s="79">
        <v>90.201999999999998</v>
      </c>
      <c r="F385" s="79">
        <v>89.867999999999995</v>
      </c>
      <c r="G385" s="79">
        <v>92.766000000000005</v>
      </c>
      <c r="H385" s="79">
        <v>95.462999999999994</v>
      </c>
      <c r="I385" s="79">
        <v>98.049000000000007</v>
      </c>
      <c r="J385" s="79">
        <v>95.772999999999996</v>
      </c>
      <c r="K385" s="79">
        <v>100.80500000000001</v>
      </c>
      <c r="L385" s="79">
        <v>93.67</v>
      </c>
      <c r="M385" s="79">
        <v>100.883</v>
      </c>
      <c r="N385" s="81">
        <v>99.632999999999996</v>
      </c>
      <c r="O385" s="57">
        <v>100</v>
      </c>
      <c r="P385" s="79">
        <v>119.122</v>
      </c>
      <c r="Q385" s="57">
        <v>102.477</v>
      </c>
      <c r="R385" s="57">
        <v>105.41200000000001</v>
      </c>
      <c r="S385" s="80">
        <v>106.09399999999999</v>
      </c>
      <c r="AD385" s="57"/>
      <c r="AE385" s="57"/>
      <c r="AF385" s="57"/>
      <c r="AG385" s="57"/>
      <c r="AH385" s="57"/>
      <c r="AI385" s="57"/>
      <c r="AJ385" s="57"/>
      <c r="AK385" s="57"/>
      <c r="AL385" s="57"/>
      <c r="AM385" s="57"/>
      <c r="AN385" s="57"/>
      <c r="AO385" s="57"/>
    </row>
    <row r="386" spans="1:41">
      <c r="A386" s="55" t="s">
        <v>418</v>
      </c>
      <c r="B386" s="65" t="s">
        <v>392</v>
      </c>
      <c r="C386" s="79">
        <v>71.584999999999994</v>
      </c>
      <c r="D386" s="79">
        <v>72.14</v>
      </c>
      <c r="E386" s="79">
        <v>74.036000000000001</v>
      </c>
      <c r="F386" s="79">
        <v>75.983000000000004</v>
      </c>
      <c r="G386" s="79">
        <v>77.930999999999997</v>
      </c>
      <c r="H386" s="79">
        <v>81.093000000000004</v>
      </c>
      <c r="I386" s="79">
        <v>83.814999999999998</v>
      </c>
      <c r="J386" s="79">
        <v>87.125</v>
      </c>
      <c r="K386" s="79">
        <v>88.617999999999995</v>
      </c>
      <c r="L386" s="79">
        <v>92.036000000000001</v>
      </c>
      <c r="M386" s="79">
        <v>92.912999999999997</v>
      </c>
      <c r="N386" s="81">
        <v>97.837999999999994</v>
      </c>
      <c r="O386" s="57">
        <v>100</v>
      </c>
      <c r="P386" s="79">
        <v>100.53700000000001</v>
      </c>
      <c r="Q386" s="57">
        <v>102.123</v>
      </c>
      <c r="R386" s="57">
        <v>103.569</v>
      </c>
      <c r="S386" s="80">
        <v>105.542</v>
      </c>
      <c r="AD386" s="57"/>
      <c r="AE386" s="57"/>
      <c r="AF386" s="57"/>
      <c r="AG386" s="57"/>
      <c r="AH386" s="57"/>
      <c r="AI386" s="57"/>
      <c r="AJ386" s="57"/>
      <c r="AK386" s="57"/>
      <c r="AL386" s="57"/>
      <c r="AM386" s="57"/>
      <c r="AN386" s="57"/>
      <c r="AO386" s="57"/>
    </row>
    <row r="387" spans="1:41">
      <c r="A387" s="55" t="s">
        <v>418</v>
      </c>
      <c r="B387" s="65" t="s">
        <v>393</v>
      </c>
      <c r="C387" s="79">
        <v>72.984999999999999</v>
      </c>
      <c r="D387" s="79">
        <v>71.933000000000007</v>
      </c>
      <c r="E387" s="79">
        <v>73.954999999999998</v>
      </c>
      <c r="F387" s="79">
        <v>76.433999999999997</v>
      </c>
      <c r="G387" s="79">
        <v>79.045000000000002</v>
      </c>
      <c r="H387" s="79">
        <v>80.260999999999996</v>
      </c>
      <c r="I387" s="79">
        <v>83.948999999999998</v>
      </c>
      <c r="J387" s="79">
        <v>88.093000000000004</v>
      </c>
      <c r="K387" s="79">
        <v>87.78</v>
      </c>
      <c r="L387" s="79">
        <v>89.876999999999995</v>
      </c>
      <c r="M387" s="79">
        <v>91.825000000000003</v>
      </c>
      <c r="N387" s="81">
        <v>95.44</v>
      </c>
      <c r="O387" s="57">
        <v>100</v>
      </c>
      <c r="P387" s="79">
        <v>101.119</v>
      </c>
      <c r="Q387" s="57">
        <v>101.93600000000001</v>
      </c>
      <c r="R387" s="57">
        <v>101.66500000000001</v>
      </c>
      <c r="S387" s="80">
        <v>100.212</v>
      </c>
      <c r="AD387" s="57"/>
      <c r="AE387" s="57"/>
      <c r="AF387" s="57"/>
      <c r="AG387" s="57"/>
      <c r="AH387" s="57"/>
      <c r="AI387" s="57"/>
      <c r="AJ387" s="57"/>
      <c r="AK387" s="57"/>
      <c r="AL387" s="57"/>
      <c r="AM387" s="57"/>
      <c r="AN387" s="57"/>
      <c r="AO387" s="57"/>
    </row>
    <row r="388" spans="1:41">
      <c r="A388" s="55" t="s">
        <v>418</v>
      </c>
      <c r="B388" s="65" t="s">
        <v>394</v>
      </c>
      <c r="C388" s="79">
        <v>71.400999999999996</v>
      </c>
      <c r="D388" s="79">
        <v>72.179000000000002</v>
      </c>
      <c r="E388" s="79">
        <v>74.058000000000007</v>
      </c>
      <c r="F388" s="79">
        <v>75.929000000000002</v>
      </c>
      <c r="G388" s="79">
        <v>77.783000000000001</v>
      </c>
      <c r="H388" s="79">
        <v>81.221999999999994</v>
      </c>
      <c r="I388" s="79">
        <v>83.805000000000007</v>
      </c>
      <c r="J388" s="79">
        <v>86.995000000000005</v>
      </c>
      <c r="K388" s="79">
        <v>88.753</v>
      </c>
      <c r="L388" s="79">
        <v>92.369</v>
      </c>
      <c r="M388" s="79">
        <v>93.082999999999998</v>
      </c>
      <c r="N388" s="79">
        <v>98.209000000000003</v>
      </c>
      <c r="O388" s="57">
        <v>100</v>
      </c>
      <c r="P388" s="79">
        <v>100.446</v>
      </c>
      <c r="Q388" s="57">
        <v>102.15300000000001</v>
      </c>
      <c r="R388" s="57">
        <v>103.873</v>
      </c>
      <c r="S388" s="80">
        <v>106.402</v>
      </c>
      <c r="T388" s="63"/>
      <c r="AD388" s="57"/>
      <c r="AE388" s="57"/>
      <c r="AF388" s="57"/>
      <c r="AG388" s="57"/>
      <c r="AH388" s="57"/>
      <c r="AI388" s="57"/>
      <c r="AJ388" s="57"/>
      <c r="AK388" s="57"/>
      <c r="AL388" s="57"/>
      <c r="AM388" s="57"/>
      <c r="AN388" s="57"/>
      <c r="AO388" s="57"/>
    </row>
    <row r="389" spans="1:41">
      <c r="A389" s="55" t="s">
        <v>418</v>
      </c>
      <c r="B389" s="65" t="s">
        <v>395</v>
      </c>
      <c r="C389" s="79">
        <v>67.738</v>
      </c>
      <c r="D389" s="79">
        <v>67.924000000000007</v>
      </c>
      <c r="E389" s="79">
        <v>69.546000000000006</v>
      </c>
      <c r="F389" s="79">
        <v>72.433999999999997</v>
      </c>
      <c r="G389" s="79">
        <v>75.366</v>
      </c>
      <c r="H389" s="79">
        <v>79.882000000000005</v>
      </c>
      <c r="I389" s="79">
        <v>81.989000000000004</v>
      </c>
      <c r="J389" s="79">
        <v>85.777000000000001</v>
      </c>
      <c r="K389" s="79">
        <v>88.566999999999993</v>
      </c>
      <c r="L389" s="79">
        <v>93.364999999999995</v>
      </c>
      <c r="M389" s="79">
        <v>93.278999999999996</v>
      </c>
      <c r="N389" s="79">
        <v>98.759</v>
      </c>
      <c r="O389" s="57">
        <v>100</v>
      </c>
      <c r="P389" s="79">
        <v>101.358</v>
      </c>
      <c r="Q389" s="57">
        <v>103.916</v>
      </c>
      <c r="R389" s="57">
        <v>106.651</v>
      </c>
      <c r="S389" s="80">
        <v>109.61799999999999</v>
      </c>
      <c r="T389" s="63"/>
      <c r="AD389" s="57"/>
      <c r="AE389" s="57"/>
      <c r="AF389" s="57"/>
      <c r="AG389" s="57"/>
      <c r="AH389" s="57"/>
      <c r="AI389" s="57"/>
      <c r="AJ389" s="57"/>
      <c r="AK389" s="57"/>
      <c r="AL389" s="57"/>
      <c r="AM389" s="57"/>
      <c r="AN389" s="57"/>
      <c r="AO389" s="57"/>
    </row>
    <row r="390" spans="1:41">
      <c r="A390" s="55" t="s">
        <v>418</v>
      </c>
      <c r="B390" s="65" t="s">
        <v>446</v>
      </c>
      <c r="C390" s="79">
        <v>73.221000000000004</v>
      </c>
      <c r="D390" s="79">
        <v>74.561999999999998</v>
      </c>
      <c r="E390" s="79">
        <v>76.09</v>
      </c>
      <c r="F390" s="79">
        <v>76.373000000000005</v>
      </c>
      <c r="G390" s="79">
        <v>77.174999999999997</v>
      </c>
      <c r="H390" s="79">
        <v>79.608999999999995</v>
      </c>
      <c r="I390" s="79">
        <v>82.38</v>
      </c>
      <c r="J390" s="79">
        <v>85.606999999999999</v>
      </c>
      <c r="K390" s="79">
        <v>86.247</v>
      </c>
      <c r="L390" s="79">
        <v>89.073999999999998</v>
      </c>
      <c r="M390" s="79">
        <v>91.084999999999994</v>
      </c>
      <c r="N390" s="81">
        <v>96.49</v>
      </c>
      <c r="O390" s="57">
        <v>100</v>
      </c>
      <c r="P390" s="79">
        <v>98.686999999999998</v>
      </c>
      <c r="Q390" s="57">
        <v>100.85599999999999</v>
      </c>
      <c r="R390" s="57">
        <v>101.825</v>
      </c>
      <c r="S390" s="80">
        <v>102.595</v>
      </c>
      <c r="T390" s="63"/>
      <c r="AD390" s="57"/>
      <c r="AE390" s="57"/>
      <c r="AF390" s="57"/>
      <c r="AG390" s="57"/>
      <c r="AH390" s="57"/>
      <c r="AI390" s="57"/>
      <c r="AJ390" s="57"/>
      <c r="AK390" s="57"/>
      <c r="AL390" s="57"/>
      <c r="AM390" s="57"/>
      <c r="AN390" s="57"/>
      <c r="AO390" s="57"/>
    </row>
    <row r="391" spans="1:41">
      <c r="A391" s="55" t="s">
        <v>418</v>
      </c>
      <c r="B391" s="65" t="s">
        <v>447</v>
      </c>
      <c r="C391" s="79">
        <v>85.673000000000002</v>
      </c>
      <c r="D391" s="79">
        <v>86.216999999999999</v>
      </c>
      <c r="E391" s="79">
        <v>87.997</v>
      </c>
      <c r="F391" s="79">
        <v>88.590999999999994</v>
      </c>
      <c r="G391" s="79">
        <v>88.231999999999999</v>
      </c>
      <c r="H391" s="79">
        <v>91.039000000000001</v>
      </c>
      <c r="I391" s="79">
        <v>93.302000000000007</v>
      </c>
      <c r="J391" s="79">
        <v>94.774000000000001</v>
      </c>
      <c r="K391" s="79">
        <v>94.635000000000005</v>
      </c>
      <c r="L391" s="79">
        <v>96.619</v>
      </c>
      <c r="M391" s="79">
        <v>96.691999999999993</v>
      </c>
      <c r="N391" s="81">
        <v>99.966999999999999</v>
      </c>
      <c r="O391" s="57">
        <v>100</v>
      </c>
      <c r="P391" s="79">
        <v>101.643</v>
      </c>
      <c r="Q391" s="57">
        <v>102.041</v>
      </c>
      <c r="R391" s="57">
        <v>102.899</v>
      </c>
      <c r="S391" s="80">
        <v>105.045</v>
      </c>
      <c r="T391" s="63"/>
      <c r="AD391" s="57"/>
      <c r="AE391" s="57"/>
      <c r="AF391" s="57"/>
      <c r="AG391" s="57"/>
      <c r="AH391" s="57"/>
      <c r="AI391" s="57"/>
      <c r="AJ391" s="57"/>
      <c r="AK391" s="57"/>
      <c r="AL391" s="57"/>
      <c r="AM391" s="57"/>
      <c r="AN391" s="57"/>
      <c r="AO391" s="57"/>
    </row>
    <row r="392" spans="1:41">
      <c r="A392" s="55" t="s">
        <v>418</v>
      </c>
      <c r="B392" s="65" t="s">
        <v>397</v>
      </c>
      <c r="C392" s="79">
        <v>68.233999999999995</v>
      </c>
      <c r="D392" s="79">
        <v>70.956000000000003</v>
      </c>
      <c r="E392" s="79">
        <v>75.792000000000002</v>
      </c>
      <c r="F392" s="79">
        <v>78.747</v>
      </c>
      <c r="G392" s="79">
        <v>80.709999999999994</v>
      </c>
      <c r="H392" s="79">
        <v>82.311999999999998</v>
      </c>
      <c r="I392" s="79">
        <v>87.34</v>
      </c>
      <c r="J392" s="79">
        <v>89.156999999999996</v>
      </c>
      <c r="K392" s="79">
        <v>91.748999999999995</v>
      </c>
      <c r="L392" s="79">
        <v>93.846999999999994</v>
      </c>
      <c r="M392" s="79">
        <v>94.891000000000005</v>
      </c>
      <c r="N392" s="79">
        <v>99.403999999999996</v>
      </c>
      <c r="O392" s="57">
        <v>100</v>
      </c>
      <c r="P392" s="79">
        <v>100.50700000000001</v>
      </c>
      <c r="Q392" s="57">
        <v>97.465999999999994</v>
      </c>
      <c r="R392" s="57">
        <v>97.600999999999999</v>
      </c>
      <c r="S392" s="80">
        <v>104.944</v>
      </c>
      <c r="AD392" s="57"/>
      <c r="AE392" s="57"/>
      <c r="AF392" s="57"/>
      <c r="AG392" s="57"/>
      <c r="AH392" s="57"/>
      <c r="AI392" s="57"/>
      <c r="AJ392" s="57"/>
      <c r="AK392" s="57"/>
      <c r="AL392" s="57"/>
      <c r="AM392" s="57"/>
      <c r="AN392" s="57"/>
      <c r="AO392" s="57"/>
    </row>
    <row r="393" spans="1:41">
      <c r="A393" s="55" t="s">
        <v>418</v>
      </c>
      <c r="B393" s="65" t="s">
        <v>398</v>
      </c>
      <c r="C393" s="79">
        <v>87.518000000000001</v>
      </c>
      <c r="D393" s="79">
        <v>89.548000000000002</v>
      </c>
      <c r="E393" s="79">
        <v>94.382999999999996</v>
      </c>
      <c r="F393" s="79">
        <v>99.731999999999999</v>
      </c>
      <c r="G393" s="79">
        <v>96.575999999999993</v>
      </c>
      <c r="H393" s="79">
        <v>99.055000000000007</v>
      </c>
      <c r="I393" s="79">
        <v>102.111</v>
      </c>
      <c r="J393" s="79">
        <v>106.735</v>
      </c>
      <c r="K393" s="79">
        <v>107.089</v>
      </c>
      <c r="L393" s="79">
        <v>109.529</v>
      </c>
      <c r="M393" s="79">
        <v>109.66800000000001</v>
      </c>
      <c r="N393" s="81">
        <v>106.96</v>
      </c>
      <c r="O393" s="57">
        <v>100</v>
      </c>
      <c r="P393" s="79">
        <v>103.631</v>
      </c>
      <c r="Q393" s="57">
        <v>107.696</v>
      </c>
      <c r="R393" s="57">
        <v>110.042</v>
      </c>
      <c r="S393" s="80">
        <v>112.206</v>
      </c>
      <c r="AD393" s="57"/>
      <c r="AE393" s="57"/>
      <c r="AF393" s="57"/>
      <c r="AG393" s="57"/>
      <c r="AH393" s="57"/>
      <c r="AI393" s="57"/>
      <c r="AJ393" s="57"/>
      <c r="AK393" s="57"/>
      <c r="AL393" s="57"/>
      <c r="AM393" s="57"/>
      <c r="AN393" s="57"/>
      <c r="AO393" s="57"/>
    </row>
    <row r="394" spans="1:41">
      <c r="A394" s="55" t="s">
        <v>418</v>
      </c>
      <c r="B394" s="65" t="s">
        <v>399</v>
      </c>
      <c r="C394" s="79">
        <v>86.293000000000006</v>
      </c>
      <c r="D394" s="79">
        <v>86.17</v>
      </c>
      <c r="E394" s="79">
        <v>89.194999999999993</v>
      </c>
      <c r="F394" s="79">
        <v>93.153999999999996</v>
      </c>
      <c r="G394" s="79">
        <v>87.822999999999993</v>
      </c>
      <c r="H394" s="79">
        <v>91.991</v>
      </c>
      <c r="I394" s="79">
        <v>95.569000000000003</v>
      </c>
      <c r="J394" s="79">
        <v>99.016000000000005</v>
      </c>
      <c r="K394" s="79">
        <v>99.296999999999997</v>
      </c>
      <c r="L394" s="79">
        <v>102.322</v>
      </c>
      <c r="M394" s="79">
        <v>103.931</v>
      </c>
      <c r="N394" s="81">
        <v>103.54900000000001</v>
      </c>
      <c r="O394" s="57">
        <v>100</v>
      </c>
      <c r="P394" s="79">
        <v>104.366</v>
      </c>
      <c r="Q394" s="57">
        <v>106.45</v>
      </c>
      <c r="R394" s="57">
        <v>109.282</v>
      </c>
      <c r="S394" s="80">
        <v>113.05500000000001</v>
      </c>
      <c r="T394" s="63"/>
      <c r="AD394" s="57"/>
      <c r="AE394" s="57"/>
      <c r="AF394" s="57"/>
      <c r="AG394" s="57"/>
      <c r="AH394" s="57"/>
      <c r="AI394" s="57"/>
      <c r="AJ394" s="57"/>
      <c r="AK394" s="57"/>
      <c r="AL394" s="57"/>
      <c r="AM394" s="57"/>
      <c r="AN394" s="57"/>
      <c r="AO394" s="57"/>
    </row>
    <row r="395" spans="1:41">
      <c r="A395" s="55" t="s">
        <v>418</v>
      </c>
      <c r="B395" s="65" t="s">
        <v>400</v>
      </c>
      <c r="C395" s="79">
        <v>76.346000000000004</v>
      </c>
      <c r="D395" s="79">
        <v>80.825999999999993</v>
      </c>
      <c r="E395" s="79">
        <v>82.74</v>
      </c>
      <c r="F395" s="79">
        <v>86.584000000000003</v>
      </c>
      <c r="G395" s="79">
        <v>86.77</v>
      </c>
      <c r="H395" s="79">
        <v>92.793999999999997</v>
      </c>
      <c r="I395" s="79">
        <v>97.738</v>
      </c>
      <c r="J395" s="79">
        <v>99.028999999999996</v>
      </c>
      <c r="K395" s="79">
        <v>97.161000000000001</v>
      </c>
      <c r="L395" s="79">
        <v>102.46599999999999</v>
      </c>
      <c r="M395" s="79">
        <v>100.631</v>
      </c>
      <c r="N395" s="79">
        <v>101.72199999999999</v>
      </c>
      <c r="O395" s="57">
        <v>100</v>
      </c>
      <c r="P395" s="79">
        <v>99.394999999999996</v>
      </c>
      <c r="Q395" s="57">
        <v>101.431</v>
      </c>
      <c r="R395" s="57">
        <v>104.375</v>
      </c>
      <c r="S395" s="80">
        <v>109.236</v>
      </c>
      <c r="T395" s="63"/>
      <c r="AD395" s="57"/>
      <c r="AE395" s="57"/>
      <c r="AF395" s="57"/>
      <c r="AG395" s="57"/>
      <c r="AH395" s="57"/>
      <c r="AI395" s="57"/>
      <c r="AJ395" s="57"/>
      <c r="AK395" s="57"/>
      <c r="AL395" s="57"/>
      <c r="AM395" s="57"/>
      <c r="AN395" s="57"/>
      <c r="AO395" s="57"/>
    </row>
    <row r="396" spans="1:41">
      <c r="A396" s="55" t="s">
        <v>418</v>
      </c>
      <c r="B396" s="65" t="s">
        <v>401</v>
      </c>
      <c r="C396" s="79">
        <v>97.686999999999998</v>
      </c>
      <c r="D396" s="79">
        <v>92.507000000000005</v>
      </c>
      <c r="E396" s="79">
        <v>96.778999999999996</v>
      </c>
      <c r="F396" s="79">
        <v>100.881</v>
      </c>
      <c r="G396" s="79">
        <v>89.132000000000005</v>
      </c>
      <c r="H396" s="79">
        <v>91.126999999999995</v>
      </c>
      <c r="I396" s="79">
        <v>93.097999999999999</v>
      </c>
      <c r="J396" s="79">
        <v>99.143000000000001</v>
      </c>
      <c r="K396" s="79">
        <v>102.098</v>
      </c>
      <c r="L396" s="79">
        <v>102.229</v>
      </c>
      <c r="M396" s="79">
        <v>108.248</v>
      </c>
      <c r="N396" s="79">
        <v>105.95</v>
      </c>
      <c r="O396" s="57">
        <v>100</v>
      </c>
      <c r="P396" s="79">
        <v>110.962</v>
      </c>
      <c r="Q396" s="57">
        <v>113.11</v>
      </c>
      <c r="R396" s="57">
        <v>115.79</v>
      </c>
      <c r="S396" s="80">
        <v>118.116</v>
      </c>
      <c r="AD396" s="57"/>
      <c r="AE396" s="57"/>
      <c r="AF396" s="57"/>
      <c r="AG396" s="57"/>
      <c r="AH396" s="57"/>
      <c r="AI396" s="57"/>
      <c r="AJ396" s="57"/>
      <c r="AK396" s="57"/>
      <c r="AL396" s="57"/>
      <c r="AM396" s="57"/>
      <c r="AN396" s="57"/>
      <c r="AO396" s="57"/>
    </row>
    <row r="397" spans="1:41">
      <c r="A397" s="55" t="s">
        <v>418</v>
      </c>
      <c r="B397" s="65" t="s">
        <v>402</v>
      </c>
      <c r="C397" s="79">
        <v>87.963999999999999</v>
      </c>
      <c r="D397" s="79">
        <v>90.787000000000006</v>
      </c>
      <c r="E397" s="79">
        <v>96.287999999999997</v>
      </c>
      <c r="F397" s="79">
        <v>102.15600000000001</v>
      </c>
      <c r="G397" s="79">
        <v>99.820999999999998</v>
      </c>
      <c r="H397" s="79">
        <v>101.67</v>
      </c>
      <c r="I397" s="79">
        <v>104.529</v>
      </c>
      <c r="J397" s="79">
        <v>109.598</v>
      </c>
      <c r="K397" s="79">
        <v>109.97799999999999</v>
      </c>
      <c r="L397" s="79">
        <v>112.197</v>
      </c>
      <c r="M397" s="79">
        <v>111.78400000000001</v>
      </c>
      <c r="N397" s="79">
        <v>108.208</v>
      </c>
      <c r="O397" s="57">
        <v>100</v>
      </c>
      <c r="P397" s="79">
        <v>103.36499999999999</v>
      </c>
      <c r="Q397" s="57">
        <v>108.14700000000001</v>
      </c>
      <c r="R397" s="57">
        <v>110.319</v>
      </c>
      <c r="S397" s="80">
        <v>111.90900000000001</v>
      </c>
      <c r="T397" s="63"/>
      <c r="AD397" s="57"/>
      <c r="AE397" s="57"/>
      <c r="AF397" s="57"/>
      <c r="AG397" s="57"/>
      <c r="AH397" s="57"/>
      <c r="AI397" s="57"/>
      <c r="AJ397" s="57"/>
      <c r="AK397" s="57"/>
      <c r="AL397" s="57"/>
      <c r="AM397" s="57"/>
      <c r="AN397" s="57"/>
      <c r="AO397" s="57"/>
    </row>
    <row r="398" spans="1:41">
      <c r="A398" s="55" t="s">
        <v>418</v>
      </c>
      <c r="B398" s="65" t="s">
        <v>403</v>
      </c>
      <c r="C398" s="79">
        <v>94.338999999999999</v>
      </c>
      <c r="D398" s="79">
        <v>96.44</v>
      </c>
      <c r="E398" s="79">
        <v>102.504</v>
      </c>
      <c r="F398" s="79">
        <v>110.455</v>
      </c>
      <c r="G398" s="79">
        <v>101.46</v>
      </c>
      <c r="H398" s="79">
        <v>103.452</v>
      </c>
      <c r="I398" s="79">
        <v>105.02500000000001</v>
      </c>
      <c r="J398" s="79">
        <v>112.188</v>
      </c>
      <c r="K398" s="79">
        <v>112.39400000000001</v>
      </c>
      <c r="L398" s="79">
        <v>114.66800000000001</v>
      </c>
      <c r="M398" s="79">
        <v>116.839</v>
      </c>
      <c r="N398" s="81">
        <v>112.825</v>
      </c>
      <c r="O398" s="57">
        <v>100</v>
      </c>
      <c r="P398" s="79">
        <v>104.735</v>
      </c>
      <c r="Q398" s="57">
        <v>111.82899999999999</v>
      </c>
      <c r="R398" s="57">
        <v>114.35</v>
      </c>
      <c r="S398" s="80">
        <v>117.221</v>
      </c>
      <c r="T398" s="63"/>
      <c r="AD398" s="57"/>
      <c r="AE398" s="57"/>
      <c r="AF398" s="57"/>
      <c r="AG398" s="57"/>
      <c r="AH398" s="57"/>
      <c r="AI398" s="57"/>
      <c r="AJ398" s="57"/>
      <c r="AK398" s="57"/>
      <c r="AL398" s="57"/>
      <c r="AM398" s="57"/>
      <c r="AN398" s="57"/>
      <c r="AO398" s="57"/>
    </row>
    <row r="399" spans="1:41">
      <c r="A399" s="55" t="s">
        <v>418</v>
      </c>
      <c r="B399" s="65" t="s">
        <v>404</v>
      </c>
      <c r="C399" s="79">
        <v>85.298000000000002</v>
      </c>
      <c r="D399" s="79">
        <v>88.427999999999997</v>
      </c>
      <c r="E399" s="79">
        <v>93.691999999999993</v>
      </c>
      <c r="F399" s="79">
        <v>98.673000000000002</v>
      </c>
      <c r="G399" s="79">
        <v>99.209000000000003</v>
      </c>
      <c r="H399" s="79">
        <v>100.998</v>
      </c>
      <c r="I399" s="79">
        <v>104.39400000000001</v>
      </c>
      <c r="J399" s="79">
        <v>108.602</v>
      </c>
      <c r="K399" s="79">
        <v>109.05500000000001</v>
      </c>
      <c r="L399" s="79">
        <v>111.253</v>
      </c>
      <c r="M399" s="79">
        <v>109.733</v>
      </c>
      <c r="N399" s="81">
        <v>106.34099999999999</v>
      </c>
      <c r="O399" s="57">
        <v>100</v>
      </c>
      <c r="P399" s="79">
        <v>102.842</v>
      </c>
      <c r="Q399" s="57">
        <v>106.733</v>
      </c>
      <c r="R399" s="57">
        <v>108.77</v>
      </c>
      <c r="S399" s="80">
        <v>109.86799999999999</v>
      </c>
      <c r="AD399" s="57"/>
      <c r="AE399" s="57"/>
      <c r="AF399" s="57"/>
      <c r="AG399" s="57"/>
      <c r="AH399" s="57"/>
      <c r="AI399" s="57"/>
      <c r="AJ399" s="57"/>
      <c r="AK399" s="57"/>
      <c r="AL399" s="57"/>
      <c r="AM399" s="57"/>
      <c r="AN399" s="57"/>
      <c r="AO399" s="57"/>
    </row>
    <row r="400" spans="1:41">
      <c r="A400" s="55" t="s">
        <v>418</v>
      </c>
      <c r="B400" s="65" t="s">
        <v>415</v>
      </c>
      <c r="C400" s="79">
        <v>114.35899999999999</v>
      </c>
      <c r="D400" s="79">
        <v>118.94499999999999</v>
      </c>
      <c r="E400" s="79">
        <v>119.792</v>
      </c>
      <c r="F400" s="79">
        <v>122.449</v>
      </c>
      <c r="G400" s="79">
        <v>110.294</v>
      </c>
      <c r="H400" s="79">
        <v>113.30500000000001</v>
      </c>
      <c r="I400" s="79">
        <v>109.76</v>
      </c>
      <c r="J400" s="79">
        <v>111.476</v>
      </c>
      <c r="K400" s="79">
        <v>111.87</v>
      </c>
      <c r="L400" s="79">
        <v>112.324</v>
      </c>
      <c r="M400" s="79">
        <v>109.523</v>
      </c>
      <c r="N400" s="79">
        <v>105.43899999999999</v>
      </c>
      <c r="O400" s="57">
        <v>100</v>
      </c>
      <c r="P400" s="79">
        <v>98.304000000000002</v>
      </c>
      <c r="Q400" s="57">
        <v>97.932000000000002</v>
      </c>
      <c r="R400" s="57">
        <v>99.861999999999995</v>
      </c>
      <c r="S400" s="80">
        <v>100.56100000000001</v>
      </c>
      <c r="AD400" s="57"/>
      <c r="AE400" s="57"/>
      <c r="AF400" s="57"/>
      <c r="AG400" s="57"/>
      <c r="AH400" s="57"/>
      <c r="AI400" s="57"/>
      <c r="AJ400" s="57"/>
      <c r="AK400" s="57"/>
      <c r="AL400" s="57"/>
      <c r="AM400" s="57"/>
      <c r="AN400" s="57"/>
      <c r="AO400" s="57"/>
    </row>
    <row r="401" spans="1:41">
      <c r="A401" s="55" t="s">
        <v>418</v>
      </c>
      <c r="B401" s="65" t="s">
        <v>174</v>
      </c>
      <c r="C401" s="79">
        <v>86.986999999999995</v>
      </c>
      <c r="D401" s="79">
        <v>88.028999999999996</v>
      </c>
      <c r="E401" s="79">
        <v>89.091999999999999</v>
      </c>
      <c r="F401" s="79">
        <v>90.82</v>
      </c>
      <c r="G401" s="79">
        <v>91.638000000000005</v>
      </c>
      <c r="H401" s="79">
        <v>93.313000000000002</v>
      </c>
      <c r="I401" s="79">
        <v>94.427999999999997</v>
      </c>
      <c r="J401" s="79">
        <v>95.283000000000001</v>
      </c>
      <c r="K401" s="79">
        <v>96.096999999999994</v>
      </c>
      <c r="L401" s="79">
        <v>96.656999999999996</v>
      </c>
      <c r="M401" s="79">
        <v>97.671000000000006</v>
      </c>
      <c r="N401" s="81">
        <v>99.456000000000003</v>
      </c>
      <c r="O401" s="57">
        <v>100</v>
      </c>
      <c r="P401" s="79">
        <v>100.676</v>
      </c>
      <c r="Q401" s="57">
        <v>100.285</v>
      </c>
      <c r="R401" s="57">
        <v>99.831999999999994</v>
      </c>
      <c r="S401" s="80">
        <v>99.203999999999994</v>
      </c>
      <c r="AD401" s="57"/>
      <c r="AE401" s="57"/>
      <c r="AF401" s="57"/>
      <c r="AG401" s="57"/>
      <c r="AH401" s="57"/>
      <c r="AI401" s="57"/>
      <c r="AJ401" s="57"/>
      <c r="AK401" s="57"/>
      <c r="AL401" s="57"/>
      <c r="AM401" s="57"/>
      <c r="AN401" s="57"/>
      <c r="AO401" s="57"/>
    </row>
    <row r="402" spans="1:41">
      <c r="A402" s="55" t="s">
        <v>418</v>
      </c>
      <c r="B402" s="65" t="s">
        <v>219</v>
      </c>
      <c r="C402" s="79">
        <v>88.238</v>
      </c>
      <c r="D402" s="79">
        <v>88.040999999999997</v>
      </c>
      <c r="E402" s="79">
        <v>87.503</v>
      </c>
      <c r="F402" s="79">
        <v>88.460999999999999</v>
      </c>
      <c r="G402" s="79">
        <v>87.417000000000002</v>
      </c>
      <c r="H402" s="79">
        <v>89.063999999999993</v>
      </c>
      <c r="I402" s="79">
        <v>90.793000000000006</v>
      </c>
      <c r="J402" s="79">
        <v>92.465000000000003</v>
      </c>
      <c r="K402" s="79">
        <v>93.245999999999995</v>
      </c>
      <c r="L402" s="79">
        <v>93.703000000000003</v>
      </c>
      <c r="M402" s="79">
        <v>94.540999999999997</v>
      </c>
      <c r="N402" s="81">
        <v>97.096999999999994</v>
      </c>
      <c r="O402" s="57">
        <v>100</v>
      </c>
      <c r="P402" s="79">
        <v>102.46599999999999</v>
      </c>
      <c r="Q402" s="57">
        <v>102.693</v>
      </c>
      <c r="R402" s="57">
        <v>102.215</v>
      </c>
      <c r="S402" s="80">
        <v>99.102000000000004</v>
      </c>
      <c r="T402" s="63"/>
      <c r="AD402" s="57"/>
      <c r="AE402" s="57"/>
      <c r="AF402" s="57"/>
      <c r="AG402" s="57"/>
      <c r="AH402" s="57"/>
      <c r="AI402" s="57"/>
      <c r="AJ402" s="57"/>
      <c r="AK402" s="57"/>
      <c r="AL402" s="57"/>
      <c r="AM402" s="57"/>
      <c r="AN402" s="57"/>
      <c r="AO402" s="57"/>
    </row>
    <row r="403" spans="1:41">
      <c r="A403" s="55" t="s">
        <v>418</v>
      </c>
      <c r="B403" s="55" t="s">
        <v>448</v>
      </c>
      <c r="C403" s="57">
        <v>83.99</v>
      </c>
      <c r="D403" s="57">
        <v>83.12</v>
      </c>
      <c r="E403" s="57">
        <v>82.509</v>
      </c>
      <c r="F403" s="57">
        <v>82.974000000000004</v>
      </c>
      <c r="G403" s="57">
        <v>83.331000000000003</v>
      </c>
      <c r="H403" s="57">
        <v>84.757999999999996</v>
      </c>
      <c r="I403" s="57">
        <v>87.018000000000001</v>
      </c>
      <c r="J403" s="57">
        <v>88.370999999999995</v>
      </c>
      <c r="K403" s="57">
        <v>89.588999999999999</v>
      </c>
      <c r="L403" s="57">
        <v>90.335999999999999</v>
      </c>
      <c r="M403" s="57">
        <v>91.634</v>
      </c>
      <c r="N403" s="57">
        <v>95.117999999999995</v>
      </c>
      <c r="O403" s="57">
        <v>100</v>
      </c>
      <c r="P403" s="57">
        <v>103.41800000000001</v>
      </c>
      <c r="Q403" s="57">
        <v>104.515</v>
      </c>
      <c r="R403" s="57">
        <v>104.49</v>
      </c>
      <c r="S403" s="80">
        <v>102.479</v>
      </c>
      <c r="T403" s="63"/>
      <c r="AD403" s="57"/>
      <c r="AE403" s="57"/>
      <c r="AF403" s="57"/>
      <c r="AG403" s="57"/>
      <c r="AH403" s="57"/>
      <c r="AI403" s="57"/>
      <c r="AJ403" s="57"/>
      <c r="AK403" s="57"/>
      <c r="AL403" s="57"/>
      <c r="AM403" s="57"/>
      <c r="AN403" s="57"/>
      <c r="AO403" s="57"/>
    </row>
    <row r="404" spans="1:41">
      <c r="A404" s="55" t="s">
        <v>418</v>
      </c>
      <c r="B404" s="69" t="s">
        <v>449</v>
      </c>
      <c r="C404" s="57">
        <v>87.576999999999998</v>
      </c>
      <c r="D404" s="57">
        <v>85.230999999999995</v>
      </c>
      <c r="E404" s="57">
        <v>83.430999999999997</v>
      </c>
      <c r="F404" s="57">
        <v>82.495999999999995</v>
      </c>
      <c r="G404" s="57">
        <v>82.49</v>
      </c>
      <c r="H404" s="57">
        <v>83.596999999999994</v>
      </c>
      <c r="I404" s="57">
        <v>85.911000000000001</v>
      </c>
      <c r="J404" s="57">
        <v>87.917000000000002</v>
      </c>
      <c r="K404" s="57">
        <v>89.388999999999996</v>
      </c>
      <c r="L404" s="57">
        <v>89.9</v>
      </c>
      <c r="M404" s="57">
        <v>91.128</v>
      </c>
      <c r="N404" s="57">
        <v>94.781000000000006</v>
      </c>
      <c r="O404" s="57">
        <v>100</v>
      </c>
      <c r="P404" s="57">
        <v>103.206</v>
      </c>
      <c r="Q404" s="57">
        <v>104.68899999999999</v>
      </c>
      <c r="R404" s="57">
        <v>103.84699999999999</v>
      </c>
      <c r="S404" s="80">
        <v>101.499</v>
      </c>
      <c r="T404" s="63"/>
      <c r="AD404" s="57"/>
      <c r="AE404" s="57"/>
      <c r="AF404" s="57"/>
      <c r="AG404" s="57"/>
      <c r="AH404" s="57"/>
      <c r="AI404" s="57"/>
      <c r="AJ404" s="57"/>
      <c r="AK404" s="57"/>
      <c r="AL404" s="57"/>
      <c r="AM404" s="57"/>
      <c r="AN404" s="57"/>
      <c r="AO404" s="57"/>
    </row>
    <row r="405" spans="1:41">
      <c r="A405" s="55" t="s">
        <v>418</v>
      </c>
      <c r="B405" s="69" t="s">
        <v>450</v>
      </c>
      <c r="C405" s="57">
        <v>78.492000000000004</v>
      </c>
      <c r="D405" s="57">
        <v>79.917000000000002</v>
      </c>
      <c r="E405" s="57">
        <v>81.149000000000001</v>
      </c>
      <c r="F405" s="57">
        <v>83.777000000000001</v>
      </c>
      <c r="G405" s="57">
        <v>84.694999999999993</v>
      </c>
      <c r="H405" s="57">
        <v>86.622</v>
      </c>
      <c r="I405" s="57">
        <v>88.796000000000006</v>
      </c>
      <c r="J405" s="57">
        <v>89.108999999999995</v>
      </c>
      <c r="K405" s="57">
        <v>89.918999999999997</v>
      </c>
      <c r="L405" s="57">
        <v>91.05</v>
      </c>
      <c r="M405" s="57">
        <v>92.460999999999999</v>
      </c>
      <c r="N405" s="57">
        <v>95.668999999999997</v>
      </c>
      <c r="O405" s="57">
        <v>100</v>
      </c>
      <c r="P405" s="57">
        <v>103.759</v>
      </c>
      <c r="Q405" s="57">
        <v>104.23699999999999</v>
      </c>
      <c r="R405" s="57">
        <v>105.53</v>
      </c>
      <c r="S405" s="80">
        <v>104.05800000000001</v>
      </c>
      <c r="T405" s="63"/>
      <c r="AD405" s="57"/>
      <c r="AE405" s="57"/>
      <c r="AF405" s="57"/>
      <c r="AG405" s="57"/>
      <c r="AH405" s="57"/>
      <c r="AI405" s="57"/>
      <c r="AJ405" s="57"/>
      <c r="AK405" s="57"/>
      <c r="AL405" s="57"/>
      <c r="AM405" s="57"/>
      <c r="AN405" s="57"/>
      <c r="AO405" s="57"/>
    </row>
    <row r="406" spans="1:41" ht="15">
      <c r="A406" s="55" t="s">
        <v>418</v>
      </c>
      <c r="B406" s="70" t="s">
        <v>451</v>
      </c>
      <c r="C406" s="79">
        <v>134.95699999999999</v>
      </c>
      <c r="D406" s="79">
        <v>141.101</v>
      </c>
      <c r="E406" s="79">
        <v>141.23599999999999</v>
      </c>
      <c r="F406" s="79">
        <v>147.108</v>
      </c>
      <c r="G406" s="79">
        <v>132.12700000000001</v>
      </c>
      <c r="H406" s="79">
        <v>136.02000000000001</v>
      </c>
      <c r="I406" s="79">
        <v>132.48699999999999</v>
      </c>
      <c r="J406" s="79">
        <v>137.55699999999999</v>
      </c>
      <c r="K406" s="79">
        <v>133.45099999999999</v>
      </c>
      <c r="L406" s="79">
        <v>130.60900000000001</v>
      </c>
      <c r="M406" s="79">
        <v>126.283</v>
      </c>
      <c r="N406" s="57">
        <v>118.40600000000001</v>
      </c>
      <c r="O406" s="57">
        <v>100</v>
      </c>
      <c r="P406" s="57">
        <v>92.933000000000007</v>
      </c>
      <c r="Q406" s="57">
        <v>84.322000000000003</v>
      </c>
      <c r="R406" s="57">
        <v>79.197999999999993</v>
      </c>
      <c r="S406" s="80">
        <v>64.769000000000005</v>
      </c>
      <c r="AD406" s="57"/>
      <c r="AE406" s="57"/>
      <c r="AF406" s="57"/>
      <c r="AG406" s="57"/>
      <c r="AH406" s="57"/>
      <c r="AI406" s="57"/>
      <c r="AJ406" s="57"/>
      <c r="AK406" s="57"/>
      <c r="AL406" s="57"/>
      <c r="AM406" s="57"/>
      <c r="AN406" s="57"/>
      <c r="AO406" s="57"/>
    </row>
    <row r="407" spans="1:41">
      <c r="A407" s="55" t="s">
        <v>418</v>
      </c>
      <c r="B407" s="65" t="s">
        <v>221</v>
      </c>
      <c r="C407" s="79">
        <v>86.353999999999999</v>
      </c>
      <c r="D407" s="79">
        <v>88.013000000000005</v>
      </c>
      <c r="E407" s="79">
        <v>89.86</v>
      </c>
      <c r="F407" s="79">
        <v>91.962000000000003</v>
      </c>
      <c r="G407" s="79">
        <v>93.673000000000002</v>
      </c>
      <c r="H407" s="79">
        <v>95.361000000000004</v>
      </c>
      <c r="I407" s="79">
        <v>96.174999999999997</v>
      </c>
      <c r="J407" s="79">
        <v>96.629000000000005</v>
      </c>
      <c r="K407" s="79">
        <v>97.46</v>
      </c>
      <c r="L407" s="79">
        <v>98.069000000000003</v>
      </c>
      <c r="M407" s="79">
        <v>99.168999999999997</v>
      </c>
      <c r="N407" s="57">
        <v>100.581</v>
      </c>
      <c r="O407" s="57">
        <v>100</v>
      </c>
      <c r="P407" s="57">
        <v>99.825999999999993</v>
      </c>
      <c r="Q407" s="57">
        <v>99.141000000000005</v>
      </c>
      <c r="R407" s="57">
        <v>98.700999999999993</v>
      </c>
      <c r="S407" s="80">
        <v>99.238</v>
      </c>
      <c r="T407" s="63"/>
      <c r="AD407" s="57"/>
      <c r="AE407" s="57"/>
      <c r="AF407" s="57"/>
      <c r="AG407" s="57"/>
      <c r="AH407" s="57"/>
      <c r="AI407" s="57"/>
      <c r="AJ407" s="57"/>
      <c r="AK407" s="57"/>
      <c r="AL407" s="57"/>
      <c r="AM407" s="57"/>
      <c r="AN407" s="57"/>
      <c r="AO407" s="57"/>
    </row>
    <row r="408" spans="1:41">
      <c r="A408" s="55" t="s">
        <v>418</v>
      </c>
      <c r="B408" s="65" t="s">
        <v>452</v>
      </c>
      <c r="C408" s="79">
        <v>85.415000000000006</v>
      </c>
      <c r="D408" s="79">
        <v>87.236999999999995</v>
      </c>
      <c r="E408" s="79">
        <v>88.673000000000002</v>
      </c>
      <c r="F408" s="79">
        <v>90.543999999999997</v>
      </c>
      <c r="G408" s="79">
        <v>92.706000000000003</v>
      </c>
      <c r="H408" s="79">
        <v>94.524000000000001</v>
      </c>
      <c r="I408" s="79">
        <v>95.126999999999995</v>
      </c>
      <c r="J408" s="79">
        <v>95.459000000000003</v>
      </c>
      <c r="K408" s="79">
        <v>96.138000000000005</v>
      </c>
      <c r="L408" s="79">
        <v>96.938000000000002</v>
      </c>
      <c r="M408" s="79">
        <v>98.301000000000002</v>
      </c>
      <c r="N408" s="57">
        <v>99.608999999999995</v>
      </c>
      <c r="O408" s="57">
        <v>100</v>
      </c>
      <c r="P408" s="57">
        <v>99.325999999999993</v>
      </c>
      <c r="Q408" s="57">
        <v>98.215000000000003</v>
      </c>
      <c r="R408" s="57">
        <v>97.688999999999993</v>
      </c>
      <c r="S408" s="80">
        <v>98.400999999999996</v>
      </c>
      <c r="T408" s="63"/>
      <c r="AD408" s="57"/>
      <c r="AE408" s="57"/>
      <c r="AF408" s="57"/>
      <c r="AG408" s="57"/>
      <c r="AH408" s="57"/>
      <c r="AI408" s="57"/>
      <c r="AJ408" s="57"/>
      <c r="AK408" s="57"/>
      <c r="AL408" s="57"/>
      <c r="AM408" s="57"/>
      <c r="AN408" s="57"/>
      <c r="AO408" s="57"/>
    </row>
    <row r="409" spans="1:41">
      <c r="A409" s="55" t="s">
        <v>418</v>
      </c>
      <c r="B409" s="65" t="s">
        <v>453</v>
      </c>
      <c r="C409" s="79">
        <v>100.518</v>
      </c>
      <c r="D409" s="79">
        <v>100.185</v>
      </c>
      <c r="E409" s="79">
        <v>107.294</v>
      </c>
      <c r="F409" s="79">
        <v>112.54900000000001</v>
      </c>
      <c r="G409" s="79">
        <v>108.16500000000001</v>
      </c>
      <c r="H409" s="79">
        <v>108.12</v>
      </c>
      <c r="I409" s="79">
        <v>111.87</v>
      </c>
      <c r="J409" s="79">
        <v>114.065</v>
      </c>
      <c r="K409" s="79">
        <v>117.13500000000001</v>
      </c>
      <c r="L409" s="79">
        <v>114.943</v>
      </c>
      <c r="M409" s="79">
        <v>112.152</v>
      </c>
      <c r="N409" s="57">
        <v>115.145</v>
      </c>
      <c r="O409" s="57">
        <v>100</v>
      </c>
      <c r="P409" s="57">
        <v>106.622</v>
      </c>
      <c r="Q409" s="57">
        <v>111.828</v>
      </c>
      <c r="R409" s="57">
        <v>112.574</v>
      </c>
      <c r="S409" s="80">
        <v>110.749</v>
      </c>
      <c r="AD409" s="57"/>
      <c r="AE409" s="57"/>
      <c r="AF409" s="57"/>
      <c r="AG409" s="57"/>
      <c r="AH409" s="57"/>
      <c r="AI409" s="57"/>
      <c r="AJ409" s="57"/>
      <c r="AK409" s="57"/>
      <c r="AL409" s="57"/>
      <c r="AM409" s="57"/>
      <c r="AN409" s="57"/>
      <c r="AO409" s="57"/>
    </row>
    <row r="410" spans="1:41">
      <c r="B410" s="55" t="s">
        <v>198</v>
      </c>
      <c r="AD410" s="57"/>
      <c r="AE410" s="57"/>
      <c r="AF410" s="57"/>
      <c r="AG410" s="57"/>
      <c r="AH410" s="57"/>
      <c r="AI410" s="57"/>
      <c r="AJ410" s="57"/>
      <c r="AK410" s="57"/>
      <c r="AL410" s="57"/>
      <c r="AM410" s="57"/>
      <c r="AN410" s="57"/>
      <c r="AO410" s="57"/>
    </row>
    <row r="411" spans="1:41" ht="14.25">
      <c r="A411" s="55" t="s">
        <v>418</v>
      </c>
      <c r="B411" s="69" t="s">
        <v>454</v>
      </c>
      <c r="C411" s="55">
        <v>84.144999999999996</v>
      </c>
      <c r="D411" s="55">
        <v>87.724999999999994</v>
      </c>
      <c r="E411" s="55">
        <v>91.82</v>
      </c>
      <c r="F411" s="55">
        <v>96.63</v>
      </c>
      <c r="G411" s="55">
        <v>94.141999999999996</v>
      </c>
      <c r="H411" s="55">
        <v>94.150999999999996</v>
      </c>
      <c r="I411" s="55">
        <v>97.486999999999995</v>
      </c>
      <c r="J411" s="55">
        <v>102.63</v>
      </c>
      <c r="K411" s="55">
        <v>104.381</v>
      </c>
      <c r="L411" s="55">
        <v>108.11</v>
      </c>
      <c r="M411" s="55">
        <v>109.20699999999999</v>
      </c>
      <c r="N411" s="55">
        <v>105.575</v>
      </c>
      <c r="O411" s="55">
        <v>100</v>
      </c>
      <c r="P411" s="55">
        <v>101.773</v>
      </c>
      <c r="Q411" s="55">
        <v>102.349</v>
      </c>
      <c r="R411" s="55">
        <v>104.64400000000001</v>
      </c>
      <c r="S411" s="80">
        <v>107.262</v>
      </c>
      <c r="AD411" s="57"/>
      <c r="AE411" s="57"/>
      <c r="AF411" s="57"/>
      <c r="AG411" s="57"/>
      <c r="AH411" s="57"/>
      <c r="AI411" s="57"/>
      <c r="AJ411" s="57"/>
      <c r="AK411" s="57"/>
      <c r="AL411" s="57"/>
      <c r="AM411" s="57"/>
      <c r="AN411" s="57"/>
      <c r="AO411" s="57"/>
    </row>
    <row r="412" spans="1:41" ht="14.25">
      <c r="A412" s="55" t="s">
        <v>418</v>
      </c>
      <c r="B412" s="69" t="s">
        <v>455</v>
      </c>
      <c r="C412" s="55">
        <v>73.983999999999995</v>
      </c>
      <c r="D412" s="55">
        <v>77.646000000000001</v>
      </c>
      <c r="E412" s="55">
        <v>81.81</v>
      </c>
      <c r="F412" s="55">
        <v>85.007999999999996</v>
      </c>
      <c r="G412" s="55">
        <v>86.78</v>
      </c>
      <c r="H412" s="55">
        <v>88.783000000000001</v>
      </c>
      <c r="I412" s="55">
        <v>91.078999999999994</v>
      </c>
      <c r="J412" s="55">
        <v>94.334000000000003</v>
      </c>
      <c r="K412" s="55">
        <v>98.263000000000005</v>
      </c>
      <c r="L412" s="55">
        <v>101.015</v>
      </c>
      <c r="M412" s="55">
        <v>102.73</v>
      </c>
      <c r="N412" s="55">
        <v>102.63200000000001</v>
      </c>
      <c r="O412" s="55">
        <v>100</v>
      </c>
      <c r="P412" s="55">
        <v>102.58799999999999</v>
      </c>
      <c r="Q412" s="55">
        <v>104.742</v>
      </c>
      <c r="R412" s="55">
        <v>107.36</v>
      </c>
      <c r="S412" s="80">
        <v>109.69799999999999</v>
      </c>
      <c r="T412" s="63"/>
      <c r="AD412" s="57"/>
      <c r="AE412" s="57"/>
      <c r="AF412" s="57"/>
      <c r="AG412" s="57"/>
      <c r="AH412" s="57"/>
      <c r="AI412" s="57"/>
      <c r="AJ412" s="57"/>
      <c r="AK412" s="57"/>
      <c r="AL412" s="57"/>
      <c r="AM412" s="57"/>
      <c r="AN412" s="57"/>
      <c r="AO412" s="57"/>
    </row>
    <row r="413" spans="1:41" ht="14.25">
      <c r="A413" s="55" t="s">
        <v>418</v>
      </c>
      <c r="B413" s="71" t="s">
        <v>456</v>
      </c>
      <c r="C413" s="57">
        <v>31.091999999999999</v>
      </c>
      <c r="D413" s="57">
        <v>37.014000000000003</v>
      </c>
      <c r="E413" s="57">
        <v>42.84</v>
      </c>
      <c r="F413" s="57">
        <v>50.695</v>
      </c>
      <c r="G413" s="57">
        <v>53.103999999999999</v>
      </c>
      <c r="H413" s="57">
        <v>56.814</v>
      </c>
      <c r="I413" s="57">
        <v>62.540999999999997</v>
      </c>
      <c r="J413" s="57">
        <v>70.629000000000005</v>
      </c>
      <c r="K413" s="57">
        <v>78.878</v>
      </c>
      <c r="L413" s="57">
        <v>86.164000000000001</v>
      </c>
      <c r="M413" s="57">
        <v>95.367000000000004</v>
      </c>
      <c r="N413" s="57">
        <v>102.28700000000001</v>
      </c>
      <c r="O413" s="57">
        <v>100</v>
      </c>
      <c r="P413" s="57">
        <v>104.639</v>
      </c>
      <c r="Q413" s="57">
        <v>108.304</v>
      </c>
      <c r="R413" s="57">
        <v>112.236</v>
      </c>
      <c r="S413" s="80">
        <v>117.196</v>
      </c>
      <c r="AD413" s="57"/>
      <c r="AE413" s="57"/>
      <c r="AF413" s="57"/>
      <c r="AG413" s="57"/>
      <c r="AH413" s="57"/>
      <c r="AI413" s="57"/>
      <c r="AJ413" s="57"/>
      <c r="AK413" s="57"/>
      <c r="AL413" s="57"/>
      <c r="AM413" s="57"/>
      <c r="AN413" s="57"/>
      <c r="AO413" s="57"/>
    </row>
    <row r="414" spans="1:41">
      <c r="C414" s="57"/>
      <c r="D414" s="57"/>
      <c r="E414" s="57"/>
      <c r="F414" s="57"/>
      <c r="G414" s="57"/>
      <c r="H414" s="57"/>
      <c r="I414" s="57"/>
      <c r="J414" s="57"/>
      <c r="K414" s="57"/>
      <c r="L414" s="57"/>
      <c r="M414" s="57"/>
      <c r="N414" s="57"/>
      <c r="O414" s="57"/>
      <c r="P414" s="57"/>
      <c r="Q414" s="57"/>
      <c r="R414" s="57"/>
    </row>
    <row r="415" spans="1:41">
      <c r="A415" s="60" t="s">
        <v>460</v>
      </c>
      <c r="C415" s="57"/>
      <c r="D415" s="57"/>
      <c r="E415" s="57"/>
      <c r="F415" s="57"/>
      <c r="G415" s="57"/>
      <c r="H415" s="57"/>
      <c r="I415" s="57"/>
      <c r="J415" s="57"/>
      <c r="K415" s="57"/>
      <c r="L415" s="57"/>
      <c r="M415" s="57"/>
      <c r="N415" s="57"/>
      <c r="O415" s="57"/>
      <c r="P415" s="57"/>
      <c r="Q415" s="57"/>
      <c r="R415" s="57"/>
    </row>
    <row r="416" spans="1:41" ht="14.25">
      <c r="A416" s="55" t="s">
        <v>420</v>
      </c>
      <c r="B416" s="69" t="s">
        <v>461</v>
      </c>
      <c r="C416" s="79">
        <v>78.012</v>
      </c>
      <c r="D416" s="79">
        <v>78.858999999999995</v>
      </c>
      <c r="E416" s="79">
        <v>80.064999999999998</v>
      </c>
      <c r="F416" s="79">
        <v>81.887</v>
      </c>
      <c r="G416" s="79">
        <v>83.754000000000005</v>
      </c>
      <c r="H416" s="79">
        <v>85.039000000000001</v>
      </c>
      <c r="I416" s="79">
        <v>86.734999999999999</v>
      </c>
      <c r="J416" s="79">
        <v>89.12</v>
      </c>
      <c r="K416" s="79">
        <v>91.988</v>
      </c>
      <c r="L416" s="79">
        <v>94.813999999999993</v>
      </c>
      <c r="M416" s="79">
        <v>97.337000000000003</v>
      </c>
      <c r="N416" s="79">
        <v>99.245999999999995</v>
      </c>
      <c r="O416" s="57">
        <v>100</v>
      </c>
      <c r="P416" s="79">
        <v>101.221</v>
      </c>
      <c r="Q416" s="57">
        <v>103.31100000000001</v>
      </c>
      <c r="R416" s="57">
        <v>105.166</v>
      </c>
      <c r="S416" s="80">
        <v>106.733</v>
      </c>
      <c r="AD416" s="57"/>
      <c r="AE416" s="57"/>
      <c r="AF416" s="57"/>
      <c r="AG416" s="57"/>
      <c r="AH416" s="57"/>
      <c r="AI416" s="57"/>
      <c r="AJ416" s="57"/>
      <c r="AK416" s="57"/>
      <c r="AL416" s="57"/>
      <c r="AM416" s="57"/>
      <c r="AN416" s="57"/>
      <c r="AO416" s="57"/>
    </row>
    <row r="417" spans="1:41">
      <c r="A417" s="55" t="s">
        <v>420</v>
      </c>
      <c r="B417" s="65" t="s">
        <v>326</v>
      </c>
      <c r="C417" s="79">
        <v>79.153999999999996</v>
      </c>
      <c r="D417" s="79">
        <v>79.95</v>
      </c>
      <c r="E417" s="79">
        <v>80.909000000000006</v>
      </c>
      <c r="F417" s="79">
        <v>82.724999999999994</v>
      </c>
      <c r="G417" s="79">
        <v>84.411000000000001</v>
      </c>
      <c r="H417" s="79">
        <v>85.426000000000002</v>
      </c>
      <c r="I417" s="79">
        <v>87.043000000000006</v>
      </c>
      <c r="J417" s="79">
        <v>89.415000000000006</v>
      </c>
      <c r="K417" s="79">
        <v>92.325000000000003</v>
      </c>
      <c r="L417" s="79">
        <v>95.006</v>
      </c>
      <c r="M417" s="79">
        <v>97.665000000000006</v>
      </c>
      <c r="N417" s="79">
        <v>99.656000000000006</v>
      </c>
      <c r="O417" s="57">
        <v>100</v>
      </c>
      <c r="P417" s="79">
        <v>101.39400000000001</v>
      </c>
      <c r="Q417" s="57">
        <v>103.70399999999999</v>
      </c>
      <c r="R417" s="57">
        <v>105.962</v>
      </c>
      <c r="S417" s="80">
        <v>107.96299999999999</v>
      </c>
      <c r="AD417" s="57"/>
      <c r="AE417" s="57"/>
      <c r="AF417" s="57"/>
      <c r="AG417" s="57"/>
      <c r="AH417" s="57"/>
      <c r="AI417" s="57"/>
      <c r="AJ417" s="57"/>
      <c r="AK417" s="57"/>
      <c r="AL417" s="57"/>
      <c r="AM417" s="57"/>
      <c r="AN417" s="57"/>
      <c r="AO417" s="57"/>
    </row>
    <row r="418" spans="1:41">
      <c r="A418" s="55" t="s">
        <v>420</v>
      </c>
      <c r="B418" s="65" t="s">
        <v>327</v>
      </c>
      <c r="C418" s="79">
        <v>119.639</v>
      </c>
      <c r="D418" s="79">
        <v>114.071</v>
      </c>
      <c r="E418" s="79">
        <v>100.788</v>
      </c>
      <c r="F418" s="79">
        <v>93.18</v>
      </c>
      <c r="G418" s="79">
        <v>99.614000000000004</v>
      </c>
      <c r="H418" s="79">
        <v>91.965000000000003</v>
      </c>
      <c r="I418" s="79">
        <v>101.631</v>
      </c>
      <c r="J418" s="79">
        <v>117.55800000000001</v>
      </c>
      <c r="K418" s="79">
        <v>101.07599999999999</v>
      </c>
      <c r="L418" s="79">
        <v>96.957999999999998</v>
      </c>
      <c r="M418" s="79">
        <v>124.26900000000001</v>
      </c>
      <c r="N418" s="79">
        <v>126.672</v>
      </c>
      <c r="O418" s="57">
        <v>100</v>
      </c>
      <c r="P418" s="79">
        <v>114.273</v>
      </c>
      <c r="Q418" s="57">
        <v>147.21</v>
      </c>
      <c r="R418" s="57">
        <v>150.857</v>
      </c>
      <c r="S418" s="80">
        <v>156.27600000000001</v>
      </c>
      <c r="T418" s="63"/>
      <c r="AD418" s="57"/>
      <c r="AE418" s="57"/>
      <c r="AF418" s="57"/>
      <c r="AG418" s="57"/>
      <c r="AH418" s="57"/>
      <c r="AI418" s="57"/>
      <c r="AJ418" s="57"/>
      <c r="AK418" s="57"/>
      <c r="AL418" s="57"/>
      <c r="AM418" s="57"/>
      <c r="AN418" s="57"/>
      <c r="AO418" s="57"/>
    </row>
    <row r="419" spans="1:41">
      <c r="A419" s="55" t="s">
        <v>420</v>
      </c>
      <c r="B419" s="65" t="s">
        <v>328</v>
      </c>
      <c r="C419" s="79">
        <v>123.87</v>
      </c>
      <c r="D419" s="79">
        <v>116.749</v>
      </c>
      <c r="E419" s="79">
        <v>100.285</v>
      </c>
      <c r="F419" s="79">
        <v>90.641000000000005</v>
      </c>
      <c r="G419" s="79">
        <v>100.51900000000001</v>
      </c>
      <c r="H419" s="79">
        <v>91.483000000000004</v>
      </c>
      <c r="I419" s="79">
        <v>103.642</v>
      </c>
      <c r="J419" s="79">
        <v>123.762</v>
      </c>
      <c r="K419" s="79">
        <v>102.822</v>
      </c>
      <c r="L419" s="79">
        <v>97.010999999999996</v>
      </c>
      <c r="M419" s="79">
        <v>131.751</v>
      </c>
      <c r="N419" s="81">
        <v>133.399</v>
      </c>
      <c r="O419" s="57">
        <v>100</v>
      </c>
      <c r="P419" s="79">
        <v>116.392</v>
      </c>
      <c r="Q419" s="57">
        <v>157.26599999999999</v>
      </c>
      <c r="R419" s="57">
        <v>161.94399999999999</v>
      </c>
      <c r="S419" s="80">
        <v>168.56899999999999</v>
      </c>
      <c r="T419" s="63"/>
      <c r="AD419" s="57"/>
      <c r="AE419" s="57"/>
      <c r="AF419" s="57"/>
      <c r="AG419" s="57"/>
      <c r="AH419" s="57"/>
      <c r="AI419" s="57"/>
      <c r="AJ419" s="57"/>
      <c r="AK419" s="57"/>
      <c r="AL419" s="57"/>
      <c r="AM419" s="57"/>
      <c r="AN419" s="57"/>
      <c r="AO419" s="57"/>
    </row>
    <row r="420" spans="1:41">
      <c r="A420" s="55" t="s">
        <v>420</v>
      </c>
      <c r="B420" s="65" t="s">
        <v>329</v>
      </c>
      <c r="C420" s="79">
        <v>102.002</v>
      </c>
      <c r="D420" s="79">
        <v>101.86799999999999</v>
      </c>
      <c r="E420" s="79">
        <v>99.328999999999994</v>
      </c>
      <c r="F420" s="79">
        <v>98.878</v>
      </c>
      <c r="G420" s="79">
        <v>93.097999999999999</v>
      </c>
      <c r="H420" s="79">
        <v>90.35</v>
      </c>
      <c r="I420" s="79">
        <v>91.039000000000001</v>
      </c>
      <c r="J420" s="79">
        <v>91.257000000000005</v>
      </c>
      <c r="K420" s="79">
        <v>91.971999999999994</v>
      </c>
      <c r="L420" s="79">
        <v>94.028999999999996</v>
      </c>
      <c r="M420" s="79">
        <v>97.724000000000004</v>
      </c>
      <c r="N420" s="81">
        <v>102.38800000000001</v>
      </c>
      <c r="O420" s="57">
        <v>100</v>
      </c>
      <c r="P420" s="79">
        <v>106.004</v>
      </c>
      <c r="Q420" s="57">
        <v>108.79300000000001</v>
      </c>
      <c r="R420" s="57">
        <v>108.76300000000001</v>
      </c>
      <c r="S420" s="80">
        <v>109.94499999999999</v>
      </c>
      <c r="AD420" s="57"/>
      <c r="AE420" s="57"/>
      <c r="AF420" s="57"/>
      <c r="AG420" s="57"/>
      <c r="AH420" s="57"/>
      <c r="AI420" s="57"/>
      <c r="AJ420" s="57"/>
      <c r="AK420" s="57"/>
      <c r="AL420" s="57"/>
      <c r="AM420" s="57"/>
      <c r="AN420" s="57"/>
      <c r="AO420" s="57"/>
    </row>
    <row r="421" spans="1:41">
      <c r="A421" s="55" t="s">
        <v>420</v>
      </c>
      <c r="B421" s="65" t="s">
        <v>330</v>
      </c>
      <c r="C421" s="79">
        <v>40.183</v>
      </c>
      <c r="D421" s="79">
        <v>32.72</v>
      </c>
      <c r="E421" s="79">
        <v>35.497999999999998</v>
      </c>
      <c r="F421" s="79">
        <v>52.414999999999999</v>
      </c>
      <c r="G421" s="79">
        <v>50.777000000000001</v>
      </c>
      <c r="H421" s="79">
        <v>46.814999999999998</v>
      </c>
      <c r="I421" s="79">
        <v>64.811000000000007</v>
      </c>
      <c r="J421" s="79">
        <v>78.251999999999995</v>
      </c>
      <c r="K421" s="79">
        <v>106.45099999999999</v>
      </c>
      <c r="L421" s="79">
        <v>115.967</v>
      </c>
      <c r="M421" s="79">
        <v>124.943</v>
      </c>
      <c r="N421" s="79">
        <v>157.91999999999999</v>
      </c>
      <c r="O421" s="57">
        <v>100</v>
      </c>
      <c r="P421" s="79">
        <v>121.63800000000001</v>
      </c>
      <c r="Q421" s="57">
        <v>137.39400000000001</v>
      </c>
      <c r="R421" s="57">
        <v>127.256</v>
      </c>
      <c r="S421" s="80">
        <v>132.05500000000001</v>
      </c>
      <c r="T421" s="63"/>
      <c r="AD421" s="57"/>
      <c r="AE421" s="57"/>
      <c r="AF421" s="57"/>
      <c r="AG421" s="57"/>
      <c r="AH421" s="57"/>
      <c r="AI421" s="57"/>
      <c r="AJ421" s="57"/>
      <c r="AK421" s="57"/>
      <c r="AL421" s="57"/>
      <c r="AM421" s="57"/>
      <c r="AN421" s="57"/>
      <c r="AO421" s="57"/>
    </row>
    <row r="422" spans="1:41">
      <c r="A422" s="55" t="s">
        <v>420</v>
      </c>
      <c r="B422" s="65" t="s">
        <v>331</v>
      </c>
      <c r="C422" s="79">
        <v>31.826000000000001</v>
      </c>
      <c r="D422" s="79">
        <v>21.594999999999999</v>
      </c>
      <c r="E422" s="79">
        <v>27.565999999999999</v>
      </c>
      <c r="F422" s="79">
        <v>57.534999999999997</v>
      </c>
      <c r="G422" s="79">
        <v>54.271000000000001</v>
      </c>
      <c r="H422" s="79">
        <v>45.478000000000002</v>
      </c>
      <c r="I422" s="79">
        <v>73.353999999999999</v>
      </c>
      <c r="J422" s="79">
        <v>90.974999999999994</v>
      </c>
      <c r="K422" s="79">
        <v>129.185</v>
      </c>
      <c r="L422" s="79">
        <v>135.68</v>
      </c>
      <c r="M422" s="79">
        <v>146.393</v>
      </c>
      <c r="N422" s="81">
        <v>199.322</v>
      </c>
      <c r="O422" s="57">
        <v>100</v>
      </c>
      <c r="P422" s="79">
        <v>131.96899999999999</v>
      </c>
      <c r="Q422" s="57">
        <v>152.80799999999999</v>
      </c>
      <c r="R422" s="57">
        <v>134.661</v>
      </c>
      <c r="S422" s="80">
        <v>142.79400000000001</v>
      </c>
      <c r="T422" s="63"/>
      <c r="AD422" s="57"/>
      <c r="AE422" s="57"/>
      <c r="AF422" s="57"/>
      <c r="AG422" s="57"/>
      <c r="AH422" s="57"/>
      <c r="AI422" s="57"/>
      <c r="AJ422" s="57"/>
      <c r="AK422" s="57"/>
      <c r="AL422" s="57"/>
      <c r="AM422" s="57"/>
      <c r="AN422" s="57"/>
      <c r="AO422" s="57"/>
    </row>
    <row r="423" spans="1:41">
      <c r="A423" s="55" t="s">
        <v>420</v>
      </c>
      <c r="B423" s="65" t="s">
        <v>332</v>
      </c>
      <c r="C423" s="79">
        <v>42.548999999999999</v>
      </c>
      <c r="D423" s="79">
        <v>39.975000000000001</v>
      </c>
      <c r="E423" s="79">
        <v>38.539000000000001</v>
      </c>
      <c r="F423" s="79">
        <v>38.128</v>
      </c>
      <c r="G423" s="79">
        <v>38.273000000000003</v>
      </c>
      <c r="H423" s="79">
        <v>40.770000000000003</v>
      </c>
      <c r="I423" s="79">
        <v>42.783999999999999</v>
      </c>
      <c r="J423" s="79">
        <v>50.539000000000001</v>
      </c>
      <c r="K423" s="79">
        <v>62.667000000000002</v>
      </c>
      <c r="L423" s="79">
        <v>73.811999999999998</v>
      </c>
      <c r="M423" s="79">
        <v>80.950999999999993</v>
      </c>
      <c r="N423" s="81">
        <v>91.724000000000004</v>
      </c>
      <c r="O423" s="57">
        <v>100</v>
      </c>
      <c r="P423" s="79">
        <v>110.42700000000001</v>
      </c>
      <c r="Q423" s="57">
        <v>121.68300000000001</v>
      </c>
      <c r="R423" s="57">
        <v>120.52</v>
      </c>
      <c r="S423" s="80">
        <v>115.623</v>
      </c>
      <c r="T423" s="63"/>
      <c r="AD423" s="57"/>
      <c r="AE423" s="57"/>
      <c r="AF423" s="57"/>
      <c r="AG423" s="57"/>
      <c r="AH423" s="57"/>
      <c r="AI423" s="57"/>
      <c r="AJ423" s="57"/>
      <c r="AK423" s="57"/>
      <c r="AL423" s="57"/>
      <c r="AM423" s="57"/>
      <c r="AN423" s="57"/>
      <c r="AO423" s="57"/>
    </row>
    <row r="424" spans="1:41">
      <c r="A424" s="55" t="s">
        <v>420</v>
      </c>
      <c r="B424" s="65" t="s">
        <v>333</v>
      </c>
      <c r="C424" s="79">
        <v>63.579000000000001</v>
      </c>
      <c r="D424" s="79">
        <v>71.587000000000003</v>
      </c>
      <c r="E424" s="79">
        <v>59.436</v>
      </c>
      <c r="F424" s="79">
        <v>54.527999999999999</v>
      </c>
      <c r="G424" s="79">
        <v>55.838000000000001</v>
      </c>
      <c r="H424" s="79">
        <v>60.831000000000003</v>
      </c>
      <c r="I424" s="79">
        <v>64.763000000000005</v>
      </c>
      <c r="J424" s="79">
        <v>69.960999999999999</v>
      </c>
      <c r="K424" s="79">
        <v>86.997</v>
      </c>
      <c r="L424" s="79">
        <v>101.75700000000001</v>
      </c>
      <c r="M424" s="79">
        <v>106.68899999999999</v>
      </c>
      <c r="N424" s="81">
        <v>109.488</v>
      </c>
      <c r="O424" s="57">
        <v>100</v>
      </c>
      <c r="P424" s="79">
        <v>98.034999999999997</v>
      </c>
      <c r="Q424" s="57">
        <v>103.101</v>
      </c>
      <c r="R424" s="57">
        <v>107.047</v>
      </c>
      <c r="S424" s="80">
        <v>111.58</v>
      </c>
      <c r="AD424" s="57"/>
      <c r="AE424" s="57"/>
      <c r="AF424" s="57"/>
      <c r="AG424" s="57"/>
      <c r="AH424" s="57"/>
      <c r="AI424" s="57"/>
      <c r="AJ424" s="57"/>
      <c r="AK424" s="57"/>
      <c r="AL424" s="57"/>
      <c r="AM424" s="57"/>
      <c r="AN424" s="57"/>
      <c r="AO424" s="57"/>
    </row>
    <row r="425" spans="1:41">
      <c r="A425" s="55" t="s">
        <v>420</v>
      </c>
      <c r="B425" s="65" t="s">
        <v>334</v>
      </c>
      <c r="C425" s="79">
        <v>64.492000000000004</v>
      </c>
      <c r="D425" s="79">
        <v>64.363</v>
      </c>
      <c r="E425" s="79">
        <v>60.441000000000003</v>
      </c>
      <c r="F425" s="79">
        <v>59.274000000000001</v>
      </c>
      <c r="G425" s="79">
        <v>71.430000000000007</v>
      </c>
      <c r="H425" s="79">
        <v>68.575000000000003</v>
      </c>
      <c r="I425" s="79">
        <v>73.378</v>
      </c>
      <c r="J425" s="79">
        <v>75.846999999999994</v>
      </c>
      <c r="K425" s="79">
        <v>80.343999999999994</v>
      </c>
      <c r="L425" s="79">
        <v>87.07</v>
      </c>
      <c r="M425" s="79">
        <v>87.924000000000007</v>
      </c>
      <c r="N425" s="79">
        <v>88.082999999999998</v>
      </c>
      <c r="O425" s="57">
        <v>100</v>
      </c>
      <c r="P425" s="79">
        <v>97.287999999999997</v>
      </c>
      <c r="Q425" s="57">
        <v>97.903999999999996</v>
      </c>
      <c r="R425" s="57">
        <v>94.766000000000005</v>
      </c>
      <c r="S425" s="80">
        <v>98.158000000000001</v>
      </c>
      <c r="AD425" s="57"/>
      <c r="AE425" s="57"/>
      <c r="AF425" s="57"/>
      <c r="AG425" s="57"/>
      <c r="AH425" s="57"/>
      <c r="AI425" s="57"/>
      <c r="AJ425" s="57"/>
      <c r="AK425" s="57"/>
      <c r="AL425" s="57"/>
      <c r="AM425" s="57"/>
      <c r="AN425" s="57"/>
      <c r="AO425" s="57"/>
    </row>
    <row r="426" spans="1:41">
      <c r="A426" s="55" t="s">
        <v>420</v>
      </c>
      <c r="B426" s="65" t="s">
        <v>335</v>
      </c>
      <c r="C426" s="79">
        <v>49.609000000000002</v>
      </c>
      <c r="D426" s="79">
        <v>53.177</v>
      </c>
      <c r="E426" s="79">
        <v>56.44</v>
      </c>
      <c r="F426" s="79">
        <v>60.131999999999998</v>
      </c>
      <c r="G426" s="79">
        <v>64.605000000000004</v>
      </c>
      <c r="H426" s="79">
        <v>67.653000000000006</v>
      </c>
      <c r="I426" s="79">
        <v>70.811000000000007</v>
      </c>
      <c r="J426" s="79">
        <v>76.257000000000005</v>
      </c>
      <c r="K426" s="79">
        <v>84.646000000000001</v>
      </c>
      <c r="L426" s="79">
        <v>92.668999999999997</v>
      </c>
      <c r="M426" s="79">
        <v>98.602000000000004</v>
      </c>
      <c r="N426" s="79">
        <v>98.608999999999995</v>
      </c>
      <c r="O426" s="57">
        <v>100</v>
      </c>
      <c r="P426" s="79">
        <v>98.188999999999993</v>
      </c>
      <c r="Q426" s="57">
        <v>99.632000000000005</v>
      </c>
      <c r="R426" s="57">
        <v>102.768</v>
      </c>
      <c r="S426" s="80">
        <v>106.592</v>
      </c>
      <c r="AD426" s="57"/>
      <c r="AE426" s="57"/>
      <c r="AF426" s="57"/>
      <c r="AG426" s="57"/>
      <c r="AH426" s="57"/>
      <c r="AI426" s="57"/>
      <c r="AJ426" s="57"/>
      <c r="AK426" s="57"/>
      <c r="AL426" s="57"/>
      <c r="AM426" s="57"/>
      <c r="AN426" s="57"/>
      <c r="AO426" s="57"/>
    </row>
    <row r="427" spans="1:41">
      <c r="A427" s="55" t="s">
        <v>420</v>
      </c>
      <c r="B427" s="65" t="s">
        <v>336</v>
      </c>
      <c r="C427" s="79">
        <v>101.83199999999999</v>
      </c>
      <c r="D427" s="79">
        <v>100.28</v>
      </c>
      <c r="E427" s="79">
        <v>98.956000000000003</v>
      </c>
      <c r="F427" s="79">
        <v>97.01</v>
      </c>
      <c r="G427" s="79">
        <v>96.096999999999994</v>
      </c>
      <c r="H427" s="79">
        <v>94.790999999999997</v>
      </c>
      <c r="I427" s="79">
        <v>93.81</v>
      </c>
      <c r="J427" s="79">
        <v>93.186999999999998</v>
      </c>
      <c r="K427" s="79">
        <v>95.918999999999997</v>
      </c>
      <c r="L427" s="79">
        <v>96.745000000000005</v>
      </c>
      <c r="M427" s="79">
        <v>96.337000000000003</v>
      </c>
      <c r="N427" s="79">
        <v>97.057000000000002</v>
      </c>
      <c r="O427" s="57">
        <v>100</v>
      </c>
      <c r="P427" s="79">
        <v>100.682</v>
      </c>
      <c r="Q427" s="57">
        <v>104.61</v>
      </c>
      <c r="R427" s="57">
        <v>108.58799999999999</v>
      </c>
      <c r="S427" s="80">
        <v>108.905</v>
      </c>
      <c r="AD427" s="57"/>
      <c r="AE427" s="57"/>
      <c r="AF427" s="57"/>
      <c r="AG427" s="57"/>
      <c r="AH427" s="57"/>
      <c r="AI427" s="57"/>
      <c r="AJ427" s="57"/>
      <c r="AK427" s="57"/>
      <c r="AL427" s="57"/>
      <c r="AM427" s="57"/>
      <c r="AN427" s="57"/>
      <c r="AO427" s="57"/>
    </row>
    <row r="428" spans="1:41">
      <c r="A428" s="55" t="s">
        <v>420</v>
      </c>
      <c r="B428" s="65" t="s">
        <v>337</v>
      </c>
      <c r="C428" s="79">
        <v>132.40199999999999</v>
      </c>
      <c r="D428" s="79">
        <v>126.095</v>
      </c>
      <c r="E428" s="79">
        <v>121.124</v>
      </c>
      <c r="F428" s="79">
        <v>114.999</v>
      </c>
      <c r="G428" s="79">
        <v>110.675</v>
      </c>
      <c r="H428" s="79">
        <v>108.482</v>
      </c>
      <c r="I428" s="79">
        <v>105.521</v>
      </c>
      <c r="J428" s="79">
        <v>103.92100000000001</v>
      </c>
      <c r="K428" s="79">
        <v>103.15300000000001</v>
      </c>
      <c r="L428" s="79">
        <v>101.093</v>
      </c>
      <c r="M428" s="79">
        <v>99.298000000000002</v>
      </c>
      <c r="N428" s="79">
        <v>97</v>
      </c>
      <c r="O428" s="57">
        <v>100</v>
      </c>
      <c r="P428" s="79">
        <v>98.004000000000005</v>
      </c>
      <c r="Q428" s="57">
        <v>96.754000000000005</v>
      </c>
      <c r="R428" s="57">
        <v>98.436000000000007</v>
      </c>
      <c r="S428" s="80">
        <v>99.933999999999997</v>
      </c>
      <c r="T428" s="63"/>
      <c r="AD428" s="57"/>
      <c r="AE428" s="57"/>
      <c r="AF428" s="57"/>
      <c r="AG428" s="57"/>
      <c r="AH428" s="57"/>
      <c r="AI428" s="57"/>
      <c r="AJ428" s="57"/>
      <c r="AK428" s="57"/>
      <c r="AL428" s="57"/>
      <c r="AM428" s="57"/>
      <c r="AN428" s="57"/>
      <c r="AO428" s="57"/>
    </row>
    <row r="429" spans="1:41">
      <c r="A429" s="55" t="s">
        <v>420</v>
      </c>
      <c r="B429" s="65" t="s">
        <v>338</v>
      </c>
      <c r="C429" s="79">
        <v>109.03400000000001</v>
      </c>
      <c r="D429" s="79">
        <v>110.50700000000001</v>
      </c>
      <c r="E429" s="79">
        <v>119.6</v>
      </c>
      <c r="F429" s="79">
        <v>112.883</v>
      </c>
      <c r="G429" s="79">
        <v>113.381</v>
      </c>
      <c r="H429" s="79">
        <v>112.026</v>
      </c>
      <c r="I429" s="79">
        <v>118.137</v>
      </c>
      <c r="J429" s="79">
        <v>136.32300000000001</v>
      </c>
      <c r="K429" s="79">
        <v>133.61600000000001</v>
      </c>
      <c r="L429" s="79">
        <v>124.268</v>
      </c>
      <c r="M429" s="79">
        <v>108.91</v>
      </c>
      <c r="N429" s="81">
        <v>103.155</v>
      </c>
      <c r="O429" s="57">
        <v>100</v>
      </c>
      <c r="P429" s="79">
        <v>103.319</v>
      </c>
      <c r="Q429" s="57">
        <v>94.56</v>
      </c>
      <c r="R429" s="57">
        <v>100.753</v>
      </c>
      <c r="S429" s="80">
        <v>117.279</v>
      </c>
      <c r="T429" s="63"/>
      <c r="AD429" s="57"/>
      <c r="AE429" s="57"/>
      <c r="AF429" s="57"/>
      <c r="AG429" s="57"/>
      <c r="AH429" s="57"/>
      <c r="AI429" s="57"/>
      <c r="AJ429" s="57"/>
      <c r="AK429" s="57"/>
      <c r="AL429" s="57"/>
      <c r="AM429" s="57"/>
      <c r="AN429" s="57"/>
      <c r="AO429" s="57"/>
    </row>
    <row r="430" spans="1:41">
      <c r="A430" s="55" t="s">
        <v>420</v>
      </c>
      <c r="B430" s="65" t="s">
        <v>339</v>
      </c>
      <c r="C430" s="79">
        <v>77.745000000000005</v>
      </c>
      <c r="D430" s="79">
        <v>80.003</v>
      </c>
      <c r="E430" s="79">
        <v>83.653000000000006</v>
      </c>
      <c r="F430" s="79">
        <v>83.298000000000002</v>
      </c>
      <c r="G430" s="79">
        <v>82.691000000000003</v>
      </c>
      <c r="H430" s="79">
        <v>84.730999999999995</v>
      </c>
      <c r="I430" s="79">
        <v>82.924999999999997</v>
      </c>
      <c r="J430" s="79">
        <v>83.641000000000005</v>
      </c>
      <c r="K430" s="79">
        <v>89.055999999999997</v>
      </c>
      <c r="L430" s="79">
        <v>98.632000000000005</v>
      </c>
      <c r="M430" s="79">
        <v>98.153000000000006</v>
      </c>
      <c r="N430" s="81">
        <v>93.427000000000007</v>
      </c>
      <c r="O430" s="57">
        <v>100</v>
      </c>
      <c r="P430" s="79">
        <v>96.872</v>
      </c>
      <c r="Q430" s="57">
        <v>93.539000000000001</v>
      </c>
      <c r="R430" s="57">
        <v>97.484999999999999</v>
      </c>
      <c r="S430" s="80">
        <v>102.85</v>
      </c>
      <c r="T430" s="63"/>
      <c r="AD430" s="57"/>
      <c r="AE430" s="57"/>
      <c r="AF430" s="57"/>
      <c r="AG430" s="57"/>
      <c r="AH430" s="57"/>
      <c r="AI430" s="57"/>
      <c r="AJ430" s="57"/>
      <c r="AK430" s="57"/>
      <c r="AL430" s="57"/>
      <c r="AM430" s="57"/>
      <c r="AN430" s="57"/>
      <c r="AO430" s="57"/>
    </row>
    <row r="431" spans="1:41">
      <c r="A431" s="55" t="s">
        <v>420</v>
      </c>
      <c r="B431" s="65" t="s">
        <v>340</v>
      </c>
      <c r="C431" s="79">
        <v>116.94</v>
      </c>
      <c r="D431" s="79">
        <v>110.67700000000001</v>
      </c>
      <c r="E431" s="79">
        <v>98.183000000000007</v>
      </c>
      <c r="F431" s="79">
        <v>100.303</v>
      </c>
      <c r="G431" s="79">
        <v>91.629000000000005</v>
      </c>
      <c r="H431" s="79">
        <v>91.558999999999997</v>
      </c>
      <c r="I431" s="79">
        <v>90.082999999999998</v>
      </c>
      <c r="J431" s="79">
        <v>115.083</v>
      </c>
      <c r="K431" s="79">
        <v>127.864</v>
      </c>
      <c r="L431" s="79">
        <v>155.50299999999999</v>
      </c>
      <c r="M431" s="79">
        <v>164.26499999999999</v>
      </c>
      <c r="N431" s="81">
        <v>166.19200000000001</v>
      </c>
      <c r="O431" s="57">
        <v>100</v>
      </c>
      <c r="P431" s="79">
        <v>126.24</v>
      </c>
      <c r="Q431" s="57">
        <v>144.721</v>
      </c>
      <c r="R431" s="57">
        <v>126.965</v>
      </c>
      <c r="S431" s="80">
        <v>111.97799999999999</v>
      </c>
      <c r="T431" s="63"/>
      <c r="AD431" s="57"/>
      <c r="AE431" s="57"/>
      <c r="AF431" s="57"/>
      <c r="AG431" s="57"/>
      <c r="AH431" s="57"/>
      <c r="AI431" s="57"/>
      <c r="AJ431" s="57"/>
      <c r="AK431" s="57"/>
      <c r="AL431" s="57"/>
      <c r="AM431" s="57"/>
      <c r="AN431" s="57"/>
      <c r="AO431" s="57"/>
    </row>
    <row r="432" spans="1:41">
      <c r="A432" s="55" t="s">
        <v>420</v>
      </c>
      <c r="B432" s="65" t="s">
        <v>341</v>
      </c>
      <c r="C432" s="79">
        <v>71.167000000000002</v>
      </c>
      <c r="D432" s="79">
        <v>73.921000000000006</v>
      </c>
      <c r="E432" s="79">
        <v>76.238</v>
      </c>
      <c r="F432" s="79">
        <v>75.063999999999993</v>
      </c>
      <c r="G432" s="79">
        <v>77.129000000000005</v>
      </c>
      <c r="H432" s="79">
        <v>77.251000000000005</v>
      </c>
      <c r="I432" s="79">
        <v>76.057000000000002</v>
      </c>
      <c r="J432" s="79">
        <v>77.34</v>
      </c>
      <c r="K432" s="79">
        <v>80.902000000000001</v>
      </c>
      <c r="L432" s="79">
        <v>80.543999999999997</v>
      </c>
      <c r="M432" s="79">
        <v>82.444999999999993</v>
      </c>
      <c r="N432" s="81">
        <v>86.088999999999999</v>
      </c>
      <c r="O432" s="57">
        <v>100</v>
      </c>
      <c r="P432" s="79">
        <v>93.087000000000003</v>
      </c>
      <c r="Q432" s="57">
        <v>92.727999999999994</v>
      </c>
      <c r="R432" s="57">
        <v>97.462999999999994</v>
      </c>
      <c r="S432" s="80">
        <v>100.315</v>
      </c>
      <c r="T432" s="63"/>
      <c r="AD432" s="57"/>
      <c r="AE432" s="57"/>
      <c r="AF432" s="57"/>
      <c r="AG432" s="57"/>
      <c r="AH432" s="57"/>
      <c r="AI432" s="57"/>
      <c r="AJ432" s="57"/>
      <c r="AK432" s="57"/>
      <c r="AL432" s="57"/>
      <c r="AM432" s="57"/>
      <c r="AN432" s="57"/>
      <c r="AO432" s="57"/>
    </row>
    <row r="433" spans="1:41">
      <c r="A433" s="55" t="s">
        <v>420</v>
      </c>
      <c r="B433" s="65" t="s">
        <v>342</v>
      </c>
      <c r="C433" s="79">
        <v>82.495000000000005</v>
      </c>
      <c r="D433" s="79">
        <v>85.063999999999993</v>
      </c>
      <c r="E433" s="79">
        <v>87.522000000000006</v>
      </c>
      <c r="F433" s="79">
        <v>87.021000000000001</v>
      </c>
      <c r="G433" s="79">
        <v>89.600999999999999</v>
      </c>
      <c r="H433" s="79">
        <v>90.254000000000005</v>
      </c>
      <c r="I433" s="79">
        <v>89.614000000000004</v>
      </c>
      <c r="J433" s="79">
        <v>86.599000000000004</v>
      </c>
      <c r="K433" s="79">
        <v>88.462000000000003</v>
      </c>
      <c r="L433" s="79">
        <v>88.162000000000006</v>
      </c>
      <c r="M433" s="79">
        <v>89.629000000000005</v>
      </c>
      <c r="N433" s="81">
        <v>89.501999999999995</v>
      </c>
      <c r="O433" s="57">
        <v>100</v>
      </c>
      <c r="P433" s="79">
        <v>95.554000000000002</v>
      </c>
      <c r="Q433" s="57">
        <v>94.594999999999999</v>
      </c>
      <c r="R433" s="57">
        <v>98.819000000000003</v>
      </c>
      <c r="S433" s="80">
        <v>102.955</v>
      </c>
      <c r="T433" s="63"/>
      <c r="AD433" s="57"/>
      <c r="AE433" s="57"/>
      <c r="AF433" s="57"/>
      <c r="AG433" s="57"/>
      <c r="AH433" s="57"/>
      <c r="AI433" s="57"/>
      <c r="AJ433" s="57"/>
      <c r="AK433" s="57"/>
      <c r="AL433" s="57"/>
      <c r="AM433" s="57"/>
      <c r="AN433" s="57"/>
      <c r="AO433" s="57"/>
    </row>
    <row r="434" spans="1:41">
      <c r="A434" s="55" t="s">
        <v>420</v>
      </c>
      <c r="B434" s="65" t="s">
        <v>343</v>
      </c>
      <c r="C434" s="79">
        <v>517.72199999999998</v>
      </c>
      <c r="D434" s="79">
        <v>394.59899999999999</v>
      </c>
      <c r="E434" s="79">
        <v>308.58</v>
      </c>
      <c r="F434" s="79">
        <v>245.999</v>
      </c>
      <c r="G434" s="79">
        <v>196.71700000000001</v>
      </c>
      <c r="H434" s="79">
        <v>180.76499999999999</v>
      </c>
      <c r="I434" s="79">
        <v>162.304</v>
      </c>
      <c r="J434" s="79">
        <v>148.04900000000001</v>
      </c>
      <c r="K434" s="79">
        <v>137.22300000000001</v>
      </c>
      <c r="L434" s="79">
        <v>124.467</v>
      </c>
      <c r="M434" s="79">
        <v>112.134</v>
      </c>
      <c r="N434" s="81">
        <v>102.893</v>
      </c>
      <c r="O434" s="57">
        <v>100</v>
      </c>
      <c r="P434" s="79">
        <v>97.341999999999999</v>
      </c>
      <c r="Q434" s="57">
        <v>93.968000000000004</v>
      </c>
      <c r="R434" s="57">
        <v>92.861000000000004</v>
      </c>
      <c r="S434" s="80">
        <v>93.343000000000004</v>
      </c>
      <c r="T434" s="63"/>
      <c r="AD434" s="57"/>
      <c r="AE434" s="57"/>
      <c r="AF434" s="57"/>
      <c r="AG434" s="57"/>
      <c r="AH434" s="57"/>
      <c r="AI434" s="57"/>
      <c r="AJ434" s="57"/>
      <c r="AK434" s="57"/>
      <c r="AL434" s="57"/>
      <c r="AM434" s="57"/>
      <c r="AN434" s="57"/>
      <c r="AO434" s="57"/>
    </row>
    <row r="435" spans="1:41">
      <c r="A435" s="55" t="s">
        <v>420</v>
      </c>
      <c r="B435" s="65" t="s">
        <v>344</v>
      </c>
      <c r="C435" s="79">
        <v>84.126000000000005</v>
      </c>
      <c r="D435" s="79">
        <v>86.853999999999999</v>
      </c>
      <c r="E435" s="79">
        <v>86.831999999999994</v>
      </c>
      <c r="F435" s="79">
        <v>85.388000000000005</v>
      </c>
      <c r="G435" s="79">
        <v>87.132000000000005</v>
      </c>
      <c r="H435" s="79">
        <v>86.257999999999996</v>
      </c>
      <c r="I435" s="79">
        <v>83.768000000000001</v>
      </c>
      <c r="J435" s="79">
        <v>81.997</v>
      </c>
      <c r="K435" s="79">
        <v>83.387</v>
      </c>
      <c r="L435" s="79">
        <v>85.323999999999998</v>
      </c>
      <c r="M435" s="79">
        <v>88.93</v>
      </c>
      <c r="N435" s="81">
        <v>91.61</v>
      </c>
      <c r="O435" s="57">
        <v>100</v>
      </c>
      <c r="P435" s="79">
        <v>97.409000000000006</v>
      </c>
      <c r="Q435" s="57">
        <v>96.191999999999993</v>
      </c>
      <c r="R435" s="57">
        <v>102.075</v>
      </c>
      <c r="S435" s="80">
        <v>103.989</v>
      </c>
      <c r="T435" s="63"/>
      <c r="AD435" s="57"/>
      <c r="AE435" s="57"/>
      <c r="AF435" s="57"/>
      <c r="AG435" s="57"/>
      <c r="AH435" s="57"/>
      <c r="AI435" s="57"/>
      <c r="AJ435" s="57"/>
      <c r="AK435" s="57"/>
      <c r="AL435" s="57"/>
      <c r="AM435" s="57"/>
      <c r="AN435" s="57"/>
      <c r="AO435" s="57"/>
    </row>
    <row r="436" spans="1:41">
      <c r="A436" s="55" t="s">
        <v>420</v>
      </c>
      <c r="B436" s="65" t="s">
        <v>345</v>
      </c>
      <c r="C436" s="79">
        <v>126.565</v>
      </c>
      <c r="D436" s="79">
        <v>126.36799999999999</v>
      </c>
      <c r="E436" s="79">
        <v>129.57300000000001</v>
      </c>
      <c r="F436" s="79">
        <v>129.17699999999999</v>
      </c>
      <c r="G436" s="79">
        <v>129.57599999999999</v>
      </c>
      <c r="H436" s="79">
        <v>123.61199999999999</v>
      </c>
      <c r="I436" s="79">
        <v>120.726</v>
      </c>
      <c r="J436" s="79">
        <v>114.27800000000001</v>
      </c>
      <c r="K436" s="79">
        <v>105.669</v>
      </c>
      <c r="L436" s="79">
        <v>94.286000000000001</v>
      </c>
      <c r="M436" s="79">
        <v>91.808999999999997</v>
      </c>
      <c r="N436" s="81">
        <v>85.831999999999994</v>
      </c>
      <c r="O436" s="57">
        <v>100</v>
      </c>
      <c r="P436" s="79">
        <v>93.129000000000005</v>
      </c>
      <c r="Q436" s="57">
        <v>87.152000000000001</v>
      </c>
      <c r="R436" s="57">
        <v>91.045000000000002</v>
      </c>
      <c r="S436" s="80">
        <v>92.146000000000001</v>
      </c>
      <c r="T436" s="63"/>
      <c r="AD436" s="57"/>
      <c r="AE436" s="57"/>
      <c r="AF436" s="57"/>
      <c r="AG436" s="57"/>
      <c r="AH436" s="57"/>
      <c r="AI436" s="57"/>
      <c r="AJ436" s="57"/>
      <c r="AK436" s="57"/>
      <c r="AL436" s="57"/>
      <c r="AM436" s="57"/>
      <c r="AN436" s="57"/>
      <c r="AO436" s="57"/>
    </row>
    <row r="437" spans="1:41">
      <c r="A437" s="55" t="s">
        <v>420</v>
      </c>
      <c r="B437" s="65" t="s">
        <v>346</v>
      </c>
      <c r="C437" s="79">
        <v>66.03</v>
      </c>
      <c r="D437" s="79">
        <v>69.394000000000005</v>
      </c>
      <c r="E437" s="79">
        <v>72.683000000000007</v>
      </c>
      <c r="F437" s="79">
        <v>77.161000000000001</v>
      </c>
      <c r="G437" s="79">
        <v>81.873999999999995</v>
      </c>
      <c r="H437" s="79">
        <v>83.171999999999997</v>
      </c>
      <c r="I437" s="79">
        <v>86.69</v>
      </c>
      <c r="J437" s="79">
        <v>88.509</v>
      </c>
      <c r="K437" s="79">
        <v>91.201999999999998</v>
      </c>
      <c r="L437" s="79">
        <v>93.647000000000006</v>
      </c>
      <c r="M437" s="79">
        <v>94.322999999999993</v>
      </c>
      <c r="N437" s="81">
        <v>94.536000000000001</v>
      </c>
      <c r="O437" s="57">
        <v>100</v>
      </c>
      <c r="P437" s="79">
        <v>99.888000000000005</v>
      </c>
      <c r="Q437" s="57">
        <v>100.913</v>
      </c>
      <c r="R437" s="57">
        <v>103.15300000000001</v>
      </c>
      <c r="S437" s="80">
        <v>105.864</v>
      </c>
      <c r="T437" s="63"/>
      <c r="AD437" s="57"/>
      <c r="AE437" s="57"/>
      <c r="AF437" s="57"/>
      <c r="AG437" s="57"/>
      <c r="AH437" s="57"/>
      <c r="AI437" s="57"/>
      <c r="AJ437" s="57"/>
      <c r="AK437" s="57"/>
      <c r="AL437" s="57"/>
      <c r="AM437" s="57"/>
      <c r="AN437" s="57"/>
      <c r="AO437" s="57"/>
    </row>
    <row r="438" spans="1:41">
      <c r="A438" s="55" t="s">
        <v>420</v>
      </c>
      <c r="B438" s="65" t="s">
        <v>347</v>
      </c>
      <c r="C438" s="79">
        <v>75.766999999999996</v>
      </c>
      <c r="D438" s="79">
        <v>79.605999999999995</v>
      </c>
      <c r="E438" s="79">
        <v>81.001000000000005</v>
      </c>
      <c r="F438" s="79">
        <v>82.66</v>
      </c>
      <c r="G438" s="79">
        <v>85.852000000000004</v>
      </c>
      <c r="H438" s="79">
        <v>87.506</v>
      </c>
      <c r="I438" s="79">
        <v>87.057000000000002</v>
      </c>
      <c r="J438" s="79">
        <v>82.608000000000004</v>
      </c>
      <c r="K438" s="79">
        <v>85.41</v>
      </c>
      <c r="L438" s="79">
        <v>85.87</v>
      </c>
      <c r="M438" s="79">
        <v>88.834999999999994</v>
      </c>
      <c r="N438" s="81">
        <v>88.897999999999996</v>
      </c>
      <c r="O438" s="57">
        <v>100</v>
      </c>
      <c r="P438" s="79">
        <v>95.554000000000002</v>
      </c>
      <c r="Q438" s="57">
        <v>95.584000000000003</v>
      </c>
      <c r="R438" s="57">
        <v>99.263999999999996</v>
      </c>
      <c r="S438" s="80">
        <v>99.504000000000005</v>
      </c>
      <c r="T438" s="63"/>
      <c r="AD438" s="57"/>
      <c r="AE438" s="57"/>
      <c r="AF438" s="57"/>
      <c r="AG438" s="57"/>
      <c r="AH438" s="57"/>
      <c r="AI438" s="57"/>
      <c r="AJ438" s="57"/>
      <c r="AK438" s="57"/>
      <c r="AL438" s="57"/>
      <c r="AM438" s="57"/>
      <c r="AN438" s="57"/>
      <c r="AO438" s="57"/>
    </row>
    <row r="439" spans="1:41">
      <c r="A439" s="55" t="s">
        <v>420</v>
      </c>
      <c r="B439" s="65" t="s">
        <v>348</v>
      </c>
      <c r="C439" s="79">
        <v>92.632000000000005</v>
      </c>
      <c r="D439" s="79">
        <v>94.665000000000006</v>
      </c>
      <c r="E439" s="79">
        <v>95.849000000000004</v>
      </c>
      <c r="F439" s="79">
        <v>95.373999999999995</v>
      </c>
      <c r="G439" s="79">
        <v>98.05</v>
      </c>
      <c r="H439" s="79">
        <v>99.891999999999996</v>
      </c>
      <c r="I439" s="79">
        <v>100.41</v>
      </c>
      <c r="J439" s="79">
        <v>98.183000000000007</v>
      </c>
      <c r="K439" s="79">
        <v>97.281000000000006</v>
      </c>
      <c r="L439" s="79">
        <v>96.653999999999996</v>
      </c>
      <c r="M439" s="79">
        <v>97.290999999999997</v>
      </c>
      <c r="N439" s="81">
        <v>96.063000000000002</v>
      </c>
      <c r="O439" s="57">
        <v>100</v>
      </c>
      <c r="P439" s="79">
        <v>99.174000000000007</v>
      </c>
      <c r="Q439" s="57">
        <v>99.212999999999994</v>
      </c>
      <c r="R439" s="57">
        <v>101.101</v>
      </c>
      <c r="S439" s="80">
        <v>102.75700000000001</v>
      </c>
      <c r="AD439" s="57"/>
      <c r="AE439" s="57"/>
      <c r="AF439" s="57"/>
      <c r="AG439" s="57"/>
      <c r="AH439" s="57"/>
      <c r="AI439" s="57"/>
      <c r="AJ439" s="57"/>
      <c r="AK439" s="57"/>
      <c r="AL439" s="57"/>
      <c r="AM439" s="57"/>
      <c r="AN439" s="57"/>
      <c r="AO439" s="57"/>
    </row>
    <row r="440" spans="1:41">
      <c r="A440" s="55" t="s">
        <v>420</v>
      </c>
      <c r="B440" s="65" t="s">
        <v>349</v>
      </c>
      <c r="C440" s="79">
        <v>71.379000000000005</v>
      </c>
      <c r="D440" s="79">
        <v>73.861000000000004</v>
      </c>
      <c r="E440" s="79">
        <v>75.796000000000006</v>
      </c>
      <c r="F440" s="79">
        <v>77.858000000000004</v>
      </c>
      <c r="G440" s="79">
        <v>80.268000000000001</v>
      </c>
      <c r="H440" s="79">
        <v>79.831999999999994</v>
      </c>
      <c r="I440" s="79">
        <v>80.813000000000002</v>
      </c>
      <c r="J440" s="79">
        <v>81.177000000000007</v>
      </c>
      <c r="K440" s="79">
        <v>87.554000000000002</v>
      </c>
      <c r="L440" s="79">
        <v>91.599000000000004</v>
      </c>
      <c r="M440" s="79">
        <v>92.792000000000002</v>
      </c>
      <c r="N440" s="79">
        <v>97.094999999999999</v>
      </c>
      <c r="O440" s="57">
        <v>100</v>
      </c>
      <c r="P440" s="79">
        <v>103.572</v>
      </c>
      <c r="Q440" s="57">
        <v>113.871</v>
      </c>
      <c r="R440" s="57">
        <v>120.871</v>
      </c>
      <c r="S440" s="80">
        <v>119.55200000000001</v>
      </c>
      <c r="AD440" s="57"/>
      <c r="AE440" s="57"/>
      <c r="AF440" s="57"/>
      <c r="AG440" s="57"/>
      <c r="AH440" s="57"/>
      <c r="AI440" s="57"/>
      <c r="AJ440" s="57"/>
      <c r="AK440" s="57"/>
      <c r="AL440" s="57"/>
      <c r="AM440" s="57"/>
      <c r="AN440" s="57"/>
      <c r="AO440" s="57"/>
    </row>
    <row r="441" spans="1:41">
      <c r="A441" s="55" t="s">
        <v>420</v>
      </c>
      <c r="B441" s="65" t="s">
        <v>350</v>
      </c>
      <c r="C441" s="79">
        <v>66.411000000000001</v>
      </c>
      <c r="D441" s="79">
        <v>68.634</v>
      </c>
      <c r="E441" s="79">
        <v>76.849999999999994</v>
      </c>
      <c r="F441" s="79">
        <v>78.188999999999993</v>
      </c>
      <c r="G441" s="79">
        <v>82.259</v>
      </c>
      <c r="H441" s="79">
        <v>87.402000000000001</v>
      </c>
      <c r="I441" s="79">
        <v>86.158000000000001</v>
      </c>
      <c r="J441" s="79">
        <v>83.301000000000002</v>
      </c>
      <c r="K441" s="79">
        <v>84.823999999999998</v>
      </c>
      <c r="L441" s="79">
        <v>82.647000000000006</v>
      </c>
      <c r="M441" s="79">
        <v>82.236999999999995</v>
      </c>
      <c r="N441" s="81">
        <v>89.281999999999996</v>
      </c>
      <c r="O441" s="57">
        <v>100</v>
      </c>
      <c r="P441" s="79">
        <v>98.459000000000003</v>
      </c>
      <c r="Q441" s="57">
        <v>96.171999999999997</v>
      </c>
      <c r="R441" s="57">
        <v>105.608</v>
      </c>
      <c r="S441" s="80">
        <v>106.89100000000001</v>
      </c>
      <c r="T441" s="63"/>
      <c r="AD441" s="57"/>
      <c r="AE441" s="57"/>
      <c r="AF441" s="57"/>
      <c r="AG441" s="57"/>
      <c r="AH441" s="57"/>
      <c r="AI441" s="57"/>
      <c r="AJ441" s="57"/>
      <c r="AK441" s="57"/>
      <c r="AL441" s="57"/>
      <c r="AM441" s="57"/>
      <c r="AN441" s="57"/>
      <c r="AO441" s="57"/>
    </row>
    <row r="442" spans="1:41">
      <c r="A442" s="55" t="s">
        <v>420</v>
      </c>
      <c r="B442" s="65" t="s">
        <v>351</v>
      </c>
      <c r="C442" s="79">
        <v>91.584999999999994</v>
      </c>
      <c r="D442" s="79">
        <v>94.784999999999997</v>
      </c>
      <c r="E442" s="79">
        <v>95.988</v>
      </c>
      <c r="F442" s="79">
        <v>94.231999999999999</v>
      </c>
      <c r="G442" s="79">
        <v>96.429000000000002</v>
      </c>
      <c r="H442" s="79">
        <v>97.397999999999996</v>
      </c>
      <c r="I442" s="79">
        <v>90.141999999999996</v>
      </c>
      <c r="J442" s="79">
        <v>88.938000000000002</v>
      </c>
      <c r="K442" s="79">
        <v>93.311999999999998</v>
      </c>
      <c r="L442" s="79">
        <v>95.194000000000003</v>
      </c>
      <c r="M442" s="79">
        <v>94.972999999999999</v>
      </c>
      <c r="N442" s="81">
        <v>93.031000000000006</v>
      </c>
      <c r="O442" s="57">
        <v>100</v>
      </c>
      <c r="P442" s="79">
        <v>99.888000000000005</v>
      </c>
      <c r="Q442" s="57">
        <v>112.47499999999999</v>
      </c>
      <c r="R442" s="57">
        <v>108.738</v>
      </c>
      <c r="S442" s="80">
        <v>107.67400000000001</v>
      </c>
      <c r="T442" s="63"/>
      <c r="AD442" s="57"/>
      <c r="AE442" s="57"/>
      <c r="AF442" s="57"/>
      <c r="AG442" s="57"/>
      <c r="AH442" s="57"/>
      <c r="AI442" s="57"/>
      <c r="AJ442" s="57"/>
      <c r="AK442" s="57"/>
      <c r="AL442" s="57"/>
      <c r="AM442" s="57"/>
      <c r="AN442" s="57"/>
      <c r="AO442" s="57"/>
    </row>
    <row r="443" spans="1:41">
      <c r="A443" s="55" t="s">
        <v>420</v>
      </c>
      <c r="B443" s="65" t="s">
        <v>352</v>
      </c>
      <c r="C443" s="79">
        <v>107.79600000000001</v>
      </c>
      <c r="D443" s="79">
        <v>111.68300000000001</v>
      </c>
      <c r="E443" s="79">
        <v>115.148</v>
      </c>
      <c r="F443" s="79">
        <v>112.89100000000001</v>
      </c>
      <c r="G443" s="79">
        <v>111.73399999999999</v>
      </c>
      <c r="H443" s="79">
        <v>110.851</v>
      </c>
      <c r="I443" s="79">
        <v>109.435</v>
      </c>
      <c r="J443" s="79">
        <v>106.58799999999999</v>
      </c>
      <c r="K443" s="79">
        <v>104.363</v>
      </c>
      <c r="L443" s="79">
        <v>102.34699999999999</v>
      </c>
      <c r="M443" s="79">
        <v>100.474</v>
      </c>
      <c r="N443" s="81">
        <v>98.593000000000004</v>
      </c>
      <c r="O443" s="57">
        <v>100</v>
      </c>
      <c r="P443" s="79">
        <v>97.230999999999995</v>
      </c>
      <c r="Q443" s="57">
        <v>98.212999999999994</v>
      </c>
      <c r="R443" s="57">
        <v>98.477000000000004</v>
      </c>
      <c r="S443" s="80">
        <v>99.376000000000005</v>
      </c>
      <c r="T443" s="63"/>
      <c r="AD443" s="57"/>
      <c r="AE443" s="57"/>
      <c r="AF443" s="57"/>
      <c r="AG443" s="57"/>
      <c r="AH443" s="57"/>
      <c r="AI443" s="57"/>
      <c r="AJ443" s="57"/>
      <c r="AK443" s="57"/>
      <c r="AL443" s="57"/>
      <c r="AM443" s="57"/>
      <c r="AN443" s="57"/>
      <c r="AO443" s="57"/>
    </row>
    <row r="444" spans="1:41">
      <c r="A444" s="55" t="s">
        <v>420</v>
      </c>
      <c r="B444" s="65" t="s">
        <v>353</v>
      </c>
      <c r="C444" s="79">
        <v>69.471999999999994</v>
      </c>
      <c r="D444" s="79">
        <v>75.646000000000001</v>
      </c>
      <c r="E444" s="79">
        <v>76.994</v>
      </c>
      <c r="F444" s="79">
        <v>85.960999999999999</v>
      </c>
      <c r="G444" s="79">
        <v>86.153999999999996</v>
      </c>
      <c r="H444" s="79">
        <v>84.622</v>
      </c>
      <c r="I444" s="79">
        <v>81.284000000000006</v>
      </c>
      <c r="J444" s="79">
        <v>78.837999999999994</v>
      </c>
      <c r="K444" s="79">
        <v>80.057000000000002</v>
      </c>
      <c r="L444" s="79">
        <v>84.971999999999994</v>
      </c>
      <c r="M444" s="79">
        <v>86.908000000000001</v>
      </c>
      <c r="N444" s="81">
        <v>91.001999999999995</v>
      </c>
      <c r="O444" s="57">
        <v>100</v>
      </c>
      <c r="P444" s="79">
        <v>103.57599999999999</v>
      </c>
      <c r="Q444" s="57">
        <v>103.494</v>
      </c>
      <c r="R444" s="57">
        <v>103.60599999999999</v>
      </c>
      <c r="S444" s="80">
        <v>108.87</v>
      </c>
      <c r="T444" s="63"/>
      <c r="AD444" s="57"/>
      <c r="AE444" s="57"/>
      <c r="AF444" s="57"/>
      <c r="AG444" s="57"/>
      <c r="AH444" s="57"/>
      <c r="AI444" s="57"/>
      <c r="AJ444" s="57"/>
      <c r="AK444" s="57"/>
      <c r="AL444" s="57"/>
      <c r="AM444" s="57"/>
      <c r="AN444" s="57"/>
      <c r="AO444" s="57"/>
    </row>
    <row r="445" spans="1:41">
      <c r="A445" s="55" t="s">
        <v>420</v>
      </c>
      <c r="B445" s="65" t="s">
        <v>354</v>
      </c>
      <c r="C445" s="79">
        <v>96.557000000000002</v>
      </c>
      <c r="D445" s="79">
        <v>102.217</v>
      </c>
      <c r="E445" s="79">
        <v>107.399</v>
      </c>
      <c r="F445" s="79">
        <v>107.39100000000001</v>
      </c>
      <c r="G445" s="79">
        <v>104.92700000000001</v>
      </c>
      <c r="H445" s="79">
        <v>98.941000000000003</v>
      </c>
      <c r="I445" s="79">
        <v>98.463999999999999</v>
      </c>
      <c r="J445" s="79">
        <v>97.576999999999998</v>
      </c>
      <c r="K445" s="79">
        <v>100.136</v>
      </c>
      <c r="L445" s="79">
        <v>103.471</v>
      </c>
      <c r="M445" s="79">
        <v>102.432</v>
      </c>
      <c r="N445" s="81">
        <v>98.763999999999996</v>
      </c>
      <c r="O445" s="57">
        <v>100</v>
      </c>
      <c r="P445" s="79">
        <v>97.7</v>
      </c>
      <c r="Q445" s="57">
        <v>93.528999999999996</v>
      </c>
      <c r="R445" s="57">
        <v>92.992000000000004</v>
      </c>
      <c r="S445" s="80">
        <v>93.293999999999997</v>
      </c>
      <c r="T445" s="63"/>
      <c r="AD445" s="57"/>
      <c r="AE445" s="57"/>
      <c r="AF445" s="57"/>
      <c r="AG445" s="57"/>
      <c r="AH445" s="57"/>
      <c r="AI445" s="57"/>
      <c r="AJ445" s="57"/>
      <c r="AK445" s="57"/>
      <c r="AL445" s="57"/>
      <c r="AM445" s="57"/>
      <c r="AN445" s="57"/>
      <c r="AO445" s="57"/>
    </row>
    <row r="446" spans="1:41">
      <c r="A446" s="55" t="s">
        <v>420</v>
      </c>
      <c r="B446" s="65" t="s">
        <v>355</v>
      </c>
      <c r="C446" s="79">
        <v>65.424999999999997</v>
      </c>
      <c r="D446" s="79">
        <v>61.069000000000003</v>
      </c>
      <c r="E446" s="79">
        <v>58.515999999999998</v>
      </c>
      <c r="F446" s="79">
        <v>69.950999999999993</v>
      </c>
      <c r="G446" s="79">
        <v>73.584000000000003</v>
      </c>
      <c r="H446" s="79">
        <v>59.433999999999997</v>
      </c>
      <c r="I446" s="79">
        <v>71.263999999999996</v>
      </c>
      <c r="J446" s="79">
        <v>82.036000000000001</v>
      </c>
      <c r="K446" s="79">
        <v>111.958</v>
      </c>
      <c r="L446" s="79">
        <v>128.989</v>
      </c>
      <c r="M446" s="79">
        <v>140.084</v>
      </c>
      <c r="N446" s="81">
        <v>132.17699999999999</v>
      </c>
      <c r="O446" s="57">
        <v>100</v>
      </c>
      <c r="P446" s="79">
        <v>131.935</v>
      </c>
      <c r="Q446" s="57">
        <v>200.11500000000001</v>
      </c>
      <c r="R446" s="57">
        <v>215.73699999999999</v>
      </c>
      <c r="S446" s="80">
        <v>188.32599999999999</v>
      </c>
      <c r="T446" s="63"/>
      <c r="AD446" s="57"/>
      <c r="AE446" s="57"/>
      <c r="AF446" s="57"/>
      <c r="AG446" s="57"/>
      <c r="AH446" s="57"/>
      <c r="AI446" s="57"/>
      <c r="AJ446" s="57"/>
      <c r="AK446" s="57"/>
      <c r="AL446" s="57"/>
      <c r="AM446" s="57"/>
      <c r="AN446" s="57"/>
      <c r="AO446" s="57"/>
    </row>
    <row r="447" spans="1:41">
      <c r="A447" s="55" t="s">
        <v>420</v>
      </c>
      <c r="B447" s="65" t="s">
        <v>356</v>
      </c>
      <c r="C447" s="79">
        <v>69.744</v>
      </c>
      <c r="D447" s="79">
        <v>73.114000000000004</v>
      </c>
      <c r="E447" s="79">
        <v>71.588999999999999</v>
      </c>
      <c r="F447" s="79">
        <v>71.766000000000005</v>
      </c>
      <c r="G447" s="79">
        <v>74.230999999999995</v>
      </c>
      <c r="H447" s="79">
        <v>74.715999999999994</v>
      </c>
      <c r="I447" s="79">
        <v>76.210999999999999</v>
      </c>
      <c r="J447" s="79">
        <v>76.570999999999998</v>
      </c>
      <c r="K447" s="79">
        <v>79.823999999999998</v>
      </c>
      <c r="L447" s="79">
        <v>82.680999999999997</v>
      </c>
      <c r="M447" s="79">
        <v>82.863</v>
      </c>
      <c r="N447" s="81">
        <v>91.828000000000003</v>
      </c>
      <c r="O447" s="57">
        <v>100</v>
      </c>
      <c r="P447" s="79">
        <v>100.126</v>
      </c>
      <c r="Q447" s="57">
        <v>108.307</v>
      </c>
      <c r="R447" s="57">
        <v>114.214</v>
      </c>
      <c r="S447" s="80">
        <v>116.337</v>
      </c>
      <c r="T447" s="63"/>
      <c r="AD447" s="57"/>
      <c r="AE447" s="57"/>
      <c r="AF447" s="57"/>
      <c r="AG447" s="57"/>
      <c r="AH447" s="57"/>
      <c r="AI447" s="57"/>
      <c r="AJ447" s="57"/>
      <c r="AK447" s="57"/>
      <c r="AL447" s="57"/>
      <c r="AM447" s="57"/>
      <c r="AN447" s="57"/>
      <c r="AO447" s="57"/>
    </row>
    <row r="448" spans="1:41">
      <c r="A448" s="55" t="s">
        <v>420</v>
      </c>
      <c r="B448" s="65" t="s">
        <v>357</v>
      </c>
      <c r="C448" s="79">
        <v>83.451999999999998</v>
      </c>
      <c r="D448" s="79">
        <v>85.15</v>
      </c>
      <c r="E448" s="79">
        <v>85.424999999999997</v>
      </c>
      <c r="F448" s="79">
        <v>83.903000000000006</v>
      </c>
      <c r="G448" s="79">
        <v>86.245999999999995</v>
      </c>
      <c r="H448" s="79">
        <v>87.016999999999996</v>
      </c>
      <c r="I448" s="79">
        <v>85.152000000000001</v>
      </c>
      <c r="J448" s="79">
        <v>82</v>
      </c>
      <c r="K448" s="79">
        <v>83.734999999999999</v>
      </c>
      <c r="L448" s="79">
        <v>92.097999999999999</v>
      </c>
      <c r="M448" s="79">
        <v>89.492000000000004</v>
      </c>
      <c r="N448" s="81">
        <v>90.944000000000003</v>
      </c>
      <c r="O448" s="57">
        <v>100</v>
      </c>
      <c r="P448" s="79">
        <v>96.843999999999994</v>
      </c>
      <c r="Q448" s="57">
        <v>100.18</v>
      </c>
      <c r="R448" s="57">
        <v>105.47199999999999</v>
      </c>
      <c r="S448" s="80">
        <v>108.21299999999999</v>
      </c>
      <c r="AD448" s="57"/>
      <c r="AE448" s="57"/>
      <c r="AF448" s="57"/>
      <c r="AG448" s="57"/>
      <c r="AH448" s="57"/>
      <c r="AI448" s="57"/>
      <c r="AJ448" s="57"/>
      <c r="AK448" s="57"/>
      <c r="AL448" s="57"/>
      <c r="AM448" s="57"/>
      <c r="AN448" s="57"/>
      <c r="AO448" s="57"/>
    </row>
    <row r="449" spans="1:41">
      <c r="A449" s="55" t="s">
        <v>420</v>
      </c>
      <c r="B449" s="65" t="s">
        <v>358</v>
      </c>
      <c r="C449" s="79">
        <v>85.492000000000004</v>
      </c>
      <c r="D449" s="79">
        <v>84.120999999999995</v>
      </c>
      <c r="E449" s="79">
        <v>83.956000000000003</v>
      </c>
      <c r="F449" s="79">
        <v>84.376999999999995</v>
      </c>
      <c r="G449" s="79">
        <v>81.932000000000002</v>
      </c>
      <c r="H449" s="79">
        <v>81.531999999999996</v>
      </c>
      <c r="I449" s="79">
        <v>80.69</v>
      </c>
      <c r="J449" s="79">
        <v>83.177999999999997</v>
      </c>
      <c r="K449" s="79">
        <v>85.352999999999994</v>
      </c>
      <c r="L449" s="79">
        <v>88.337999999999994</v>
      </c>
      <c r="M449" s="79">
        <v>90.188999999999993</v>
      </c>
      <c r="N449" s="79">
        <v>93.04</v>
      </c>
      <c r="O449" s="57">
        <v>100</v>
      </c>
      <c r="P449" s="79">
        <v>102.373</v>
      </c>
      <c r="Q449" s="57">
        <v>104.76</v>
      </c>
      <c r="R449" s="57">
        <v>108.06</v>
      </c>
      <c r="S449" s="80">
        <v>110.01300000000001</v>
      </c>
      <c r="AD449" s="57"/>
      <c r="AE449" s="57"/>
      <c r="AF449" s="57"/>
      <c r="AG449" s="57"/>
      <c r="AH449" s="57"/>
      <c r="AI449" s="57"/>
      <c r="AJ449" s="57"/>
      <c r="AK449" s="57"/>
      <c r="AL449" s="57"/>
      <c r="AM449" s="57"/>
      <c r="AN449" s="57"/>
      <c r="AO449" s="57"/>
    </row>
    <row r="450" spans="1:41">
      <c r="A450" s="55" t="s">
        <v>420</v>
      </c>
      <c r="B450" s="65" t="s">
        <v>359</v>
      </c>
      <c r="C450" s="79">
        <v>87.554000000000002</v>
      </c>
      <c r="D450" s="79">
        <v>86.474999999999994</v>
      </c>
      <c r="E450" s="79">
        <v>87.1</v>
      </c>
      <c r="F450" s="79">
        <v>88.872</v>
      </c>
      <c r="G450" s="79">
        <v>88.66</v>
      </c>
      <c r="H450" s="79">
        <v>88.415000000000006</v>
      </c>
      <c r="I450" s="79">
        <v>87.888000000000005</v>
      </c>
      <c r="J450" s="79">
        <v>89.635999999999996</v>
      </c>
      <c r="K450" s="79">
        <v>91.751999999999995</v>
      </c>
      <c r="L450" s="79">
        <v>94.433000000000007</v>
      </c>
      <c r="M450" s="79">
        <v>97.061000000000007</v>
      </c>
      <c r="N450" s="79">
        <v>98.811999999999998</v>
      </c>
      <c r="O450" s="57">
        <v>100</v>
      </c>
      <c r="P450" s="79">
        <v>100.76900000000001</v>
      </c>
      <c r="Q450" s="57">
        <v>102.78700000000001</v>
      </c>
      <c r="R450" s="57">
        <v>105.75</v>
      </c>
      <c r="S450" s="80">
        <v>107.59</v>
      </c>
      <c r="T450" s="63"/>
      <c r="AD450" s="57"/>
      <c r="AE450" s="57"/>
      <c r="AF450" s="57"/>
      <c r="AG450" s="57"/>
      <c r="AH450" s="57"/>
      <c r="AI450" s="57"/>
      <c r="AJ450" s="57"/>
      <c r="AK450" s="57"/>
      <c r="AL450" s="57"/>
      <c r="AM450" s="57"/>
      <c r="AN450" s="57"/>
      <c r="AO450" s="57"/>
    </row>
    <row r="451" spans="1:41">
      <c r="A451" s="55" t="s">
        <v>420</v>
      </c>
      <c r="B451" s="68" t="s">
        <v>438</v>
      </c>
      <c r="C451" s="79">
        <v>82.146000000000001</v>
      </c>
      <c r="D451" s="79">
        <v>82.575000000000003</v>
      </c>
      <c r="E451" s="79">
        <v>86.149000000000001</v>
      </c>
      <c r="F451" s="79">
        <v>88.135999999999996</v>
      </c>
      <c r="G451" s="79">
        <v>85.55</v>
      </c>
      <c r="H451" s="79">
        <v>93.578000000000003</v>
      </c>
      <c r="I451" s="79">
        <v>94.069000000000003</v>
      </c>
      <c r="J451" s="79">
        <v>93.418999999999997</v>
      </c>
      <c r="K451" s="79">
        <v>95.888000000000005</v>
      </c>
      <c r="L451" s="79">
        <v>100.066</v>
      </c>
      <c r="M451" s="79">
        <v>100.71299999999999</v>
      </c>
      <c r="N451" s="79">
        <v>98.254000000000005</v>
      </c>
      <c r="O451" s="57">
        <v>100</v>
      </c>
      <c r="P451" s="79">
        <v>103.413</v>
      </c>
      <c r="Q451" s="57">
        <v>106.15600000000001</v>
      </c>
      <c r="R451" s="57">
        <v>105.273</v>
      </c>
      <c r="S451" s="80">
        <v>102.574</v>
      </c>
      <c r="T451" s="63"/>
      <c r="AD451" s="57"/>
      <c r="AE451" s="57"/>
      <c r="AF451" s="57"/>
      <c r="AG451" s="57"/>
      <c r="AH451" s="57"/>
      <c r="AI451" s="57"/>
      <c r="AJ451" s="57"/>
      <c r="AK451" s="57"/>
      <c r="AL451" s="57"/>
      <c r="AM451" s="57"/>
      <c r="AN451" s="57"/>
      <c r="AO451" s="57"/>
    </row>
    <row r="452" spans="1:41">
      <c r="A452" s="55" t="s">
        <v>420</v>
      </c>
      <c r="B452" s="68" t="s">
        <v>439</v>
      </c>
      <c r="C452" s="79">
        <v>62.170999999999999</v>
      </c>
      <c r="D452" s="79">
        <v>63.241999999999997</v>
      </c>
      <c r="E452" s="79">
        <v>64.628</v>
      </c>
      <c r="F452" s="79">
        <v>66.260000000000005</v>
      </c>
      <c r="G452" s="79">
        <v>70.302999999999997</v>
      </c>
      <c r="H452" s="79">
        <v>72.144000000000005</v>
      </c>
      <c r="I452" s="79">
        <v>75.093000000000004</v>
      </c>
      <c r="J452" s="79">
        <v>79.126999999999995</v>
      </c>
      <c r="K452" s="79">
        <v>85.06</v>
      </c>
      <c r="L452" s="79">
        <v>87.593000000000004</v>
      </c>
      <c r="M452" s="79">
        <v>90.165999999999997</v>
      </c>
      <c r="N452" s="81">
        <v>96.346000000000004</v>
      </c>
      <c r="O452" s="57">
        <v>100</v>
      </c>
      <c r="P452" s="79">
        <v>95.992000000000004</v>
      </c>
      <c r="Q452" s="57">
        <v>101.88200000000001</v>
      </c>
      <c r="R452" s="57">
        <v>108.161</v>
      </c>
      <c r="S452" s="80">
        <v>111.392</v>
      </c>
      <c r="T452" s="63"/>
      <c r="AD452" s="57"/>
      <c r="AE452" s="57"/>
      <c r="AF452" s="57"/>
      <c r="AG452" s="57"/>
      <c r="AH452" s="57"/>
      <c r="AI452" s="57"/>
      <c r="AJ452" s="57"/>
      <c r="AK452" s="57"/>
      <c r="AL452" s="57"/>
      <c r="AM452" s="57"/>
      <c r="AN452" s="57"/>
      <c r="AO452" s="57"/>
    </row>
    <row r="453" spans="1:41">
      <c r="A453" s="55" t="s">
        <v>420</v>
      </c>
      <c r="B453" s="68" t="s">
        <v>440</v>
      </c>
      <c r="C453" s="79">
        <v>108.94</v>
      </c>
      <c r="D453" s="79">
        <v>108.108</v>
      </c>
      <c r="E453" s="79">
        <v>106.896</v>
      </c>
      <c r="F453" s="79">
        <v>106.07599999999999</v>
      </c>
      <c r="G453" s="79">
        <v>106.33499999999999</v>
      </c>
      <c r="H453" s="79">
        <v>103.292</v>
      </c>
      <c r="I453" s="79">
        <v>98.802000000000007</v>
      </c>
      <c r="J453" s="79">
        <v>100.837</v>
      </c>
      <c r="K453" s="79">
        <v>100.16800000000001</v>
      </c>
      <c r="L453" s="79">
        <v>100.828</v>
      </c>
      <c r="M453" s="79">
        <v>100.66</v>
      </c>
      <c r="N453" s="81">
        <v>104.145</v>
      </c>
      <c r="O453" s="57">
        <v>100</v>
      </c>
      <c r="P453" s="79">
        <v>110.261</v>
      </c>
      <c r="Q453" s="57">
        <v>111.465</v>
      </c>
      <c r="R453" s="57">
        <v>124.22</v>
      </c>
      <c r="S453" s="80">
        <v>125.256</v>
      </c>
      <c r="T453" s="63"/>
      <c r="AD453" s="57"/>
      <c r="AE453" s="57"/>
      <c r="AF453" s="57"/>
      <c r="AG453" s="57"/>
      <c r="AH453" s="57"/>
      <c r="AI453" s="57"/>
      <c r="AJ453" s="57"/>
      <c r="AK453" s="57"/>
      <c r="AL453" s="57"/>
      <c r="AM453" s="57"/>
      <c r="AN453" s="57"/>
      <c r="AO453" s="57"/>
    </row>
    <row r="454" spans="1:41">
      <c r="A454" s="55" t="s">
        <v>420</v>
      </c>
      <c r="B454" s="68" t="s">
        <v>441</v>
      </c>
      <c r="C454" s="79">
        <v>93.643000000000001</v>
      </c>
      <c r="D454" s="79">
        <v>90.796000000000006</v>
      </c>
      <c r="E454" s="79">
        <v>90.177000000000007</v>
      </c>
      <c r="F454" s="79">
        <v>92.551000000000002</v>
      </c>
      <c r="G454" s="79">
        <v>91.516999999999996</v>
      </c>
      <c r="H454" s="79">
        <v>87.799000000000007</v>
      </c>
      <c r="I454" s="79">
        <v>86.692999999999998</v>
      </c>
      <c r="J454" s="79">
        <v>88.480999999999995</v>
      </c>
      <c r="K454" s="79">
        <v>90.022000000000006</v>
      </c>
      <c r="L454" s="79">
        <v>92.766999999999996</v>
      </c>
      <c r="M454" s="79">
        <v>96.787000000000006</v>
      </c>
      <c r="N454" s="81">
        <v>98.216999999999999</v>
      </c>
      <c r="O454" s="57">
        <v>100</v>
      </c>
      <c r="P454" s="79">
        <v>98.747</v>
      </c>
      <c r="Q454" s="57">
        <v>99.584000000000003</v>
      </c>
      <c r="R454" s="57">
        <v>100.422</v>
      </c>
      <c r="S454" s="80">
        <v>103.598</v>
      </c>
      <c r="AD454" s="57"/>
      <c r="AE454" s="57"/>
      <c r="AF454" s="57"/>
      <c r="AG454" s="57"/>
      <c r="AH454" s="57"/>
      <c r="AI454" s="57"/>
      <c r="AJ454" s="57"/>
      <c r="AK454" s="57"/>
      <c r="AL454" s="57"/>
      <c r="AM454" s="57"/>
      <c r="AN454" s="57"/>
      <c r="AO454" s="57"/>
    </row>
    <row r="455" spans="1:41">
      <c r="A455" s="55" t="s">
        <v>420</v>
      </c>
      <c r="B455" s="65" t="s">
        <v>360</v>
      </c>
      <c r="C455" s="79">
        <v>71.631</v>
      </c>
      <c r="D455" s="79">
        <v>75.108000000000004</v>
      </c>
      <c r="E455" s="79">
        <v>77.122</v>
      </c>
      <c r="F455" s="79">
        <v>80.444000000000003</v>
      </c>
      <c r="G455" s="79">
        <v>86.813999999999993</v>
      </c>
      <c r="H455" s="79">
        <v>88.93</v>
      </c>
      <c r="I455" s="79">
        <v>89.837000000000003</v>
      </c>
      <c r="J455" s="79">
        <v>89.512</v>
      </c>
      <c r="K455" s="79">
        <v>90.509</v>
      </c>
      <c r="L455" s="79">
        <v>92.641000000000005</v>
      </c>
      <c r="M455" s="79">
        <v>94.278000000000006</v>
      </c>
      <c r="N455" s="81">
        <v>97.320999999999998</v>
      </c>
      <c r="O455" s="57">
        <v>100</v>
      </c>
      <c r="P455" s="79">
        <v>100.886</v>
      </c>
      <c r="Q455" s="57">
        <v>102.37</v>
      </c>
      <c r="R455" s="57">
        <v>106.071</v>
      </c>
      <c r="S455" s="80">
        <v>109.28100000000001</v>
      </c>
      <c r="T455" s="63"/>
      <c r="AD455" s="57"/>
      <c r="AE455" s="57"/>
      <c r="AF455" s="57"/>
      <c r="AG455" s="57"/>
      <c r="AH455" s="57"/>
      <c r="AI455" s="57"/>
      <c r="AJ455" s="57"/>
      <c r="AK455" s="57"/>
      <c r="AL455" s="57"/>
      <c r="AM455" s="57"/>
      <c r="AN455" s="57"/>
      <c r="AO455" s="57"/>
    </row>
    <row r="456" spans="1:41">
      <c r="A456" s="55" t="s">
        <v>420</v>
      </c>
      <c r="B456" s="65" t="s">
        <v>361</v>
      </c>
      <c r="C456" s="79">
        <v>64.284000000000006</v>
      </c>
      <c r="D456" s="79">
        <v>68.230999999999995</v>
      </c>
      <c r="E456" s="79">
        <v>71.870999999999995</v>
      </c>
      <c r="F456" s="79">
        <v>81.078000000000003</v>
      </c>
      <c r="G456" s="79">
        <v>99.960999999999999</v>
      </c>
      <c r="H456" s="79">
        <v>105.268</v>
      </c>
      <c r="I456" s="79">
        <v>102.431</v>
      </c>
      <c r="J456" s="79">
        <v>94.400999999999996</v>
      </c>
      <c r="K456" s="79">
        <v>90.840999999999994</v>
      </c>
      <c r="L456" s="79">
        <v>93.102999999999994</v>
      </c>
      <c r="M456" s="79">
        <v>92.123000000000005</v>
      </c>
      <c r="N456" s="81">
        <v>94.87</v>
      </c>
      <c r="O456" s="57">
        <v>100</v>
      </c>
      <c r="P456" s="79">
        <v>102.93300000000001</v>
      </c>
      <c r="Q456" s="57">
        <v>107.72499999999999</v>
      </c>
      <c r="R456" s="57">
        <v>116.42700000000001</v>
      </c>
      <c r="S456" s="80">
        <v>118.83499999999999</v>
      </c>
      <c r="T456" s="63"/>
      <c r="AD456" s="57"/>
      <c r="AE456" s="57"/>
      <c r="AF456" s="57"/>
      <c r="AG456" s="57"/>
      <c r="AH456" s="57"/>
      <c r="AI456" s="57"/>
      <c r="AJ456" s="57"/>
      <c r="AK456" s="57"/>
      <c r="AL456" s="57"/>
      <c r="AM456" s="57"/>
      <c r="AN456" s="57"/>
      <c r="AO456" s="57"/>
    </row>
    <row r="457" spans="1:41">
      <c r="A457" s="55" t="s">
        <v>420</v>
      </c>
      <c r="B457" s="65" t="s">
        <v>362</v>
      </c>
      <c r="C457" s="79">
        <v>63.4</v>
      </c>
      <c r="D457" s="79">
        <v>68.412000000000006</v>
      </c>
      <c r="E457" s="79">
        <v>66.816000000000003</v>
      </c>
      <c r="F457" s="79">
        <v>66.343999999999994</v>
      </c>
      <c r="G457" s="79">
        <v>68.977999999999994</v>
      </c>
      <c r="H457" s="79">
        <v>70.861000000000004</v>
      </c>
      <c r="I457" s="79">
        <v>70.460999999999999</v>
      </c>
      <c r="J457" s="79">
        <v>71.432000000000002</v>
      </c>
      <c r="K457" s="79">
        <v>77.789000000000001</v>
      </c>
      <c r="L457" s="79">
        <v>86.183000000000007</v>
      </c>
      <c r="M457" s="79">
        <v>87.858000000000004</v>
      </c>
      <c r="N457" s="81">
        <v>97.695999999999998</v>
      </c>
      <c r="O457" s="57">
        <v>100</v>
      </c>
      <c r="P457" s="79">
        <v>101.749</v>
      </c>
      <c r="Q457" s="57">
        <v>107.495</v>
      </c>
      <c r="R457" s="57">
        <v>115.702</v>
      </c>
      <c r="S457" s="80">
        <v>121.71599999999999</v>
      </c>
      <c r="T457" s="63"/>
      <c r="AD457" s="57"/>
      <c r="AE457" s="57"/>
      <c r="AF457" s="57"/>
      <c r="AG457" s="57"/>
      <c r="AH457" s="57"/>
      <c r="AI457" s="57"/>
      <c r="AJ457" s="57"/>
      <c r="AK457" s="57"/>
      <c r="AL457" s="57"/>
      <c r="AM457" s="57"/>
      <c r="AN457" s="57"/>
      <c r="AO457" s="57"/>
    </row>
    <row r="458" spans="1:41">
      <c r="A458" s="55" t="s">
        <v>420</v>
      </c>
      <c r="B458" s="65" t="s">
        <v>363</v>
      </c>
      <c r="C458" s="79">
        <v>113.76600000000001</v>
      </c>
      <c r="D458" s="79">
        <v>144.77099999999999</v>
      </c>
      <c r="E458" s="79">
        <v>178.38499999999999</v>
      </c>
      <c r="F458" s="79">
        <v>177.52</v>
      </c>
      <c r="G458" s="79">
        <v>201.55</v>
      </c>
      <c r="H458" s="79">
        <v>227.047</v>
      </c>
      <c r="I458" s="79">
        <v>256.91800000000001</v>
      </c>
      <c r="J458" s="79">
        <v>211.56</v>
      </c>
      <c r="K458" s="79">
        <v>166.434</v>
      </c>
      <c r="L458" s="79">
        <v>147.18700000000001</v>
      </c>
      <c r="M458" s="79">
        <v>124.58</v>
      </c>
      <c r="N458" s="81">
        <v>121.185</v>
      </c>
      <c r="O458" s="57">
        <v>100</v>
      </c>
      <c r="P458" s="79">
        <v>114.32899999999999</v>
      </c>
      <c r="Q458" s="57">
        <v>98.471000000000004</v>
      </c>
      <c r="R458" s="57">
        <v>89.974000000000004</v>
      </c>
      <c r="S458" s="80">
        <v>87.150999999999996</v>
      </c>
      <c r="T458" s="63"/>
      <c r="AD458" s="57"/>
      <c r="AE458" s="57"/>
      <c r="AF458" s="57"/>
      <c r="AG458" s="57"/>
      <c r="AH458" s="57"/>
      <c r="AI458" s="57"/>
      <c r="AJ458" s="57"/>
      <c r="AK458" s="57"/>
      <c r="AL458" s="57"/>
      <c r="AM458" s="57"/>
      <c r="AN458" s="57"/>
      <c r="AO458" s="57"/>
    </row>
    <row r="459" spans="1:41">
      <c r="A459" s="55" t="s">
        <v>420</v>
      </c>
      <c r="B459" s="65" t="s">
        <v>364</v>
      </c>
      <c r="C459" s="79">
        <v>71.941000000000003</v>
      </c>
      <c r="D459" s="79">
        <v>77.55</v>
      </c>
      <c r="E459" s="79">
        <v>79.703999999999994</v>
      </c>
      <c r="F459" s="79">
        <v>81.346000000000004</v>
      </c>
      <c r="G459" s="79">
        <v>86.236000000000004</v>
      </c>
      <c r="H459" s="79">
        <v>87.233999999999995</v>
      </c>
      <c r="I459" s="79">
        <v>88.658000000000001</v>
      </c>
      <c r="J459" s="79">
        <v>89.552999999999997</v>
      </c>
      <c r="K459" s="79">
        <v>92.554000000000002</v>
      </c>
      <c r="L459" s="79">
        <v>93.671000000000006</v>
      </c>
      <c r="M459" s="79">
        <v>94.903000000000006</v>
      </c>
      <c r="N459" s="81">
        <v>97.247</v>
      </c>
      <c r="O459" s="57">
        <v>100</v>
      </c>
      <c r="P459" s="79">
        <v>94.563999999999993</v>
      </c>
      <c r="Q459" s="57">
        <v>93.894000000000005</v>
      </c>
      <c r="R459" s="57">
        <v>96.875</v>
      </c>
      <c r="S459" s="80">
        <v>100.155</v>
      </c>
      <c r="T459" s="63"/>
      <c r="AD459" s="57"/>
      <c r="AE459" s="57"/>
      <c r="AF459" s="57"/>
      <c r="AG459" s="57"/>
      <c r="AH459" s="57"/>
      <c r="AI459" s="57"/>
      <c r="AJ459" s="57"/>
      <c r="AK459" s="57"/>
      <c r="AL459" s="57"/>
      <c r="AM459" s="57"/>
      <c r="AN459" s="57"/>
      <c r="AO459" s="57"/>
    </row>
    <row r="460" spans="1:41">
      <c r="A460" s="55" t="s">
        <v>420</v>
      </c>
      <c r="B460" s="65" t="s">
        <v>365</v>
      </c>
      <c r="C460" s="79">
        <v>62.981999999999999</v>
      </c>
      <c r="D460" s="79">
        <v>64.316999999999993</v>
      </c>
      <c r="E460" s="79">
        <v>64.361999999999995</v>
      </c>
      <c r="F460" s="79">
        <v>65.504000000000005</v>
      </c>
      <c r="G460" s="79">
        <v>68.519000000000005</v>
      </c>
      <c r="H460" s="79">
        <v>70.557000000000002</v>
      </c>
      <c r="I460" s="79">
        <v>75.912999999999997</v>
      </c>
      <c r="J460" s="79">
        <v>79.088999999999999</v>
      </c>
      <c r="K460" s="79">
        <v>81.260999999999996</v>
      </c>
      <c r="L460" s="79">
        <v>85.2</v>
      </c>
      <c r="M460" s="79">
        <v>86.137</v>
      </c>
      <c r="N460" s="79">
        <v>89.340999999999994</v>
      </c>
      <c r="O460" s="57">
        <v>100</v>
      </c>
      <c r="P460" s="79">
        <v>102.509</v>
      </c>
      <c r="Q460" s="57">
        <v>104.72199999999999</v>
      </c>
      <c r="R460" s="57">
        <v>109.459</v>
      </c>
      <c r="S460" s="80">
        <v>116.575</v>
      </c>
      <c r="T460" s="63"/>
      <c r="AD460" s="57"/>
      <c r="AE460" s="57"/>
      <c r="AF460" s="57"/>
      <c r="AG460" s="57"/>
      <c r="AH460" s="57"/>
      <c r="AI460" s="57"/>
      <c r="AJ460" s="57"/>
      <c r="AK460" s="57"/>
      <c r="AL460" s="57"/>
      <c r="AM460" s="57"/>
      <c r="AN460" s="57"/>
      <c r="AO460" s="57"/>
    </row>
    <row r="461" spans="1:41">
      <c r="A461" s="55" t="s">
        <v>420</v>
      </c>
      <c r="B461" s="65" t="s">
        <v>366</v>
      </c>
      <c r="C461" s="79">
        <v>104.80800000000001</v>
      </c>
      <c r="D461" s="79">
        <v>107.98399999999999</v>
      </c>
      <c r="E461" s="79">
        <v>99.292000000000002</v>
      </c>
      <c r="F461" s="79">
        <v>88.941999999999993</v>
      </c>
      <c r="G461" s="79">
        <v>97.024000000000001</v>
      </c>
      <c r="H461" s="79">
        <v>98.256</v>
      </c>
      <c r="I461" s="79">
        <v>88.997</v>
      </c>
      <c r="J461" s="79">
        <v>85.278000000000006</v>
      </c>
      <c r="K461" s="79">
        <v>79.582999999999998</v>
      </c>
      <c r="L461" s="79">
        <v>84.519000000000005</v>
      </c>
      <c r="M461" s="79">
        <v>86.51</v>
      </c>
      <c r="N461" s="81">
        <v>81.454999999999998</v>
      </c>
      <c r="O461" s="57">
        <v>100</v>
      </c>
      <c r="P461" s="79">
        <v>108.05500000000001</v>
      </c>
      <c r="Q461" s="57">
        <v>109.55800000000001</v>
      </c>
      <c r="R461" s="57">
        <v>114.952</v>
      </c>
      <c r="S461" s="80">
        <v>123.637</v>
      </c>
      <c r="T461" s="63"/>
      <c r="AD461" s="57"/>
      <c r="AE461" s="57"/>
      <c r="AF461" s="57"/>
      <c r="AG461" s="57"/>
      <c r="AH461" s="57"/>
      <c r="AI461" s="57"/>
      <c r="AJ461" s="57"/>
      <c r="AK461" s="57"/>
      <c r="AL461" s="57"/>
      <c r="AM461" s="57"/>
      <c r="AN461" s="57"/>
      <c r="AO461" s="57"/>
    </row>
    <row r="462" spans="1:41">
      <c r="A462" s="55" t="s">
        <v>420</v>
      </c>
      <c r="B462" s="65" t="s">
        <v>367</v>
      </c>
      <c r="C462" s="79">
        <v>69.965999999999994</v>
      </c>
      <c r="D462" s="79">
        <v>69.194000000000003</v>
      </c>
      <c r="E462" s="79">
        <v>71.116</v>
      </c>
      <c r="F462" s="79">
        <v>76.459999999999994</v>
      </c>
      <c r="G462" s="79">
        <v>79.454999999999998</v>
      </c>
      <c r="H462" s="79">
        <v>80.751999999999995</v>
      </c>
      <c r="I462" s="79">
        <v>82.352999999999994</v>
      </c>
      <c r="J462" s="79">
        <v>85.867999999999995</v>
      </c>
      <c r="K462" s="79">
        <v>88.706999999999994</v>
      </c>
      <c r="L462" s="79">
        <v>91.332999999999998</v>
      </c>
      <c r="M462" s="79">
        <v>96.131</v>
      </c>
      <c r="N462" s="81">
        <v>99.516000000000005</v>
      </c>
      <c r="O462" s="57">
        <v>100</v>
      </c>
      <c r="P462" s="79">
        <v>105.17100000000001</v>
      </c>
      <c r="Q462" s="57">
        <v>111.187</v>
      </c>
      <c r="R462" s="57">
        <v>116.294</v>
      </c>
      <c r="S462" s="80">
        <v>121.54300000000001</v>
      </c>
      <c r="T462" s="63"/>
      <c r="AD462" s="57"/>
      <c r="AE462" s="57"/>
      <c r="AF462" s="57"/>
      <c r="AG462" s="57"/>
      <c r="AH462" s="57"/>
      <c r="AI462" s="57"/>
      <c r="AJ462" s="57"/>
      <c r="AK462" s="57"/>
      <c r="AL462" s="57"/>
      <c r="AM462" s="57"/>
      <c r="AN462" s="57"/>
      <c r="AO462" s="57"/>
    </row>
    <row r="463" spans="1:41">
      <c r="A463" s="55" t="s">
        <v>420</v>
      </c>
      <c r="B463" s="65" t="s">
        <v>368</v>
      </c>
      <c r="C463" s="79">
        <v>82.432000000000002</v>
      </c>
      <c r="D463" s="79">
        <v>83.599000000000004</v>
      </c>
      <c r="E463" s="79">
        <v>85.528999999999996</v>
      </c>
      <c r="F463" s="79">
        <v>86.727000000000004</v>
      </c>
      <c r="G463" s="79">
        <v>88.481999999999999</v>
      </c>
      <c r="H463" s="79">
        <v>89.494</v>
      </c>
      <c r="I463" s="79">
        <v>90.221999999999994</v>
      </c>
      <c r="J463" s="79">
        <v>89.954999999999998</v>
      </c>
      <c r="K463" s="79">
        <v>89.29</v>
      </c>
      <c r="L463" s="79">
        <v>88.906999999999996</v>
      </c>
      <c r="M463" s="79">
        <v>94.754000000000005</v>
      </c>
      <c r="N463" s="81">
        <v>98.423000000000002</v>
      </c>
      <c r="O463" s="57">
        <v>100</v>
      </c>
      <c r="P463" s="79">
        <v>96.781999999999996</v>
      </c>
      <c r="Q463" s="57">
        <v>92.394000000000005</v>
      </c>
      <c r="R463" s="57">
        <v>88.588999999999999</v>
      </c>
      <c r="S463" s="80">
        <v>85.701999999999998</v>
      </c>
      <c r="AD463" s="57"/>
      <c r="AE463" s="57"/>
      <c r="AF463" s="57"/>
      <c r="AG463" s="57"/>
      <c r="AH463" s="57"/>
      <c r="AI463" s="57"/>
      <c r="AJ463" s="57"/>
      <c r="AK463" s="57"/>
      <c r="AL463" s="57"/>
      <c r="AM463" s="57"/>
      <c r="AN463" s="57"/>
      <c r="AO463" s="57"/>
    </row>
    <row r="464" spans="1:41">
      <c r="A464" s="55" t="s">
        <v>420</v>
      </c>
      <c r="B464" s="65" t="s">
        <v>369</v>
      </c>
      <c r="C464" s="79">
        <v>105.864</v>
      </c>
      <c r="D464" s="79">
        <v>106.426</v>
      </c>
      <c r="E464" s="79">
        <v>106.788</v>
      </c>
      <c r="F464" s="79">
        <v>106.176</v>
      </c>
      <c r="G464" s="79">
        <v>106.636</v>
      </c>
      <c r="H464" s="79">
        <v>106.61</v>
      </c>
      <c r="I464" s="79">
        <v>106.527</v>
      </c>
      <c r="J464" s="79">
        <v>105.574</v>
      </c>
      <c r="K464" s="79">
        <v>103.401</v>
      </c>
      <c r="L464" s="79">
        <v>102.099</v>
      </c>
      <c r="M464" s="79">
        <v>100.723</v>
      </c>
      <c r="N464" s="81">
        <v>99.786000000000001</v>
      </c>
      <c r="O464" s="57">
        <v>100</v>
      </c>
      <c r="P464" s="79">
        <v>99.328999999999994</v>
      </c>
      <c r="Q464" s="57">
        <v>98.95</v>
      </c>
      <c r="R464" s="57">
        <v>99.069000000000003</v>
      </c>
      <c r="S464" s="80">
        <v>99.694000000000003</v>
      </c>
      <c r="T464" s="63"/>
      <c r="AD464" s="57"/>
      <c r="AE464" s="57"/>
      <c r="AF464" s="57"/>
      <c r="AG464" s="57"/>
      <c r="AH464" s="57"/>
      <c r="AI464" s="57"/>
      <c r="AJ464" s="57"/>
      <c r="AK464" s="57"/>
      <c r="AL464" s="57"/>
      <c r="AM464" s="57"/>
      <c r="AN464" s="57"/>
      <c r="AO464" s="57"/>
    </row>
    <row r="465" spans="1:41">
      <c r="A465" s="55" t="s">
        <v>420</v>
      </c>
      <c r="B465" s="65" t="s">
        <v>442</v>
      </c>
      <c r="C465" s="79">
        <v>81.694999999999993</v>
      </c>
      <c r="D465" s="79">
        <v>84.355000000000004</v>
      </c>
      <c r="E465" s="79">
        <v>87.665999999999997</v>
      </c>
      <c r="F465" s="79">
        <v>89.599000000000004</v>
      </c>
      <c r="G465" s="79">
        <v>92.863</v>
      </c>
      <c r="H465" s="79">
        <v>94.966999999999999</v>
      </c>
      <c r="I465" s="79">
        <v>95.86</v>
      </c>
      <c r="J465" s="79">
        <v>94.05</v>
      </c>
      <c r="K465" s="79">
        <v>95.031000000000006</v>
      </c>
      <c r="L465" s="79">
        <v>96.995999999999995</v>
      </c>
      <c r="M465" s="79">
        <v>97.168000000000006</v>
      </c>
      <c r="N465" s="79">
        <v>98.343000000000004</v>
      </c>
      <c r="O465" s="57">
        <v>100</v>
      </c>
      <c r="P465" s="79">
        <v>98.816999999999993</v>
      </c>
      <c r="Q465" s="57">
        <v>99.2</v>
      </c>
      <c r="R465" s="57">
        <v>99.603999999999999</v>
      </c>
      <c r="S465" s="80">
        <v>100.77200000000001</v>
      </c>
      <c r="T465" s="63"/>
      <c r="AD465" s="57"/>
      <c r="AE465" s="57"/>
      <c r="AF465" s="57"/>
      <c r="AG465" s="57"/>
      <c r="AH465" s="57"/>
      <c r="AI465" s="57"/>
      <c r="AJ465" s="57"/>
      <c r="AK465" s="57"/>
      <c r="AL465" s="57"/>
      <c r="AM465" s="57"/>
      <c r="AN465" s="57"/>
      <c r="AO465" s="57"/>
    </row>
    <row r="466" spans="1:41">
      <c r="A466" s="55" t="s">
        <v>420</v>
      </c>
      <c r="B466" s="65" t="s">
        <v>371</v>
      </c>
      <c r="C466" s="79">
        <v>79.900999999999996</v>
      </c>
      <c r="D466" s="79">
        <v>80.647999999999996</v>
      </c>
      <c r="E466" s="79">
        <v>85.042000000000002</v>
      </c>
      <c r="F466" s="79">
        <v>89.274000000000001</v>
      </c>
      <c r="G466" s="79">
        <v>93.286000000000001</v>
      </c>
      <c r="H466" s="79">
        <v>95.498999999999995</v>
      </c>
      <c r="I466" s="79">
        <v>92.930999999999997</v>
      </c>
      <c r="J466" s="79">
        <v>95.102000000000004</v>
      </c>
      <c r="K466" s="79">
        <v>96.417000000000002</v>
      </c>
      <c r="L466" s="79">
        <v>97.26</v>
      </c>
      <c r="M466" s="79">
        <v>98.382999999999996</v>
      </c>
      <c r="N466" s="79">
        <v>99.772000000000006</v>
      </c>
      <c r="O466" s="57">
        <v>100</v>
      </c>
      <c r="P466" s="79">
        <v>100.056</v>
      </c>
      <c r="Q466" s="57">
        <v>100.042</v>
      </c>
      <c r="R466" s="57">
        <v>100.595</v>
      </c>
      <c r="S466" s="80">
        <v>100.96</v>
      </c>
      <c r="T466" s="63"/>
      <c r="AD466" s="57"/>
      <c r="AE466" s="57"/>
      <c r="AF466" s="57"/>
      <c r="AG466" s="57"/>
      <c r="AH466" s="57"/>
      <c r="AI466" s="57"/>
      <c r="AJ466" s="57"/>
      <c r="AK466" s="57"/>
      <c r="AL466" s="57"/>
      <c r="AM466" s="57"/>
      <c r="AN466" s="57"/>
      <c r="AO466" s="57"/>
    </row>
    <row r="467" spans="1:41">
      <c r="A467" s="55" t="s">
        <v>420</v>
      </c>
      <c r="B467" s="65" t="s">
        <v>372</v>
      </c>
      <c r="C467" s="79">
        <v>129.22499999999999</v>
      </c>
      <c r="D467" s="79">
        <v>127.82299999999999</v>
      </c>
      <c r="E467" s="79">
        <v>124.566</v>
      </c>
      <c r="F467" s="79">
        <v>120.631</v>
      </c>
      <c r="G467" s="79">
        <v>118.26300000000001</v>
      </c>
      <c r="H467" s="79">
        <v>116.282</v>
      </c>
      <c r="I467" s="79">
        <v>116.381</v>
      </c>
      <c r="J467" s="79">
        <v>115.245</v>
      </c>
      <c r="K467" s="79">
        <v>109.624</v>
      </c>
      <c r="L467" s="79">
        <v>105.554</v>
      </c>
      <c r="M467" s="79">
        <v>103.215</v>
      </c>
      <c r="N467" s="81">
        <v>100.69799999999999</v>
      </c>
      <c r="O467" s="57">
        <v>100</v>
      </c>
      <c r="P467" s="79">
        <v>99.5</v>
      </c>
      <c r="Q467" s="57">
        <v>98.760999999999996</v>
      </c>
      <c r="R467" s="57">
        <v>98.793000000000006</v>
      </c>
      <c r="S467" s="80">
        <v>99.594999999999999</v>
      </c>
      <c r="T467" s="63"/>
      <c r="AD467" s="57"/>
      <c r="AE467" s="57"/>
      <c r="AF467" s="57"/>
      <c r="AG467" s="57"/>
      <c r="AH467" s="57"/>
      <c r="AI467" s="57"/>
      <c r="AJ467" s="57"/>
      <c r="AK467" s="57"/>
      <c r="AL467" s="57"/>
      <c r="AM467" s="57"/>
      <c r="AN467" s="57"/>
      <c r="AO467" s="57"/>
    </row>
    <row r="468" spans="1:41">
      <c r="A468" s="55" t="s">
        <v>420</v>
      </c>
      <c r="B468" s="65" t="s">
        <v>443</v>
      </c>
      <c r="C468" s="79">
        <v>94.305000000000007</v>
      </c>
      <c r="D468" s="79">
        <v>97.361000000000004</v>
      </c>
      <c r="E468" s="79">
        <v>98.486000000000004</v>
      </c>
      <c r="F468" s="79">
        <v>99.373000000000005</v>
      </c>
      <c r="G468" s="79">
        <v>102.435</v>
      </c>
      <c r="H468" s="79">
        <v>103.04600000000001</v>
      </c>
      <c r="I468" s="79">
        <v>102.824</v>
      </c>
      <c r="J468" s="79">
        <v>101.246</v>
      </c>
      <c r="K468" s="79">
        <v>101.91</v>
      </c>
      <c r="L468" s="79">
        <v>102.819</v>
      </c>
      <c r="M468" s="79">
        <v>99.57</v>
      </c>
      <c r="N468" s="81">
        <v>98.617999999999995</v>
      </c>
      <c r="O468" s="57">
        <v>100</v>
      </c>
      <c r="P468" s="79">
        <v>98.688000000000002</v>
      </c>
      <c r="Q468" s="57">
        <v>97.632000000000005</v>
      </c>
      <c r="R468" s="57">
        <v>96.781000000000006</v>
      </c>
      <c r="S468" s="80">
        <v>95.456999999999994</v>
      </c>
      <c r="AD468" s="57"/>
      <c r="AE468" s="57"/>
      <c r="AF468" s="57"/>
      <c r="AG468" s="57"/>
      <c r="AH468" s="57"/>
      <c r="AI468" s="57"/>
      <c r="AJ468" s="57"/>
      <c r="AK468" s="57"/>
      <c r="AL468" s="57"/>
      <c r="AM468" s="57"/>
      <c r="AN468" s="57"/>
      <c r="AO468" s="57"/>
    </row>
    <row r="469" spans="1:41">
      <c r="A469" s="55" t="s">
        <v>420</v>
      </c>
      <c r="B469" s="65" t="s">
        <v>374</v>
      </c>
      <c r="C469" s="79">
        <v>82.153000000000006</v>
      </c>
      <c r="D469" s="79">
        <v>83.271000000000001</v>
      </c>
      <c r="E469" s="79">
        <v>83.793999999999997</v>
      </c>
      <c r="F469" s="79">
        <v>85.667000000000002</v>
      </c>
      <c r="G469" s="79">
        <v>87.134</v>
      </c>
      <c r="H469" s="79">
        <v>89.647000000000006</v>
      </c>
      <c r="I469" s="79">
        <v>91.96</v>
      </c>
      <c r="J469" s="79">
        <v>94.191000000000003</v>
      </c>
      <c r="K469" s="79">
        <v>96.272999999999996</v>
      </c>
      <c r="L469" s="79">
        <v>98.403000000000006</v>
      </c>
      <c r="M469" s="79">
        <v>100.36499999999999</v>
      </c>
      <c r="N469" s="81">
        <v>101.503</v>
      </c>
      <c r="O469" s="57">
        <v>100</v>
      </c>
      <c r="P469" s="79">
        <v>100.892</v>
      </c>
      <c r="Q469" s="57">
        <v>102.22</v>
      </c>
      <c r="R469" s="57">
        <v>104.943</v>
      </c>
      <c r="S469" s="80">
        <v>107.434</v>
      </c>
      <c r="AD469" s="57"/>
      <c r="AE469" s="57"/>
      <c r="AF469" s="57"/>
      <c r="AG469" s="57"/>
      <c r="AH469" s="57"/>
      <c r="AI469" s="57"/>
      <c r="AJ469" s="57"/>
      <c r="AK469" s="57"/>
      <c r="AL469" s="57"/>
      <c r="AM469" s="57"/>
      <c r="AN469" s="57"/>
      <c r="AO469" s="57"/>
    </row>
    <row r="470" spans="1:41">
      <c r="A470" s="55" t="s">
        <v>420</v>
      </c>
      <c r="B470" s="65" t="s">
        <v>375</v>
      </c>
      <c r="C470" s="79">
        <v>99.343000000000004</v>
      </c>
      <c r="D470" s="79">
        <v>98.539000000000001</v>
      </c>
      <c r="E470" s="79">
        <v>95.405000000000001</v>
      </c>
      <c r="F470" s="79">
        <v>95.87</v>
      </c>
      <c r="G470" s="79">
        <v>94.787000000000006</v>
      </c>
      <c r="H470" s="79">
        <v>96.424000000000007</v>
      </c>
      <c r="I470" s="79">
        <v>99.337999999999994</v>
      </c>
      <c r="J470" s="79">
        <v>102.322</v>
      </c>
      <c r="K470" s="79">
        <v>104.63500000000001</v>
      </c>
      <c r="L470" s="79">
        <v>106.071</v>
      </c>
      <c r="M470" s="79">
        <v>108.063</v>
      </c>
      <c r="N470" s="81">
        <v>108.357</v>
      </c>
      <c r="O470" s="57">
        <v>100</v>
      </c>
      <c r="P470" s="79">
        <v>103.831</v>
      </c>
      <c r="Q470" s="57">
        <v>106.145</v>
      </c>
      <c r="R470" s="57">
        <v>110.43600000000001</v>
      </c>
      <c r="S470" s="80">
        <v>113.178</v>
      </c>
      <c r="T470" s="63"/>
      <c r="AD470" s="57"/>
      <c r="AE470" s="57"/>
      <c r="AF470" s="57"/>
      <c r="AG470" s="57"/>
      <c r="AH470" s="57"/>
      <c r="AI470" s="57"/>
      <c r="AJ470" s="57"/>
      <c r="AK470" s="57"/>
      <c r="AL470" s="57"/>
      <c r="AM470" s="57"/>
      <c r="AN470" s="57"/>
      <c r="AO470" s="57"/>
    </row>
    <row r="471" spans="1:41">
      <c r="A471" s="55" t="s">
        <v>420</v>
      </c>
      <c r="B471" s="65" t="s">
        <v>376</v>
      </c>
      <c r="C471" s="79">
        <v>106.217</v>
      </c>
      <c r="D471" s="79">
        <v>103.971</v>
      </c>
      <c r="E471" s="79">
        <v>99.828999999999994</v>
      </c>
      <c r="F471" s="79">
        <v>105.544</v>
      </c>
      <c r="G471" s="79">
        <v>105.126</v>
      </c>
      <c r="H471" s="79">
        <v>107.2</v>
      </c>
      <c r="I471" s="79">
        <v>109.959</v>
      </c>
      <c r="J471" s="79">
        <v>112.14400000000001</v>
      </c>
      <c r="K471" s="79">
        <v>113.702</v>
      </c>
      <c r="L471" s="79">
        <v>116.69499999999999</v>
      </c>
      <c r="M471" s="79">
        <v>118.081</v>
      </c>
      <c r="N471" s="79">
        <v>117.73399999999999</v>
      </c>
      <c r="O471" s="57">
        <v>100</v>
      </c>
      <c r="P471" s="79">
        <v>105.636</v>
      </c>
      <c r="Q471" s="57">
        <v>106.38500000000001</v>
      </c>
      <c r="R471" s="57">
        <v>112.95399999999999</v>
      </c>
      <c r="S471" s="80">
        <v>117.6</v>
      </c>
      <c r="T471" s="63"/>
      <c r="AD471" s="57"/>
      <c r="AE471" s="57"/>
      <c r="AF471" s="57"/>
      <c r="AG471" s="57"/>
      <c r="AH471" s="57"/>
      <c r="AI471" s="57"/>
      <c r="AJ471" s="57"/>
      <c r="AK471" s="57"/>
      <c r="AL471" s="57"/>
      <c r="AM471" s="57"/>
      <c r="AN471" s="57"/>
      <c r="AO471" s="57"/>
    </row>
    <row r="472" spans="1:41">
      <c r="A472" s="55" t="s">
        <v>420</v>
      </c>
      <c r="B472" s="65" t="s">
        <v>377</v>
      </c>
      <c r="C472" s="79">
        <v>118.881</v>
      </c>
      <c r="D472" s="79">
        <v>115.121</v>
      </c>
      <c r="E472" s="79">
        <v>105.59699999999999</v>
      </c>
      <c r="F472" s="79">
        <v>90.028000000000006</v>
      </c>
      <c r="G472" s="79">
        <v>82.132999999999996</v>
      </c>
      <c r="H472" s="79">
        <v>81.992999999999995</v>
      </c>
      <c r="I472" s="79">
        <v>83.25</v>
      </c>
      <c r="J472" s="79">
        <v>88.296000000000006</v>
      </c>
      <c r="K472" s="79">
        <v>92.302000000000007</v>
      </c>
      <c r="L472" s="79">
        <v>93.772000000000006</v>
      </c>
      <c r="M472" s="79">
        <v>101.962</v>
      </c>
      <c r="N472" s="81">
        <v>109.46</v>
      </c>
      <c r="O472" s="57">
        <v>100</v>
      </c>
      <c r="P472" s="79">
        <v>103.797</v>
      </c>
      <c r="Q472" s="57">
        <v>109.38500000000001</v>
      </c>
      <c r="R472" s="57">
        <v>109.571</v>
      </c>
      <c r="S472" s="80">
        <v>108.706</v>
      </c>
      <c r="T472" s="63"/>
      <c r="AD472" s="57"/>
      <c r="AE472" s="57"/>
      <c r="AF472" s="57"/>
      <c r="AG472" s="57"/>
      <c r="AH472" s="57"/>
      <c r="AI472" s="57"/>
      <c r="AJ472" s="57"/>
      <c r="AK472" s="57"/>
      <c r="AL472" s="57"/>
      <c r="AM472" s="57"/>
      <c r="AN472" s="57"/>
      <c r="AO472" s="57"/>
    </row>
    <row r="473" spans="1:41">
      <c r="A473" s="55" t="s">
        <v>420</v>
      </c>
      <c r="B473" s="65" t="s">
        <v>378</v>
      </c>
      <c r="C473" s="79">
        <v>83.61</v>
      </c>
      <c r="D473" s="79">
        <v>84.933999999999997</v>
      </c>
      <c r="E473" s="79">
        <v>85.096000000000004</v>
      </c>
      <c r="F473" s="79">
        <v>85.867999999999995</v>
      </c>
      <c r="G473" s="79">
        <v>87.915999999999997</v>
      </c>
      <c r="H473" s="79">
        <v>89.838999999999999</v>
      </c>
      <c r="I473" s="79">
        <v>94.102000000000004</v>
      </c>
      <c r="J473" s="79">
        <v>97.320999999999998</v>
      </c>
      <c r="K473" s="79">
        <v>99.531000000000006</v>
      </c>
      <c r="L473" s="79">
        <v>99.33</v>
      </c>
      <c r="M473" s="79">
        <v>99.213999999999999</v>
      </c>
      <c r="N473" s="81">
        <v>97.456000000000003</v>
      </c>
      <c r="O473" s="57">
        <v>100</v>
      </c>
      <c r="P473" s="79">
        <v>101.535</v>
      </c>
      <c r="Q473" s="57">
        <v>104.20699999999999</v>
      </c>
      <c r="R473" s="57">
        <v>106.529</v>
      </c>
      <c r="S473" s="80">
        <v>108.497</v>
      </c>
      <c r="T473" s="63"/>
      <c r="AD473" s="57"/>
      <c r="AE473" s="57"/>
      <c r="AF473" s="57"/>
      <c r="AG473" s="57"/>
      <c r="AH473" s="57"/>
      <c r="AI473" s="57"/>
      <c r="AJ473" s="57"/>
      <c r="AK473" s="57"/>
      <c r="AL473" s="57"/>
      <c r="AM473" s="57"/>
      <c r="AN473" s="57"/>
      <c r="AO473" s="57"/>
    </row>
    <row r="474" spans="1:41">
      <c r="A474" s="55" t="s">
        <v>420</v>
      </c>
      <c r="B474" s="65" t="s">
        <v>379</v>
      </c>
      <c r="C474" s="79">
        <v>88.706999999999994</v>
      </c>
      <c r="D474" s="79">
        <v>94.49</v>
      </c>
      <c r="E474" s="79">
        <v>96.177000000000007</v>
      </c>
      <c r="F474" s="79">
        <v>124.52</v>
      </c>
      <c r="G474" s="79">
        <v>128.26499999999999</v>
      </c>
      <c r="H474" s="79">
        <v>139.66800000000001</v>
      </c>
      <c r="I474" s="79">
        <v>141.22499999999999</v>
      </c>
      <c r="J474" s="79">
        <v>135.72</v>
      </c>
      <c r="K474" s="79">
        <v>136.66399999999999</v>
      </c>
      <c r="L474" s="79">
        <v>137.215</v>
      </c>
      <c r="M474" s="79">
        <v>123.08199999999999</v>
      </c>
      <c r="N474" s="79">
        <v>118.479</v>
      </c>
      <c r="O474" s="57">
        <v>100</v>
      </c>
      <c r="P474" s="79">
        <v>108.19499999999999</v>
      </c>
      <c r="Q474" s="57">
        <v>106.77500000000001</v>
      </c>
      <c r="R474" s="57">
        <v>129.86500000000001</v>
      </c>
      <c r="S474" s="80">
        <v>139.60599999999999</v>
      </c>
      <c r="AD474" s="57"/>
      <c r="AE474" s="57"/>
      <c r="AF474" s="57"/>
      <c r="AG474" s="57"/>
      <c r="AH474" s="57"/>
      <c r="AI474" s="57"/>
      <c r="AJ474" s="57"/>
      <c r="AK474" s="57"/>
      <c r="AL474" s="57"/>
      <c r="AM474" s="57"/>
      <c r="AN474" s="57"/>
      <c r="AO474" s="57"/>
    </row>
    <row r="475" spans="1:41">
      <c r="A475" s="55" t="s">
        <v>420</v>
      </c>
      <c r="B475" s="65" t="s">
        <v>380</v>
      </c>
      <c r="C475" s="79">
        <v>73.92</v>
      </c>
      <c r="D475" s="79">
        <v>75.863</v>
      </c>
      <c r="E475" s="79">
        <v>78.090999999999994</v>
      </c>
      <c r="F475" s="79">
        <v>80.659000000000006</v>
      </c>
      <c r="G475" s="79">
        <v>83.468999999999994</v>
      </c>
      <c r="H475" s="79">
        <v>86.460999999999999</v>
      </c>
      <c r="I475" s="79">
        <v>88.468000000000004</v>
      </c>
      <c r="J475" s="79">
        <v>90.316000000000003</v>
      </c>
      <c r="K475" s="79">
        <v>92.284999999999997</v>
      </c>
      <c r="L475" s="79">
        <v>94.799000000000007</v>
      </c>
      <c r="M475" s="79">
        <v>96.751999999999995</v>
      </c>
      <c r="N475" s="79">
        <v>98.277000000000001</v>
      </c>
      <c r="O475" s="57">
        <v>100</v>
      </c>
      <c r="P475" s="79">
        <v>99.415999999999997</v>
      </c>
      <c r="Q475" s="57">
        <v>100.26</v>
      </c>
      <c r="R475" s="57">
        <v>102.21</v>
      </c>
      <c r="S475" s="80">
        <v>104.577</v>
      </c>
      <c r="T475" s="63"/>
      <c r="AD475" s="57"/>
      <c r="AE475" s="57"/>
      <c r="AF475" s="57"/>
      <c r="AG475" s="57"/>
      <c r="AH475" s="57"/>
      <c r="AI475" s="57"/>
      <c r="AJ475" s="57"/>
      <c r="AK475" s="57"/>
      <c r="AL475" s="57"/>
      <c r="AM475" s="57"/>
      <c r="AN475" s="57"/>
      <c r="AO475" s="57"/>
    </row>
    <row r="476" spans="1:41">
      <c r="A476" s="55" t="s">
        <v>420</v>
      </c>
      <c r="B476" s="65" t="s">
        <v>381</v>
      </c>
      <c r="C476" s="79">
        <v>73.450999999999993</v>
      </c>
      <c r="D476" s="79">
        <v>75.864999999999995</v>
      </c>
      <c r="E476" s="79">
        <v>78.230999999999995</v>
      </c>
      <c r="F476" s="79">
        <v>80.582999999999998</v>
      </c>
      <c r="G476" s="79">
        <v>83.655000000000001</v>
      </c>
      <c r="H476" s="79">
        <v>86.983000000000004</v>
      </c>
      <c r="I476" s="79">
        <v>88.885000000000005</v>
      </c>
      <c r="J476" s="79">
        <v>90.703999999999994</v>
      </c>
      <c r="K476" s="79">
        <v>92.635999999999996</v>
      </c>
      <c r="L476" s="79">
        <v>95.174999999999997</v>
      </c>
      <c r="M476" s="79">
        <v>97.122</v>
      </c>
      <c r="N476" s="81">
        <v>98.492999999999995</v>
      </c>
      <c r="O476" s="57">
        <v>100</v>
      </c>
      <c r="P476" s="79">
        <v>99.397999999999996</v>
      </c>
      <c r="Q476" s="57">
        <v>100.244</v>
      </c>
      <c r="R476" s="57">
        <v>102.273</v>
      </c>
      <c r="S476" s="80">
        <v>104.75700000000001</v>
      </c>
      <c r="T476" s="63"/>
      <c r="AD476" s="57"/>
      <c r="AE476" s="57"/>
      <c r="AF476" s="57"/>
      <c r="AG476" s="57"/>
      <c r="AH476" s="57"/>
      <c r="AI476" s="57"/>
      <c r="AJ476" s="57"/>
      <c r="AK476" s="57"/>
      <c r="AL476" s="57"/>
      <c r="AM476" s="57"/>
      <c r="AN476" s="57"/>
      <c r="AO476" s="57"/>
    </row>
    <row r="477" spans="1:41">
      <c r="A477" s="55" t="s">
        <v>420</v>
      </c>
      <c r="B477" s="68" t="s">
        <v>444</v>
      </c>
      <c r="C477" s="79">
        <v>69.608999999999995</v>
      </c>
      <c r="D477" s="79">
        <v>71.944999999999993</v>
      </c>
      <c r="E477" s="79">
        <v>73.989999999999995</v>
      </c>
      <c r="F477" s="79">
        <v>76.343999999999994</v>
      </c>
      <c r="G477" s="79">
        <v>79.501000000000005</v>
      </c>
      <c r="H477" s="79">
        <v>82.805000000000007</v>
      </c>
      <c r="I477" s="79">
        <v>85.016000000000005</v>
      </c>
      <c r="J477" s="79">
        <v>87.11</v>
      </c>
      <c r="K477" s="79">
        <v>89.36</v>
      </c>
      <c r="L477" s="79">
        <v>92.513000000000005</v>
      </c>
      <c r="M477" s="79">
        <v>95.894999999999996</v>
      </c>
      <c r="N477" s="81">
        <v>97.897999999999996</v>
      </c>
      <c r="O477" s="57">
        <v>100</v>
      </c>
      <c r="P477" s="79">
        <v>99.929000000000002</v>
      </c>
      <c r="Q477" s="57">
        <v>101.202</v>
      </c>
      <c r="R477" s="57">
        <v>103.408</v>
      </c>
      <c r="S477" s="80">
        <v>105.907</v>
      </c>
      <c r="T477" s="63"/>
      <c r="AD477" s="57"/>
      <c r="AE477" s="57"/>
      <c r="AF477" s="57"/>
      <c r="AG477" s="57"/>
      <c r="AH477" s="57"/>
      <c r="AI477" s="57"/>
      <c r="AJ477" s="57"/>
      <c r="AK477" s="57"/>
      <c r="AL477" s="57"/>
      <c r="AM477" s="57"/>
      <c r="AN477" s="57"/>
      <c r="AO477" s="57"/>
    </row>
    <row r="478" spans="1:41">
      <c r="A478" s="55" t="s">
        <v>420</v>
      </c>
      <c r="B478" s="68" t="s">
        <v>445</v>
      </c>
      <c r="C478" s="79">
        <v>95.192999999999998</v>
      </c>
      <c r="D478" s="79">
        <v>97.991</v>
      </c>
      <c r="E478" s="79">
        <v>102.48699999999999</v>
      </c>
      <c r="F478" s="79">
        <v>104.64700000000001</v>
      </c>
      <c r="G478" s="79">
        <v>106.877</v>
      </c>
      <c r="H478" s="79">
        <v>110.19</v>
      </c>
      <c r="I478" s="79">
        <v>110.134</v>
      </c>
      <c r="J478" s="79">
        <v>110.282</v>
      </c>
      <c r="K478" s="79">
        <v>110.374</v>
      </c>
      <c r="L478" s="79">
        <v>109.27200000000001</v>
      </c>
      <c r="M478" s="79">
        <v>103.26900000000001</v>
      </c>
      <c r="N478" s="81">
        <v>101.583</v>
      </c>
      <c r="O478" s="57">
        <v>100</v>
      </c>
      <c r="P478" s="79">
        <v>96.736999999999995</v>
      </c>
      <c r="Q478" s="57">
        <v>95.638999999999996</v>
      </c>
      <c r="R478" s="57">
        <v>96.900999999999996</v>
      </c>
      <c r="S478" s="80">
        <v>99.307000000000002</v>
      </c>
      <c r="T478" s="63"/>
      <c r="AD478" s="57"/>
      <c r="AE478" s="57"/>
      <c r="AF478" s="57"/>
      <c r="AG478" s="57"/>
      <c r="AH478" s="57"/>
      <c r="AI478" s="57"/>
      <c r="AJ478" s="57"/>
      <c r="AK478" s="57"/>
      <c r="AL478" s="57"/>
      <c r="AM478" s="57"/>
      <c r="AN478" s="57"/>
      <c r="AO478" s="57"/>
    </row>
    <row r="479" spans="1:41">
      <c r="A479" s="55" t="s">
        <v>420</v>
      </c>
      <c r="B479" s="65" t="s">
        <v>382</v>
      </c>
      <c r="C479" s="79">
        <v>77.453999999999994</v>
      </c>
      <c r="D479" s="79">
        <v>75.238</v>
      </c>
      <c r="E479" s="79">
        <v>76.316999999999993</v>
      </c>
      <c r="F479" s="79">
        <v>80.588999999999999</v>
      </c>
      <c r="G479" s="79">
        <v>81.296999999999997</v>
      </c>
      <c r="H479" s="79">
        <v>81.632000000000005</v>
      </c>
      <c r="I479" s="79">
        <v>84.462999999999994</v>
      </c>
      <c r="J479" s="79">
        <v>86.558999999999997</v>
      </c>
      <c r="K479" s="79">
        <v>88.888999999999996</v>
      </c>
      <c r="L479" s="79">
        <v>91.164000000000001</v>
      </c>
      <c r="M479" s="79">
        <v>93.164000000000001</v>
      </c>
      <c r="N479" s="81">
        <v>96.15</v>
      </c>
      <c r="O479" s="57">
        <v>100</v>
      </c>
      <c r="P479" s="79">
        <v>99.617000000000004</v>
      </c>
      <c r="Q479" s="57">
        <v>100.43300000000001</v>
      </c>
      <c r="R479" s="57">
        <v>101.514</v>
      </c>
      <c r="S479" s="80">
        <v>102.633</v>
      </c>
      <c r="AD479" s="57"/>
      <c r="AE479" s="57"/>
      <c r="AF479" s="57"/>
      <c r="AG479" s="57"/>
      <c r="AH479" s="57"/>
      <c r="AI479" s="57"/>
      <c r="AJ479" s="57"/>
      <c r="AK479" s="57"/>
      <c r="AL479" s="57"/>
      <c r="AM479" s="57"/>
      <c r="AN479" s="57"/>
      <c r="AO479" s="57"/>
    </row>
    <row r="480" spans="1:41">
      <c r="A480" s="55" t="s">
        <v>420</v>
      </c>
      <c r="B480" s="65" t="s">
        <v>383</v>
      </c>
      <c r="C480" s="79">
        <v>69.069000000000003</v>
      </c>
      <c r="D480" s="79">
        <v>71.855000000000004</v>
      </c>
      <c r="E480" s="79">
        <v>74.963999999999999</v>
      </c>
      <c r="F480" s="79">
        <v>78.762</v>
      </c>
      <c r="G480" s="79">
        <v>80.257999999999996</v>
      </c>
      <c r="H480" s="79">
        <v>81.385000000000005</v>
      </c>
      <c r="I480" s="79">
        <v>82.736999999999995</v>
      </c>
      <c r="J480" s="79">
        <v>86.629000000000005</v>
      </c>
      <c r="K480" s="79">
        <v>89.468999999999994</v>
      </c>
      <c r="L480" s="79">
        <v>92.968000000000004</v>
      </c>
      <c r="M480" s="79">
        <v>97.411000000000001</v>
      </c>
      <c r="N480" s="81">
        <v>98.605000000000004</v>
      </c>
      <c r="O480" s="57">
        <v>100</v>
      </c>
      <c r="P480" s="79">
        <v>100.678</v>
      </c>
      <c r="Q480" s="57">
        <v>101.666</v>
      </c>
      <c r="R480" s="57">
        <v>103.01600000000001</v>
      </c>
      <c r="S480" s="80">
        <v>104.575</v>
      </c>
      <c r="AD480" s="57"/>
      <c r="AE480" s="57"/>
      <c r="AF480" s="57"/>
      <c r="AG480" s="57"/>
      <c r="AH480" s="57"/>
      <c r="AI480" s="57"/>
      <c r="AJ480" s="57"/>
      <c r="AK480" s="57"/>
      <c r="AL480" s="57"/>
      <c r="AM480" s="57"/>
      <c r="AN480" s="57"/>
      <c r="AO480" s="57"/>
    </row>
    <row r="481" spans="1:41">
      <c r="A481" s="55" t="s">
        <v>420</v>
      </c>
      <c r="B481" s="65" t="s">
        <v>384</v>
      </c>
      <c r="C481" s="79">
        <v>71.206999999999994</v>
      </c>
      <c r="D481" s="79">
        <v>73.518000000000001</v>
      </c>
      <c r="E481" s="79">
        <v>76.730999999999995</v>
      </c>
      <c r="F481" s="79">
        <v>80.197999999999993</v>
      </c>
      <c r="G481" s="79">
        <v>82.228999999999999</v>
      </c>
      <c r="H481" s="79">
        <v>83.24</v>
      </c>
      <c r="I481" s="79">
        <v>85.153000000000006</v>
      </c>
      <c r="J481" s="79">
        <v>87.481999999999999</v>
      </c>
      <c r="K481" s="79">
        <v>90.923000000000002</v>
      </c>
      <c r="L481" s="79">
        <v>94.111000000000004</v>
      </c>
      <c r="M481" s="79">
        <v>97.631</v>
      </c>
      <c r="N481" s="79">
        <v>98.855000000000004</v>
      </c>
      <c r="O481" s="57">
        <v>100</v>
      </c>
      <c r="P481" s="79">
        <v>101.253</v>
      </c>
      <c r="Q481" s="57">
        <v>102.676</v>
      </c>
      <c r="R481" s="57">
        <v>104.34399999999999</v>
      </c>
      <c r="S481" s="80">
        <v>106.164</v>
      </c>
      <c r="T481" s="63"/>
      <c r="AD481" s="57"/>
      <c r="AE481" s="57"/>
      <c r="AF481" s="57"/>
      <c r="AG481" s="57"/>
      <c r="AH481" s="57"/>
      <c r="AI481" s="57"/>
      <c r="AJ481" s="57"/>
      <c r="AK481" s="57"/>
      <c r="AL481" s="57"/>
      <c r="AM481" s="57"/>
      <c r="AN481" s="57"/>
      <c r="AO481" s="57"/>
    </row>
    <row r="482" spans="1:41">
      <c r="A482" s="55" t="s">
        <v>420</v>
      </c>
      <c r="B482" s="65" t="s">
        <v>385</v>
      </c>
      <c r="C482" s="79">
        <v>55.835999999999999</v>
      </c>
      <c r="D482" s="79">
        <v>59.241</v>
      </c>
      <c r="E482" s="79">
        <v>61.110999999999997</v>
      </c>
      <c r="F482" s="79">
        <v>63.478999999999999</v>
      </c>
      <c r="G482" s="79">
        <v>67.325000000000003</v>
      </c>
      <c r="H482" s="79">
        <v>70.733999999999995</v>
      </c>
      <c r="I482" s="79">
        <v>74.165999999999997</v>
      </c>
      <c r="J482" s="79">
        <v>79.771000000000001</v>
      </c>
      <c r="K482" s="79">
        <v>86.783000000000001</v>
      </c>
      <c r="L482" s="79">
        <v>90.433999999999997</v>
      </c>
      <c r="M482" s="79">
        <v>95.176000000000002</v>
      </c>
      <c r="N482" s="79">
        <v>98.230999999999995</v>
      </c>
      <c r="O482" s="57">
        <v>100</v>
      </c>
      <c r="P482" s="79">
        <v>104.066</v>
      </c>
      <c r="Q482" s="57">
        <v>109.07899999999999</v>
      </c>
      <c r="R482" s="57">
        <v>113.324</v>
      </c>
      <c r="S482" s="80">
        <v>117.988</v>
      </c>
      <c r="T482" s="63"/>
      <c r="AD482" s="57"/>
      <c r="AE482" s="57"/>
      <c r="AF482" s="57"/>
      <c r="AG482" s="57"/>
      <c r="AH482" s="57"/>
      <c r="AI482" s="57"/>
      <c r="AJ482" s="57"/>
      <c r="AK482" s="57"/>
      <c r="AL482" s="57"/>
      <c r="AM482" s="57"/>
      <c r="AN482" s="57"/>
      <c r="AO482" s="57"/>
    </row>
    <row r="483" spans="1:41">
      <c r="A483" s="55" t="s">
        <v>420</v>
      </c>
      <c r="B483" s="65" t="s">
        <v>386</v>
      </c>
      <c r="C483" s="79">
        <v>100.389</v>
      </c>
      <c r="D483" s="79">
        <v>98.411000000000001</v>
      </c>
      <c r="E483" s="79">
        <v>101.432</v>
      </c>
      <c r="F483" s="79">
        <v>105.986</v>
      </c>
      <c r="G483" s="79">
        <v>107.30500000000001</v>
      </c>
      <c r="H483" s="79">
        <v>104.65</v>
      </c>
      <c r="I483" s="79">
        <v>102.40900000000001</v>
      </c>
      <c r="J483" s="79">
        <v>99.277000000000001</v>
      </c>
      <c r="K483" s="79">
        <v>98.694999999999993</v>
      </c>
      <c r="L483" s="79">
        <v>99.649000000000001</v>
      </c>
      <c r="M483" s="79">
        <v>100.25700000000001</v>
      </c>
      <c r="N483" s="81">
        <v>100.48399999999999</v>
      </c>
      <c r="O483" s="57">
        <v>100</v>
      </c>
      <c r="P483" s="79">
        <v>98.376999999999995</v>
      </c>
      <c r="Q483" s="57">
        <v>98.328999999999994</v>
      </c>
      <c r="R483" s="57">
        <v>97.95</v>
      </c>
      <c r="S483" s="80">
        <v>98.375</v>
      </c>
      <c r="T483" s="63"/>
      <c r="AD483" s="57"/>
      <c r="AE483" s="57"/>
      <c r="AF483" s="57"/>
      <c r="AG483" s="57"/>
      <c r="AH483" s="57"/>
      <c r="AI483" s="57"/>
      <c r="AJ483" s="57"/>
      <c r="AK483" s="57"/>
      <c r="AL483" s="57"/>
      <c r="AM483" s="57"/>
      <c r="AN483" s="57"/>
      <c r="AO483" s="57"/>
    </row>
    <row r="484" spans="1:41">
      <c r="A484" s="55" t="s">
        <v>420</v>
      </c>
      <c r="B484" s="65" t="s">
        <v>387</v>
      </c>
      <c r="C484" s="79">
        <v>71.043000000000006</v>
      </c>
      <c r="D484" s="79">
        <v>73.613</v>
      </c>
      <c r="E484" s="79">
        <v>77.397000000000006</v>
      </c>
      <c r="F484" s="79">
        <v>81.066000000000003</v>
      </c>
      <c r="G484" s="79">
        <v>82.474000000000004</v>
      </c>
      <c r="H484" s="79">
        <v>83.24</v>
      </c>
      <c r="I484" s="79">
        <v>85.352000000000004</v>
      </c>
      <c r="J484" s="79">
        <v>87.492999999999995</v>
      </c>
      <c r="K484" s="79">
        <v>90.421999999999997</v>
      </c>
      <c r="L484" s="79">
        <v>93.975999999999999</v>
      </c>
      <c r="M484" s="79">
        <v>97.805999999999997</v>
      </c>
      <c r="N484" s="81">
        <v>98.616</v>
      </c>
      <c r="O484" s="57">
        <v>100</v>
      </c>
      <c r="P484" s="79">
        <v>101.184</v>
      </c>
      <c r="Q484" s="57">
        <v>101.941</v>
      </c>
      <c r="R484" s="57">
        <v>103.51600000000001</v>
      </c>
      <c r="S484" s="80">
        <v>104.99299999999999</v>
      </c>
      <c r="AD484" s="57"/>
      <c r="AE484" s="57"/>
      <c r="AF484" s="57"/>
      <c r="AG484" s="57"/>
      <c r="AH484" s="57"/>
      <c r="AI484" s="57"/>
      <c r="AJ484" s="57"/>
      <c r="AK484" s="57"/>
      <c r="AL484" s="57"/>
      <c r="AM484" s="57"/>
      <c r="AN484" s="57"/>
      <c r="AO484" s="57"/>
    </row>
    <row r="485" spans="1:41">
      <c r="A485" s="55" t="s">
        <v>420</v>
      </c>
      <c r="B485" s="65" t="s">
        <v>388</v>
      </c>
      <c r="C485" s="79">
        <v>50.692</v>
      </c>
      <c r="D485" s="79">
        <v>54.57</v>
      </c>
      <c r="E485" s="79">
        <v>57.932000000000002</v>
      </c>
      <c r="F485" s="79">
        <v>63.488</v>
      </c>
      <c r="G485" s="79">
        <v>62.152000000000001</v>
      </c>
      <c r="H485" s="79">
        <v>63.332999999999998</v>
      </c>
      <c r="I485" s="79">
        <v>65.063000000000002</v>
      </c>
      <c r="J485" s="79">
        <v>75.403000000000006</v>
      </c>
      <c r="K485" s="79">
        <v>79.430999999999997</v>
      </c>
      <c r="L485" s="79">
        <v>85.603999999999999</v>
      </c>
      <c r="M485" s="79">
        <v>95.635999999999996</v>
      </c>
      <c r="N485" s="79">
        <v>96.86</v>
      </c>
      <c r="O485" s="57">
        <v>100</v>
      </c>
      <c r="P485" s="79">
        <v>100.812</v>
      </c>
      <c r="Q485" s="57">
        <v>101.21599999999999</v>
      </c>
      <c r="R485" s="57">
        <v>101.997</v>
      </c>
      <c r="S485" s="80">
        <v>102.89100000000001</v>
      </c>
      <c r="AD485" s="57"/>
      <c r="AE485" s="57"/>
      <c r="AF485" s="57"/>
      <c r="AG485" s="57"/>
      <c r="AH485" s="57"/>
      <c r="AI485" s="57"/>
      <c r="AJ485" s="57"/>
      <c r="AK485" s="57"/>
      <c r="AL485" s="57"/>
      <c r="AM485" s="57"/>
      <c r="AN485" s="57"/>
      <c r="AO485" s="57"/>
    </row>
    <row r="486" spans="1:41">
      <c r="A486" s="55" t="s">
        <v>420</v>
      </c>
      <c r="B486" s="65" t="s">
        <v>389</v>
      </c>
      <c r="C486" s="79">
        <v>77.352000000000004</v>
      </c>
      <c r="D486" s="79">
        <v>80.269000000000005</v>
      </c>
      <c r="E486" s="79">
        <v>82.79</v>
      </c>
      <c r="F486" s="79">
        <v>85.843999999999994</v>
      </c>
      <c r="G486" s="79">
        <v>88.320999999999998</v>
      </c>
      <c r="H486" s="79">
        <v>89.668999999999997</v>
      </c>
      <c r="I486" s="79">
        <v>89.284999999999997</v>
      </c>
      <c r="J486" s="79">
        <v>91.975999999999999</v>
      </c>
      <c r="K486" s="79">
        <v>92.572999999999993</v>
      </c>
      <c r="L486" s="79">
        <v>94.981999999999999</v>
      </c>
      <c r="M486" s="79">
        <v>97.953000000000003</v>
      </c>
      <c r="N486" s="79">
        <v>99.058000000000007</v>
      </c>
      <c r="O486" s="57">
        <v>100</v>
      </c>
      <c r="P486" s="79">
        <v>99.248000000000005</v>
      </c>
      <c r="Q486" s="57">
        <v>99.593999999999994</v>
      </c>
      <c r="R486" s="57">
        <v>100.57299999999999</v>
      </c>
      <c r="S486" s="80">
        <v>101.96899999999999</v>
      </c>
      <c r="T486" s="63"/>
      <c r="AD486" s="57"/>
      <c r="AE486" s="57"/>
      <c r="AF486" s="57"/>
      <c r="AG486" s="57"/>
      <c r="AH486" s="57"/>
      <c r="AI486" s="57"/>
      <c r="AJ486" s="57"/>
      <c r="AK486" s="57"/>
      <c r="AL486" s="57"/>
      <c r="AM486" s="57"/>
      <c r="AN486" s="57"/>
      <c r="AO486" s="57"/>
    </row>
    <row r="487" spans="1:41">
      <c r="A487" s="55" t="s">
        <v>420</v>
      </c>
      <c r="B487" s="65" t="s">
        <v>390</v>
      </c>
      <c r="C487" s="79">
        <v>77.930000000000007</v>
      </c>
      <c r="D487" s="79">
        <v>81.176000000000002</v>
      </c>
      <c r="E487" s="79">
        <v>83.703000000000003</v>
      </c>
      <c r="F487" s="79">
        <v>86.677999999999997</v>
      </c>
      <c r="G487" s="79">
        <v>88.864000000000004</v>
      </c>
      <c r="H487" s="79">
        <v>90.001000000000005</v>
      </c>
      <c r="I487" s="79">
        <v>89.224999999999994</v>
      </c>
      <c r="J487" s="79">
        <v>92.061999999999998</v>
      </c>
      <c r="K487" s="79">
        <v>92.754999999999995</v>
      </c>
      <c r="L487" s="79">
        <v>95.286000000000001</v>
      </c>
      <c r="M487" s="79">
        <v>98.227000000000004</v>
      </c>
      <c r="N487" s="79">
        <v>99.164000000000001</v>
      </c>
      <c r="O487" s="57">
        <v>100</v>
      </c>
      <c r="P487" s="79">
        <v>98.88</v>
      </c>
      <c r="Q487" s="57">
        <v>99.099000000000004</v>
      </c>
      <c r="R487" s="57">
        <v>100.04</v>
      </c>
      <c r="S487" s="80">
        <v>101.313</v>
      </c>
      <c r="T487" s="63"/>
      <c r="AD487" s="57"/>
      <c r="AE487" s="57"/>
      <c r="AF487" s="57"/>
      <c r="AG487" s="57"/>
      <c r="AH487" s="57"/>
      <c r="AI487" s="57"/>
      <c r="AJ487" s="57"/>
      <c r="AK487" s="57"/>
      <c r="AL487" s="57"/>
      <c r="AM487" s="57"/>
      <c r="AN487" s="57"/>
      <c r="AO487" s="57"/>
    </row>
    <row r="488" spans="1:41">
      <c r="A488" s="55" t="s">
        <v>420</v>
      </c>
      <c r="B488" s="65" t="s">
        <v>391</v>
      </c>
      <c r="C488" s="79">
        <v>72.039000000000001</v>
      </c>
      <c r="D488" s="79">
        <v>72.256</v>
      </c>
      <c r="E488" s="79">
        <v>74.704999999999998</v>
      </c>
      <c r="F488" s="79">
        <v>78.411000000000001</v>
      </c>
      <c r="G488" s="79">
        <v>83.441000000000003</v>
      </c>
      <c r="H488" s="79">
        <v>86.590999999999994</v>
      </c>
      <c r="I488" s="79">
        <v>89.599000000000004</v>
      </c>
      <c r="J488" s="79">
        <v>90.932000000000002</v>
      </c>
      <c r="K488" s="79">
        <v>90.599000000000004</v>
      </c>
      <c r="L488" s="79">
        <v>91.707999999999998</v>
      </c>
      <c r="M488" s="79">
        <v>95.001999999999995</v>
      </c>
      <c r="N488" s="81">
        <v>97.936999999999998</v>
      </c>
      <c r="O488" s="57">
        <v>100</v>
      </c>
      <c r="P488" s="79">
        <v>102.749</v>
      </c>
      <c r="Q488" s="57">
        <v>104.34</v>
      </c>
      <c r="R488" s="57">
        <v>105.744</v>
      </c>
      <c r="S488" s="80">
        <v>108.52800000000001</v>
      </c>
      <c r="AD488" s="57"/>
      <c r="AE488" s="57"/>
      <c r="AF488" s="57"/>
      <c r="AG488" s="57"/>
      <c r="AH488" s="57"/>
      <c r="AI488" s="57"/>
      <c r="AJ488" s="57"/>
      <c r="AK488" s="57"/>
      <c r="AL488" s="57"/>
      <c r="AM488" s="57"/>
      <c r="AN488" s="57"/>
      <c r="AO488" s="57"/>
    </row>
    <row r="489" spans="1:41">
      <c r="A489" s="55" t="s">
        <v>420</v>
      </c>
      <c r="B489" s="65" t="s">
        <v>392</v>
      </c>
      <c r="C489" s="79">
        <v>66.875</v>
      </c>
      <c r="D489" s="79">
        <v>69.162000000000006</v>
      </c>
      <c r="E489" s="79">
        <v>71.400000000000006</v>
      </c>
      <c r="F489" s="79">
        <v>73.873000000000005</v>
      </c>
      <c r="G489" s="79">
        <v>77.542000000000002</v>
      </c>
      <c r="H489" s="79">
        <v>80.382999999999996</v>
      </c>
      <c r="I489" s="79">
        <v>82.998999999999995</v>
      </c>
      <c r="J489" s="79">
        <v>85.616</v>
      </c>
      <c r="K489" s="79">
        <v>88.290999999999997</v>
      </c>
      <c r="L489" s="79">
        <v>90.653000000000006</v>
      </c>
      <c r="M489" s="79">
        <v>94.379000000000005</v>
      </c>
      <c r="N489" s="81">
        <v>96.424000000000007</v>
      </c>
      <c r="O489" s="57">
        <v>100</v>
      </c>
      <c r="P489" s="79">
        <v>102.28700000000001</v>
      </c>
      <c r="Q489" s="57">
        <v>103.81</v>
      </c>
      <c r="R489" s="57">
        <v>106.059</v>
      </c>
      <c r="S489" s="80">
        <v>107.729</v>
      </c>
      <c r="AD489" s="57"/>
      <c r="AE489" s="57"/>
      <c r="AF489" s="57"/>
      <c r="AG489" s="57"/>
      <c r="AH489" s="57"/>
      <c r="AI489" s="57"/>
      <c r="AJ489" s="57"/>
      <c r="AK489" s="57"/>
      <c r="AL489" s="57"/>
      <c r="AM489" s="57"/>
      <c r="AN489" s="57"/>
      <c r="AO489" s="57"/>
    </row>
    <row r="490" spans="1:41">
      <c r="A490" s="55" t="s">
        <v>420</v>
      </c>
      <c r="B490" s="65" t="s">
        <v>393</v>
      </c>
      <c r="C490" s="79">
        <v>60.316000000000003</v>
      </c>
      <c r="D490" s="79">
        <v>63.530999999999999</v>
      </c>
      <c r="E490" s="79">
        <v>66.688000000000002</v>
      </c>
      <c r="F490" s="79">
        <v>69.085999999999999</v>
      </c>
      <c r="G490" s="79">
        <v>71.143000000000001</v>
      </c>
      <c r="H490" s="79">
        <v>75.388999999999996</v>
      </c>
      <c r="I490" s="79">
        <v>77.847999999999999</v>
      </c>
      <c r="J490" s="79">
        <v>81.31</v>
      </c>
      <c r="K490" s="79">
        <v>84.572000000000003</v>
      </c>
      <c r="L490" s="79">
        <v>88.680999999999997</v>
      </c>
      <c r="M490" s="79">
        <v>92.653000000000006</v>
      </c>
      <c r="N490" s="81">
        <v>95.968000000000004</v>
      </c>
      <c r="O490" s="57">
        <v>100</v>
      </c>
      <c r="P490" s="79">
        <v>102.70399999999999</v>
      </c>
      <c r="Q490" s="57">
        <v>105.608</v>
      </c>
      <c r="R490" s="57">
        <v>109.381</v>
      </c>
      <c r="S490" s="80">
        <v>112.998</v>
      </c>
      <c r="AD490" s="57"/>
      <c r="AE490" s="57"/>
      <c r="AF490" s="57"/>
      <c r="AG490" s="57"/>
      <c r="AH490" s="57"/>
      <c r="AI490" s="57"/>
      <c r="AJ490" s="57"/>
      <c r="AK490" s="57"/>
      <c r="AL490" s="57"/>
      <c r="AM490" s="57"/>
      <c r="AN490" s="57"/>
      <c r="AO490" s="57"/>
    </row>
    <row r="491" spans="1:41">
      <c r="A491" s="55" t="s">
        <v>420</v>
      </c>
      <c r="B491" s="65" t="s">
        <v>394</v>
      </c>
      <c r="C491" s="79">
        <v>67.884</v>
      </c>
      <c r="D491" s="79">
        <v>70.025000000000006</v>
      </c>
      <c r="E491" s="79">
        <v>72.12</v>
      </c>
      <c r="F491" s="79">
        <v>74.605000000000004</v>
      </c>
      <c r="G491" s="79">
        <v>78.525999999999996</v>
      </c>
      <c r="H491" s="79">
        <v>81.147999999999996</v>
      </c>
      <c r="I491" s="79">
        <v>83.787999999999997</v>
      </c>
      <c r="J491" s="79">
        <v>86.272999999999996</v>
      </c>
      <c r="K491" s="79">
        <v>88.855999999999995</v>
      </c>
      <c r="L491" s="79">
        <v>90.953000000000003</v>
      </c>
      <c r="M491" s="79">
        <v>94.641999999999996</v>
      </c>
      <c r="N491" s="79">
        <v>96.492999999999995</v>
      </c>
      <c r="O491" s="57">
        <v>100</v>
      </c>
      <c r="P491" s="79">
        <v>102.22199999999999</v>
      </c>
      <c r="Q491" s="57">
        <v>103.53</v>
      </c>
      <c r="R491" s="57">
        <v>105.54600000000001</v>
      </c>
      <c r="S491" s="80">
        <v>106.926</v>
      </c>
      <c r="T491" s="63"/>
      <c r="AD491" s="57"/>
      <c r="AE491" s="57"/>
      <c r="AF491" s="57"/>
      <c r="AG491" s="57"/>
      <c r="AH491" s="57"/>
      <c r="AI491" s="57"/>
      <c r="AJ491" s="57"/>
      <c r="AK491" s="57"/>
      <c r="AL491" s="57"/>
      <c r="AM491" s="57"/>
      <c r="AN491" s="57"/>
      <c r="AO491" s="57"/>
    </row>
    <row r="492" spans="1:41">
      <c r="A492" s="55" t="s">
        <v>420</v>
      </c>
      <c r="B492" s="65" t="s">
        <v>395</v>
      </c>
      <c r="C492" s="79">
        <v>74.433999999999997</v>
      </c>
      <c r="D492" s="79">
        <v>76.393000000000001</v>
      </c>
      <c r="E492" s="79">
        <v>78.259</v>
      </c>
      <c r="F492" s="79">
        <v>79.911000000000001</v>
      </c>
      <c r="G492" s="79">
        <v>83.141999999999996</v>
      </c>
      <c r="H492" s="79">
        <v>84.27</v>
      </c>
      <c r="I492" s="79">
        <v>86.200999999999993</v>
      </c>
      <c r="J492" s="79">
        <v>88.213999999999999</v>
      </c>
      <c r="K492" s="79">
        <v>90.295000000000002</v>
      </c>
      <c r="L492" s="79">
        <v>91.26</v>
      </c>
      <c r="M492" s="79">
        <v>95.397000000000006</v>
      </c>
      <c r="N492" s="79">
        <v>96.697999999999993</v>
      </c>
      <c r="O492" s="57">
        <v>100</v>
      </c>
      <c r="P492" s="79">
        <v>102.48</v>
      </c>
      <c r="Q492" s="57">
        <v>103.515</v>
      </c>
      <c r="R492" s="57">
        <v>104.999</v>
      </c>
      <c r="S492" s="80">
        <v>105.55800000000001</v>
      </c>
      <c r="T492" s="63"/>
      <c r="AD492" s="57"/>
      <c r="AE492" s="57"/>
      <c r="AF492" s="57"/>
      <c r="AG492" s="57"/>
      <c r="AH492" s="57"/>
      <c r="AI492" s="57"/>
      <c r="AJ492" s="57"/>
      <c r="AK492" s="57"/>
      <c r="AL492" s="57"/>
      <c r="AM492" s="57"/>
      <c r="AN492" s="57"/>
      <c r="AO492" s="57"/>
    </row>
    <row r="493" spans="1:41">
      <c r="A493" s="55" t="s">
        <v>420</v>
      </c>
      <c r="B493" s="65" t="s">
        <v>446</v>
      </c>
      <c r="C493" s="79">
        <v>62.915999999999997</v>
      </c>
      <c r="D493" s="79">
        <v>64.706000000000003</v>
      </c>
      <c r="E493" s="79">
        <v>66.683000000000007</v>
      </c>
      <c r="F493" s="79">
        <v>69.337999999999994</v>
      </c>
      <c r="G493" s="79">
        <v>74.031999999999996</v>
      </c>
      <c r="H493" s="79">
        <v>78.031999999999996</v>
      </c>
      <c r="I493" s="79">
        <v>81.775000000000006</v>
      </c>
      <c r="J493" s="79">
        <v>84.950999999999993</v>
      </c>
      <c r="K493" s="79">
        <v>87.962999999999994</v>
      </c>
      <c r="L493" s="79">
        <v>91.366</v>
      </c>
      <c r="M493" s="79">
        <v>94.293000000000006</v>
      </c>
      <c r="N493" s="81">
        <v>96.484999999999999</v>
      </c>
      <c r="O493" s="57">
        <v>100</v>
      </c>
      <c r="P493" s="79">
        <v>102.00700000000001</v>
      </c>
      <c r="Q493" s="57">
        <v>103.28400000000001</v>
      </c>
      <c r="R493" s="57">
        <v>106.187</v>
      </c>
      <c r="S493" s="80">
        <v>108.642</v>
      </c>
      <c r="T493" s="63"/>
      <c r="AD493" s="57"/>
      <c r="AE493" s="57"/>
      <c r="AF493" s="57"/>
      <c r="AG493" s="57"/>
      <c r="AH493" s="57"/>
      <c r="AI493" s="57"/>
      <c r="AJ493" s="57"/>
      <c r="AK493" s="57"/>
      <c r="AL493" s="57"/>
      <c r="AM493" s="57"/>
      <c r="AN493" s="57"/>
      <c r="AO493" s="57"/>
    </row>
    <row r="494" spans="1:41">
      <c r="A494" s="55" t="s">
        <v>420</v>
      </c>
      <c r="B494" s="65" t="s">
        <v>447</v>
      </c>
      <c r="C494" s="79">
        <v>58.813000000000002</v>
      </c>
      <c r="D494" s="79">
        <v>61.834000000000003</v>
      </c>
      <c r="E494" s="79">
        <v>64.441999999999993</v>
      </c>
      <c r="F494" s="79">
        <v>68.179000000000002</v>
      </c>
      <c r="G494" s="79">
        <v>73.197000000000003</v>
      </c>
      <c r="H494" s="79">
        <v>76.900000000000006</v>
      </c>
      <c r="I494" s="79">
        <v>79.536000000000001</v>
      </c>
      <c r="J494" s="79">
        <v>82.584000000000003</v>
      </c>
      <c r="K494" s="79">
        <v>85.466999999999999</v>
      </c>
      <c r="L494" s="79">
        <v>87.894000000000005</v>
      </c>
      <c r="M494" s="79">
        <v>92.13</v>
      </c>
      <c r="N494" s="81">
        <v>95.156999999999996</v>
      </c>
      <c r="O494" s="57">
        <v>100</v>
      </c>
      <c r="P494" s="79">
        <v>101.629</v>
      </c>
      <c r="Q494" s="57">
        <v>103.166</v>
      </c>
      <c r="R494" s="57">
        <v>104.711</v>
      </c>
      <c r="S494" s="80">
        <v>105.55200000000001</v>
      </c>
      <c r="T494" s="63"/>
      <c r="AD494" s="57"/>
      <c r="AE494" s="57"/>
      <c r="AF494" s="57"/>
      <c r="AG494" s="57"/>
      <c r="AH494" s="57"/>
      <c r="AI494" s="57"/>
      <c r="AJ494" s="57"/>
      <c r="AK494" s="57"/>
      <c r="AL494" s="57"/>
      <c r="AM494" s="57"/>
      <c r="AN494" s="57"/>
      <c r="AO494" s="57"/>
    </row>
    <row r="495" spans="1:41">
      <c r="A495" s="55" t="s">
        <v>420</v>
      </c>
      <c r="B495" s="65" t="s">
        <v>397</v>
      </c>
      <c r="C495" s="79">
        <v>64.837000000000003</v>
      </c>
      <c r="D495" s="79">
        <v>67.849999999999994</v>
      </c>
      <c r="E495" s="79">
        <v>70.715999999999994</v>
      </c>
      <c r="F495" s="79">
        <v>74.817999999999998</v>
      </c>
      <c r="G495" s="79">
        <v>77.724999999999994</v>
      </c>
      <c r="H495" s="79">
        <v>81.567999999999998</v>
      </c>
      <c r="I495" s="79">
        <v>83.911000000000001</v>
      </c>
      <c r="J495" s="79">
        <v>85.548000000000002</v>
      </c>
      <c r="K495" s="79">
        <v>88.832999999999998</v>
      </c>
      <c r="L495" s="79">
        <v>91.91</v>
      </c>
      <c r="M495" s="79">
        <v>95.168999999999997</v>
      </c>
      <c r="N495" s="79">
        <v>97.186999999999998</v>
      </c>
      <c r="O495" s="57">
        <v>100</v>
      </c>
      <c r="P495" s="79">
        <v>102.401</v>
      </c>
      <c r="Q495" s="57">
        <v>105.096</v>
      </c>
      <c r="R495" s="57">
        <v>107.437</v>
      </c>
      <c r="S495" s="80">
        <v>110.288</v>
      </c>
      <c r="AD495" s="57"/>
      <c r="AE495" s="57"/>
      <c r="AF495" s="57"/>
      <c r="AG495" s="57"/>
      <c r="AH495" s="57"/>
      <c r="AI495" s="57"/>
      <c r="AJ495" s="57"/>
      <c r="AK495" s="57"/>
      <c r="AL495" s="57"/>
      <c r="AM495" s="57"/>
      <c r="AN495" s="57"/>
      <c r="AO495" s="57"/>
    </row>
    <row r="496" spans="1:41">
      <c r="A496" s="55" t="s">
        <v>420</v>
      </c>
      <c r="B496" s="65" t="s">
        <v>398</v>
      </c>
      <c r="C496" s="79">
        <v>65.988</v>
      </c>
      <c r="D496" s="79">
        <v>68.7</v>
      </c>
      <c r="E496" s="79">
        <v>71.668000000000006</v>
      </c>
      <c r="F496" s="79">
        <v>74.067999999999998</v>
      </c>
      <c r="G496" s="79">
        <v>77.168000000000006</v>
      </c>
      <c r="H496" s="79">
        <v>79.866</v>
      </c>
      <c r="I496" s="79">
        <v>81.043000000000006</v>
      </c>
      <c r="J496" s="79">
        <v>82.772999999999996</v>
      </c>
      <c r="K496" s="79">
        <v>86.043999999999997</v>
      </c>
      <c r="L496" s="79">
        <v>89.144999999999996</v>
      </c>
      <c r="M496" s="79">
        <v>92.894999999999996</v>
      </c>
      <c r="N496" s="81">
        <v>95.777000000000001</v>
      </c>
      <c r="O496" s="57">
        <v>100</v>
      </c>
      <c r="P496" s="79">
        <v>99.89</v>
      </c>
      <c r="Q496" s="57">
        <v>99.801000000000002</v>
      </c>
      <c r="R496" s="57">
        <v>103.583</v>
      </c>
      <c r="S496" s="80">
        <v>106.08499999999999</v>
      </c>
      <c r="AD496" s="57"/>
      <c r="AE496" s="57"/>
      <c r="AF496" s="57"/>
      <c r="AG496" s="57"/>
      <c r="AH496" s="57"/>
      <c r="AI496" s="57"/>
      <c r="AJ496" s="57"/>
      <c r="AK496" s="57"/>
      <c r="AL496" s="57"/>
      <c r="AM496" s="57"/>
      <c r="AN496" s="57"/>
      <c r="AO496" s="57"/>
    </row>
    <row r="497" spans="1:41">
      <c r="A497" s="55" t="s">
        <v>420</v>
      </c>
      <c r="B497" s="65" t="s">
        <v>399</v>
      </c>
      <c r="C497" s="79">
        <v>67.084999999999994</v>
      </c>
      <c r="D497" s="79">
        <v>69.242999999999995</v>
      </c>
      <c r="E497" s="79">
        <v>73.004999999999995</v>
      </c>
      <c r="F497" s="79">
        <v>76.525999999999996</v>
      </c>
      <c r="G497" s="79">
        <v>79.183000000000007</v>
      </c>
      <c r="H497" s="79">
        <v>81.234999999999999</v>
      </c>
      <c r="I497" s="79">
        <v>83.738</v>
      </c>
      <c r="J497" s="79">
        <v>85.823999999999998</v>
      </c>
      <c r="K497" s="79">
        <v>88.680999999999997</v>
      </c>
      <c r="L497" s="79">
        <v>91.703000000000003</v>
      </c>
      <c r="M497" s="79">
        <v>95.382999999999996</v>
      </c>
      <c r="N497" s="81">
        <v>97.471000000000004</v>
      </c>
      <c r="O497" s="57">
        <v>100</v>
      </c>
      <c r="P497" s="79">
        <v>99.683999999999997</v>
      </c>
      <c r="Q497" s="57">
        <v>99.786000000000001</v>
      </c>
      <c r="R497" s="57">
        <v>102.733</v>
      </c>
      <c r="S497" s="80">
        <v>104.22799999999999</v>
      </c>
      <c r="T497" s="63"/>
      <c r="AD497" s="57"/>
      <c r="AE497" s="57"/>
      <c r="AF497" s="57"/>
      <c r="AG497" s="57"/>
      <c r="AH497" s="57"/>
      <c r="AI497" s="57"/>
      <c r="AJ497" s="57"/>
      <c r="AK497" s="57"/>
      <c r="AL497" s="57"/>
      <c r="AM497" s="57"/>
      <c r="AN497" s="57"/>
      <c r="AO497" s="57"/>
    </row>
    <row r="498" spans="1:41">
      <c r="A498" s="55" t="s">
        <v>420</v>
      </c>
      <c r="B498" s="65" t="s">
        <v>400</v>
      </c>
      <c r="C498" s="79">
        <v>61.759</v>
      </c>
      <c r="D498" s="79">
        <v>63.643000000000001</v>
      </c>
      <c r="E498" s="79">
        <v>68.113</v>
      </c>
      <c r="F498" s="79">
        <v>72.182000000000002</v>
      </c>
      <c r="G498" s="79">
        <v>75.262</v>
      </c>
      <c r="H498" s="79">
        <v>77.283000000000001</v>
      </c>
      <c r="I498" s="79">
        <v>80.006</v>
      </c>
      <c r="J498" s="79">
        <v>83.094999999999999</v>
      </c>
      <c r="K498" s="79">
        <v>87.274000000000001</v>
      </c>
      <c r="L498" s="79">
        <v>90.531999999999996</v>
      </c>
      <c r="M498" s="79">
        <v>94.584999999999994</v>
      </c>
      <c r="N498" s="79">
        <v>97.573999999999998</v>
      </c>
      <c r="O498" s="57">
        <v>100</v>
      </c>
      <c r="P498" s="79">
        <v>100.61499999999999</v>
      </c>
      <c r="Q498" s="57">
        <v>100.94199999999999</v>
      </c>
      <c r="R498" s="57">
        <v>103.499</v>
      </c>
      <c r="S498" s="80">
        <v>104.803</v>
      </c>
      <c r="T498" s="63"/>
      <c r="AD498" s="57"/>
      <c r="AE498" s="57"/>
      <c r="AF498" s="57"/>
      <c r="AG498" s="57"/>
      <c r="AH498" s="57"/>
      <c r="AI498" s="57"/>
      <c r="AJ498" s="57"/>
      <c r="AK498" s="57"/>
      <c r="AL498" s="57"/>
      <c r="AM498" s="57"/>
      <c r="AN498" s="57"/>
      <c r="AO498" s="57"/>
    </row>
    <row r="499" spans="1:41">
      <c r="A499" s="55" t="s">
        <v>420</v>
      </c>
      <c r="B499" s="65" t="s">
        <v>401</v>
      </c>
      <c r="C499" s="79">
        <v>73.671999999999997</v>
      </c>
      <c r="D499" s="79">
        <v>76.159000000000006</v>
      </c>
      <c r="E499" s="79">
        <v>79.149000000000001</v>
      </c>
      <c r="F499" s="79">
        <v>82.087000000000003</v>
      </c>
      <c r="G499" s="79">
        <v>84.25</v>
      </c>
      <c r="H499" s="79">
        <v>86.343000000000004</v>
      </c>
      <c r="I499" s="79">
        <v>88.539000000000001</v>
      </c>
      <c r="J499" s="79">
        <v>89.271000000000001</v>
      </c>
      <c r="K499" s="79">
        <v>90.436999999999998</v>
      </c>
      <c r="L499" s="79">
        <v>93.156000000000006</v>
      </c>
      <c r="M499" s="79">
        <v>96.364000000000004</v>
      </c>
      <c r="N499" s="79">
        <v>97.334999999999994</v>
      </c>
      <c r="O499" s="57">
        <v>100</v>
      </c>
      <c r="P499" s="79">
        <v>98.518000000000001</v>
      </c>
      <c r="Q499" s="57">
        <v>98.355999999999995</v>
      </c>
      <c r="R499" s="57">
        <v>101.759</v>
      </c>
      <c r="S499" s="80">
        <v>103.483</v>
      </c>
      <c r="AD499" s="57"/>
      <c r="AE499" s="57"/>
      <c r="AF499" s="57"/>
      <c r="AG499" s="57"/>
      <c r="AH499" s="57"/>
      <c r="AI499" s="57"/>
      <c r="AJ499" s="57"/>
      <c r="AK499" s="57"/>
      <c r="AL499" s="57"/>
      <c r="AM499" s="57"/>
      <c r="AN499" s="57"/>
      <c r="AO499" s="57"/>
    </row>
    <row r="500" spans="1:41">
      <c r="A500" s="55" t="s">
        <v>420</v>
      </c>
      <c r="B500" s="65" t="s">
        <v>402</v>
      </c>
      <c r="C500" s="79">
        <v>65.596999999999994</v>
      </c>
      <c r="D500" s="79">
        <v>68.501000000000005</v>
      </c>
      <c r="E500" s="79">
        <v>71.2</v>
      </c>
      <c r="F500" s="79">
        <v>73.224999999999994</v>
      </c>
      <c r="G500" s="79">
        <v>76.466999999999999</v>
      </c>
      <c r="H500" s="79">
        <v>79.372</v>
      </c>
      <c r="I500" s="79">
        <v>80.113</v>
      </c>
      <c r="J500" s="79">
        <v>81.724000000000004</v>
      </c>
      <c r="K500" s="79">
        <v>85.129000000000005</v>
      </c>
      <c r="L500" s="79">
        <v>88.253</v>
      </c>
      <c r="M500" s="79">
        <v>92.025999999999996</v>
      </c>
      <c r="N500" s="79">
        <v>95.177999999999997</v>
      </c>
      <c r="O500" s="57">
        <v>100</v>
      </c>
      <c r="P500" s="79">
        <v>99.963999999999999</v>
      </c>
      <c r="Q500" s="57">
        <v>99.805999999999997</v>
      </c>
      <c r="R500" s="57">
        <v>103.887</v>
      </c>
      <c r="S500" s="80">
        <v>106.754</v>
      </c>
      <c r="T500" s="63"/>
      <c r="AD500" s="57"/>
      <c r="AE500" s="57"/>
      <c r="AF500" s="57"/>
      <c r="AG500" s="57"/>
      <c r="AH500" s="57"/>
      <c r="AI500" s="57"/>
      <c r="AJ500" s="57"/>
      <c r="AK500" s="57"/>
      <c r="AL500" s="57"/>
      <c r="AM500" s="57"/>
      <c r="AN500" s="57"/>
      <c r="AO500" s="57"/>
    </row>
    <row r="501" spans="1:41">
      <c r="A501" s="55" t="s">
        <v>420</v>
      </c>
      <c r="B501" s="65" t="s">
        <v>403</v>
      </c>
      <c r="C501" s="79">
        <v>70.132999999999996</v>
      </c>
      <c r="D501" s="79">
        <v>73.244</v>
      </c>
      <c r="E501" s="79">
        <v>76.659000000000006</v>
      </c>
      <c r="F501" s="79">
        <v>78.962999999999994</v>
      </c>
      <c r="G501" s="79">
        <v>83.183000000000007</v>
      </c>
      <c r="H501" s="79">
        <v>84.105999999999995</v>
      </c>
      <c r="I501" s="79">
        <v>84.171000000000006</v>
      </c>
      <c r="J501" s="79">
        <v>85.738</v>
      </c>
      <c r="K501" s="79">
        <v>90.978999999999999</v>
      </c>
      <c r="L501" s="79">
        <v>94.668999999999997</v>
      </c>
      <c r="M501" s="79">
        <v>99.584000000000003</v>
      </c>
      <c r="N501" s="81">
        <v>102.003</v>
      </c>
      <c r="O501" s="57">
        <v>100</v>
      </c>
      <c r="P501" s="79">
        <v>99.102999999999994</v>
      </c>
      <c r="Q501" s="57">
        <v>100.532</v>
      </c>
      <c r="R501" s="57">
        <v>104.02</v>
      </c>
      <c r="S501" s="80">
        <v>106.193</v>
      </c>
      <c r="T501" s="63"/>
      <c r="AD501" s="57"/>
      <c r="AE501" s="57"/>
      <c r="AF501" s="57"/>
      <c r="AG501" s="57"/>
      <c r="AH501" s="57"/>
      <c r="AI501" s="57"/>
      <c r="AJ501" s="57"/>
      <c r="AK501" s="57"/>
      <c r="AL501" s="57"/>
      <c r="AM501" s="57"/>
      <c r="AN501" s="57"/>
      <c r="AO501" s="57"/>
    </row>
    <row r="502" spans="1:41">
      <c r="A502" s="55" t="s">
        <v>420</v>
      </c>
      <c r="B502" s="65" t="s">
        <v>404</v>
      </c>
      <c r="C502" s="79">
        <v>63.826000000000001</v>
      </c>
      <c r="D502" s="79">
        <v>66.650000000000006</v>
      </c>
      <c r="E502" s="79">
        <v>69.052000000000007</v>
      </c>
      <c r="F502" s="79">
        <v>70.963999999999999</v>
      </c>
      <c r="G502" s="79">
        <v>73.807000000000002</v>
      </c>
      <c r="H502" s="79">
        <v>77.492000000000004</v>
      </c>
      <c r="I502" s="79">
        <v>78.497</v>
      </c>
      <c r="J502" s="79">
        <v>80.126000000000005</v>
      </c>
      <c r="K502" s="79">
        <v>82.8</v>
      </c>
      <c r="L502" s="79">
        <v>85.7</v>
      </c>
      <c r="M502" s="79">
        <v>89.013000000000005</v>
      </c>
      <c r="N502" s="81">
        <v>92.468000000000004</v>
      </c>
      <c r="O502" s="57">
        <v>100</v>
      </c>
      <c r="P502" s="79">
        <v>100.298</v>
      </c>
      <c r="Q502" s="57">
        <v>99.509</v>
      </c>
      <c r="R502" s="57">
        <v>103.83</v>
      </c>
      <c r="S502" s="80">
        <v>106.98</v>
      </c>
      <c r="AD502" s="57"/>
      <c r="AE502" s="57"/>
      <c r="AF502" s="57"/>
      <c r="AG502" s="57"/>
      <c r="AH502" s="57"/>
      <c r="AI502" s="57"/>
      <c r="AJ502" s="57"/>
      <c r="AK502" s="57"/>
      <c r="AL502" s="57"/>
      <c r="AM502" s="57"/>
      <c r="AN502" s="57"/>
      <c r="AO502" s="57"/>
    </row>
    <row r="503" spans="1:41">
      <c r="A503" s="55" t="s">
        <v>420</v>
      </c>
      <c r="B503" s="65" t="s">
        <v>415</v>
      </c>
      <c r="C503" s="79">
        <v>61.246000000000002</v>
      </c>
      <c r="D503" s="79">
        <v>63.484000000000002</v>
      </c>
      <c r="E503" s="79">
        <v>66.105999999999995</v>
      </c>
      <c r="F503" s="79">
        <v>69.378</v>
      </c>
      <c r="G503" s="79">
        <v>73.316000000000003</v>
      </c>
      <c r="H503" s="79">
        <v>76.587999999999994</v>
      </c>
      <c r="I503" s="79">
        <v>78.772999999999996</v>
      </c>
      <c r="J503" s="79">
        <v>81.257000000000005</v>
      </c>
      <c r="K503" s="79">
        <v>84.563000000000002</v>
      </c>
      <c r="L503" s="79">
        <v>88.003</v>
      </c>
      <c r="M503" s="79">
        <v>91.587000000000003</v>
      </c>
      <c r="N503" s="79">
        <v>95.224999999999994</v>
      </c>
      <c r="O503" s="57">
        <v>100</v>
      </c>
      <c r="P503" s="79">
        <v>102.619</v>
      </c>
      <c r="Q503" s="57">
        <v>105.01900000000001</v>
      </c>
      <c r="R503" s="57">
        <v>108.087</v>
      </c>
      <c r="S503" s="80">
        <v>111.453</v>
      </c>
      <c r="AD503" s="57"/>
      <c r="AE503" s="57"/>
      <c r="AF503" s="57"/>
      <c r="AG503" s="57"/>
      <c r="AH503" s="57"/>
      <c r="AI503" s="57"/>
      <c r="AJ503" s="57"/>
      <c r="AK503" s="57"/>
      <c r="AL503" s="57"/>
      <c r="AM503" s="57"/>
      <c r="AN503" s="57"/>
      <c r="AO503" s="57"/>
    </row>
    <row r="504" spans="1:41">
      <c r="A504" s="55" t="s">
        <v>420</v>
      </c>
      <c r="B504" s="65" t="s">
        <v>174</v>
      </c>
      <c r="C504" s="79">
        <v>63.948999999999998</v>
      </c>
      <c r="D504" s="79">
        <v>65.722999999999999</v>
      </c>
      <c r="E504" s="79">
        <v>68.325000000000003</v>
      </c>
      <c r="F504" s="79">
        <v>70.825000000000003</v>
      </c>
      <c r="G504" s="79">
        <v>73.864000000000004</v>
      </c>
      <c r="H504" s="79">
        <v>76.674000000000007</v>
      </c>
      <c r="I504" s="79">
        <v>79.957999999999998</v>
      </c>
      <c r="J504" s="79">
        <v>83.673000000000002</v>
      </c>
      <c r="K504" s="79">
        <v>87.018000000000001</v>
      </c>
      <c r="L504" s="79">
        <v>90.671999999999997</v>
      </c>
      <c r="M504" s="79">
        <v>94.429000000000002</v>
      </c>
      <c r="N504" s="81">
        <v>97.463999999999999</v>
      </c>
      <c r="O504" s="57">
        <v>100</v>
      </c>
      <c r="P504" s="79">
        <v>102.79600000000001</v>
      </c>
      <c r="Q504" s="57">
        <v>104.723</v>
      </c>
      <c r="R504" s="57">
        <v>106.25</v>
      </c>
      <c r="S504" s="80">
        <v>107.92100000000001</v>
      </c>
      <c r="AD504" s="57"/>
      <c r="AE504" s="57"/>
      <c r="AF504" s="57"/>
      <c r="AG504" s="57"/>
      <c r="AH504" s="57"/>
      <c r="AI504" s="57"/>
      <c r="AJ504" s="57"/>
      <c r="AK504" s="57"/>
      <c r="AL504" s="57"/>
      <c r="AM504" s="57"/>
      <c r="AN504" s="57"/>
      <c r="AO504" s="57"/>
    </row>
    <row r="505" spans="1:41">
      <c r="A505" s="55" t="s">
        <v>420</v>
      </c>
      <c r="B505" s="65" t="s">
        <v>219</v>
      </c>
      <c r="C505" s="79">
        <v>66.472999999999999</v>
      </c>
      <c r="D505" s="79">
        <v>67.503</v>
      </c>
      <c r="E505" s="79">
        <v>69.647000000000006</v>
      </c>
      <c r="F505" s="79">
        <v>71.83</v>
      </c>
      <c r="G505" s="79">
        <v>73.957999999999998</v>
      </c>
      <c r="H505" s="79">
        <v>77.92</v>
      </c>
      <c r="I505" s="79">
        <v>82.314999999999998</v>
      </c>
      <c r="J505" s="79">
        <v>85.296000000000006</v>
      </c>
      <c r="K505" s="79">
        <v>88.891999999999996</v>
      </c>
      <c r="L505" s="79">
        <v>92.456999999999994</v>
      </c>
      <c r="M505" s="79">
        <v>95.957999999999998</v>
      </c>
      <c r="N505" s="81">
        <v>98.224999999999994</v>
      </c>
      <c r="O505" s="57">
        <v>100</v>
      </c>
      <c r="P505" s="79">
        <v>103.05500000000001</v>
      </c>
      <c r="Q505" s="57">
        <v>105.04900000000001</v>
      </c>
      <c r="R505" s="57">
        <v>105.739</v>
      </c>
      <c r="S505" s="80">
        <v>107.036</v>
      </c>
      <c r="T505" s="63"/>
      <c r="AD505" s="57"/>
      <c r="AE505" s="57"/>
      <c r="AF505" s="57"/>
      <c r="AG505" s="57"/>
      <c r="AH505" s="57"/>
      <c r="AI505" s="57"/>
      <c r="AJ505" s="57"/>
      <c r="AK505" s="57"/>
      <c r="AL505" s="57"/>
      <c r="AM505" s="57"/>
      <c r="AN505" s="57"/>
      <c r="AO505" s="57"/>
    </row>
    <row r="506" spans="1:41">
      <c r="A506" s="55" t="s">
        <v>420</v>
      </c>
      <c r="B506" s="55" t="s">
        <v>448</v>
      </c>
      <c r="C506" s="57">
        <v>65.546000000000006</v>
      </c>
      <c r="D506" s="57">
        <v>66.772000000000006</v>
      </c>
      <c r="E506" s="57">
        <v>69.004999999999995</v>
      </c>
      <c r="F506" s="57">
        <v>71.625</v>
      </c>
      <c r="G506" s="57">
        <v>73.391999999999996</v>
      </c>
      <c r="H506" s="57">
        <v>77.430000000000007</v>
      </c>
      <c r="I506" s="57">
        <v>82.248000000000005</v>
      </c>
      <c r="J506" s="57">
        <v>85.772999999999996</v>
      </c>
      <c r="K506" s="57">
        <v>90.138999999999996</v>
      </c>
      <c r="L506" s="57">
        <v>93.459000000000003</v>
      </c>
      <c r="M506" s="57">
        <v>96.956000000000003</v>
      </c>
      <c r="N506" s="57">
        <v>99.328999999999994</v>
      </c>
      <c r="O506" s="57">
        <v>100</v>
      </c>
      <c r="P506" s="57">
        <v>103.098</v>
      </c>
      <c r="Q506" s="57">
        <v>105.267</v>
      </c>
      <c r="R506" s="57">
        <v>105.92100000000001</v>
      </c>
      <c r="S506" s="80">
        <v>107.274</v>
      </c>
      <c r="T506" s="63"/>
      <c r="AD506" s="57"/>
      <c r="AE506" s="57"/>
      <c r="AF506" s="57"/>
      <c r="AG506" s="57"/>
      <c r="AH506" s="57"/>
      <c r="AI506" s="57"/>
      <c r="AJ506" s="57"/>
      <c r="AK506" s="57"/>
      <c r="AL506" s="57"/>
      <c r="AM506" s="57"/>
      <c r="AN506" s="57"/>
      <c r="AO506" s="57"/>
    </row>
    <row r="507" spans="1:41">
      <c r="A507" s="55" t="s">
        <v>420</v>
      </c>
      <c r="B507" s="69" t="s">
        <v>449</v>
      </c>
      <c r="C507" s="57">
        <v>64.474000000000004</v>
      </c>
      <c r="D507" s="57">
        <v>65.644999999999996</v>
      </c>
      <c r="E507" s="57">
        <v>67.724000000000004</v>
      </c>
      <c r="F507" s="57">
        <v>70.213999999999999</v>
      </c>
      <c r="G507" s="57">
        <v>72.123999999999995</v>
      </c>
      <c r="H507" s="57">
        <v>76.334000000000003</v>
      </c>
      <c r="I507" s="57">
        <v>81.802000000000007</v>
      </c>
      <c r="J507" s="57">
        <v>85.122</v>
      </c>
      <c r="K507" s="57">
        <v>90.006</v>
      </c>
      <c r="L507" s="57">
        <v>93.747</v>
      </c>
      <c r="M507" s="57">
        <v>97.367000000000004</v>
      </c>
      <c r="N507" s="57">
        <v>99.853999999999999</v>
      </c>
      <c r="O507" s="57">
        <v>100</v>
      </c>
      <c r="P507" s="57">
        <v>102.779</v>
      </c>
      <c r="Q507" s="57">
        <v>104.76</v>
      </c>
      <c r="R507" s="57">
        <v>105.789</v>
      </c>
      <c r="S507" s="80">
        <v>106.542</v>
      </c>
      <c r="T507" s="63"/>
      <c r="AD507" s="57"/>
      <c r="AE507" s="57"/>
      <c r="AF507" s="57"/>
      <c r="AG507" s="57"/>
      <c r="AH507" s="57"/>
      <c r="AI507" s="57"/>
      <c r="AJ507" s="57"/>
      <c r="AK507" s="57"/>
      <c r="AL507" s="57"/>
      <c r="AM507" s="57"/>
      <c r="AN507" s="57"/>
      <c r="AO507" s="57"/>
    </row>
    <row r="508" spans="1:41">
      <c r="A508" s="55" t="s">
        <v>420</v>
      </c>
      <c r="B508" s="69" t="s">
        <v>450</v>
      </c>
      <c r="C508" s="57">
        <v>67.218999999999994</v>
      </c>
      <c r="D508" s="57">
        <v>68.537000000000006</v>
      </c>
      <c r="E508" s="57">
        <v>71.025999999999996</v>
      </c>
      <c r="F508" s="57">
        <v>73.856999999999999</v>
      </c>
      <c r="G508" s="57">
        <v>75.394000000000005</v>
      </c>
      <c r="H508" s="57">
        <v>79.164000000000001</v>
      </c>
      <c r="I508" s="57">
        <v>82.962999999999994</v>
      </c>
      <c r="J508" s="57">
        <v>86.813999999999993</v>
      </c>
      <c r="K508" s="57">
        <v>90.346000000000004</v>
      </c>
      <c r="L508" s="57">
        <v>92.992000000000004</v>
      </c>
      <c r="M508" s="57">
        <v>96.29</v>
      </c>
      <c r="N508" s="57">
        <v>98.48</v>
      </c>
      <c r="O508" s="57">
        <v>100</v>
      </c>
      <c r="P508" s="57">
        <v>103.613</v>
      </c>
      <c r="Q508" s="57">
        <v>106.08799999999999</v>
      </c>
      <c r="R508" s="57">
        <v>106.137</v>
      </c>
      <c r="S508" s="80">
        <v>108.443</v>
      </c>
      <c r="T508" s="63"/>
      <c r="AD508" s="57"/>
      <c r="AE508" s="57"/>
      <c r="AF508" s="57"/>
      <c r="AG508" s="57"/>
      <c r="AH508" s="57"/>
      <c r="AI508" s="57"/>
      <c r="AJ508" s="57"/>
      <c r="AK508" s="57"/>
      <c r="AL508" s="57"/>
      <c r="AM508" s="57"/>
      <c r="AN508" s="57"/>
      <c r="AO508" s="57"/>
    </row>
    <row r="509" spans="1:41" ht="15">
      <c r="A509" s="55" t="s">
        <v>420</v>
      </c>
      <c r="B509" s="70" t="s">
        <v>451</v>
      </c>
      <c r="C509" s="79">
        <v>70.159000000000006</v>
      </c>
      <c r="D509" s="79">
        <v>69.975999999999999</v>
      </c>
      <c r="E509" s="79">
        <v>71.539000000000001</v>
      </c>
      <c r="F509" s="79">
        <v>71.156999999999996</v>
      </c>
      <c r="G509" s="79">
        <v>75.381</v>
      </c>
      <c r="H509" s="79">
        <v>78.757999999999996</v>
      </c>
      <c r="I509" s="79">
        <v>80.316000000000003</v>
      </c>
      <c r="J509" s="79">
        <v>79.665999999999997</v>
      </c>
      <c r="K509" s="79">
        <v>78.106999999999999</v>
      </c>
      <c r="L509" s="79">
        <v>83.242999999999995</v>
      </c>
      <c r="M509" s="79">
        <v>86.692999999999998</v>
      </c>
      <c r="N509" s="57">
        <v>88.100999999999999</v>
      </c>
      <c r="O509" s="57">
        <v>100</v>
      </c>
      <c r="P509" s="57">
        <v>102.59699999999999</v>
      </c>
      <c r="Q509" s="57">
        <v>102.538</v>
      </c>
      <c r="R509" s="57">
        <v>103.666</v>
      </c>
      <c r="S509" s="80">
        <v>104.181</v>
      </c>
      <c r="AD509" s="57"/>
      <c r="AE509" s="57"/>
      <c r="AF509" s="57"/>
      <c r="AG509" s="57"/>
      <c r="AH509" s="57"/>
      <c r="AI509" s="57"/>
      <c r="AJ509" s="57"/>
      <c r="AK509" s="57"/>
      <c r="AL509" s="57"/>
      <c r="AM509" s="57"/>
      <c r="AN509" s="57"/>
      <c r="AO509" s="57"/>
    </row>
    <row r="510" spans="1:41">
      <c r="A510" s="55" t="s">
        <v>420</v>
      </c>
      <c r="B510" s="65" t="s">
        <v>221</v>
      </c>
      <c r="C510" s="79">
        <v>62.756999999999998</v>
      </c>
      <c r="D510" s="79">
        <v>64.887</v>
      </c>
      <c r="E510" s="79">
        <v>67.703000000000003</v>
      </c>
      <c r="F510" s="79">
        <v>70.347999999999999</v>
      </c>
      <c r="G510" s="79">
        <v>73.795000000000002</v>
      </c>
      <c r="H510" s="79">
        <v>76.093999999999994</v>
      </c>
      <c r="I510" s="79">
        <v>78.882000000000005</v>
      </c>
      <c r="J510" s="79">
        <v>82.927000000000007</v>
      </c>
      <c r="K510" s="79">
        <v>86.158000000000001</v>
      </c>
      <c r="L510" s="79">
        <v>89.852000000000004</v>
      </c>
      <c r="M510" s="79">
        <v>93.724000000000004</v>
      </c>
      <c r="N510" s="57">
        <v>97.108000000000004</v>
      </c>
      <c r="O510" s="57">
        <v>100</v>
      </c>
      <c r="P510" s="57">
        <v>102.67100000000001</v>
      </c>
      <c r="Q510" s="57">
        <v>104.566</v>
      </c>
      <c r="R510" s="57">
        <v>106.504</v>
      </c>
      <c r="S510" s="80">
        <v>108.35599999999999</v>
      </c>
      <c r="T510" s="63"/>
      <c r="AD510" s="57"/>
      <c r="AE510" s="57"/>
      <c r="AF510" s="57"/>
      <c r="AG510" s="57"/>
      <c r="AH510" s="57"/>
      <c r="AI510" s="57"/>
      <c r="AJ510" s="57"/>
      <c r="AK510" s="57"/>
      <c r="AL510" s="57"/>
      <c r="AM510" s="57"/>
      <c r="AN510" s="57"/>
      <c r="AO510" s="57"/>
    </row>
    <row r="511" spans="1:41">
      <c r="A511" s="55" t="s">
        <v>420</v>
      </c>
      <c r="B511" s="65" t="s">
        <v>452</v>
      </c>
      <c r="C511" s="79">
        <v>62.37</v>
      </c>
      <c r="D511" s="79">
        <v>64.373999999999995</v>
      </c>
      <c r="E511" s="79">
        <v>67.462000000000003</v>
      </c>
      <c r="F511" s="79">
        <v>70.450999999999993</v>
      </c>
      <c r="G511" s="79">
        <v>73.728999999999999</v>
      </c>
      <c r="H511" s="79">
        <v>76.084000000000003</v>
      </c>
      <c r="I511" s="79">
        <v>79.141000000000005</v>
      </c>
      <c r="J511" s="79">
        <v>83.38</v>
      </c>
      <c r="K511" s="79">
        <v>86.694000000000003</v>
      </c>
      <c r="L511" s="79">
        <v>90.409000000000006</v>
      </c>
      <c r="M511" s="79">
        <v>94.411000000000001</v>
      </c>
      <c r="N511" s="57">
        <v>98.019000000000005</v>
      </c>
      <c r="O511" s="57">
        <v>100</v>
      </c>
      <c r="P511" s="57">
        <v>102.866</v>
      </c>
      <c r="Q511" s="57">
        <v>104.864</v>
      </c>
      <c r="R511" s="57">
        <v>106.73099999999999</v>
      </c>
      <c r="S511" s="80">
        <v>108.33</v>
      </c>
      <c r="T511" s="63"/>
      <c r="AD511" s="57"/>
      <c r="AE511" s="57"/>
      <c r="AF511" s="57"/>
      <c r="AG511" s="57"/>
      <c r="AH511" s="57"/>
      <c r="AI511" s="57"/>
      <c r="AJ511" s="57"/>
      <c r="AK511" s="57"/>
      <c r="AL511" s="57"/>
      <c r="AM511" s="57"/>
      <c r="AN511" s="57"/>
      <c r="AO511" s="57"/>
    </row>
    <row r="512" spans="1:41">
      <c r="A512" s="55" t="s">
        <v>420</v>
      </c>
      <c r="B512" s="65" t="s">
        <v>453</v>
      </c>
      <c r="C512" s="79">
        <v>66.108000000000004</v>
      </c>
      <c r="D512" s="79">
        <v>69.667000000000002</v>
      </c>
      <c r="E512" s="79">
        <v>69.346999999999994</v>
      </c>
      <c r="F512" s="79">
        <v>68.19</v>
      </c>
      <c r="G512" s="79">
        <v>73.474000000000004</v>
      </c>
      <c r="H512" s="79">
        <v>75.085999999999999</v>
      </c>
      <c r="I512" s="79">
        <v>74.739999999999995</v>
      </c>
      <c r="J512" s="79">
        <v>76.527000000000001</v>
      </c>
      <c r="K512" s="79">
        <v>78.790000000000006</v>
      </c>
      <c r="L512" s="79">
        <v>82.179000000000002</v>
      </c>
      <c r="M512" s="79">
        <v>84.516000000000005</v>
      </c>
      <c r="N512" s="57">
        <v>85.238</v>
      </c>
      <c r="O512" s="57">
        <v>100</v>
      </c>
      <c r="P512" s="57">
        <v>100.129</v>
      </c>
      <c r="Q512" s="57">
        <v>100.758</v>
      </c>
      <c r="R512" s="57">
        <v>103.51900000000001</v>
      </c>
      <c r="S512" s="80">
        <v>108.319</v>
      </c>
      <c r="AD512" s="57"/>
      <c r="AE512" s="57"/>
      <c r="AF512" s="57"/>
      <c r="AG512" s="57"/>
      <c r="AH512" s="57"/>
      <c r="AI512" s="57"/>
      <c r="AJ512" s="57"/>
      <c r="AK512" s="57"/>
      <c r="AL512" s="57"/>
      <c r="AM512" s="57"/>
      <c r="AN512" s="57"/>
      <c r="AO512" s="57"/>
    </row>
    <row r="513" spans="1:41">
      <c r="B513" s="55" t="s">
        <v>198</v>
      </c>
      <c r="AD513" s="57"/>
      <c r="AE513" s="57"/>
      <c r="AF513" s="57"/>
      <c r="AG513" s="57"/>
      <c r="AH513" s="57"/>
      <c r="AI513" s="57"/>
      <c r="AJ513" s="57"/>
      <c r="AK513" s="57"/>
      <c r="AL513" s="57"/>
      <c r="AM513" s="57"/>
      <c r="AN513" s="57"/>
      <c r="AO513" s="57"/>
    </row>
    <row r="514" spans="1:41" ht="14.25">
      <c r="A514" s="55" t="s">
        <v>420</v>
      </c>
      <c r="B514" s="69" t="s">
        <v>454</v>
      </c>
      <c r="C514" s="55">
        <v>84.161000000000001</v>
      </c>
      <c r="D514" s="55">
        <v>83.32</v>
      </c>
      <c r="E514" s="55">
        <v>83.281999999999996</v>
      </c>
      <c r="F514" s="55">
        <v>84.344999999999999</v>
      </c>
      <c r="G514" s="55">
        <v>85.213999999999999</v>
      </c>
      <c r="H514" s="55">
        <v>84.628</v>
      </c>
      <c r="I514" s="55">
        <v>86.897000000000006</v>
      </c>
      <c r="J514" s="55">
        <v>89.766999999999996</v>
      </c>
      <c r="K514" s="55">
        <v>95.153000000000006</v>
      </c>
      <c r="L514" s="55">
        <v>98.328999999999994</v>
      </c>
      <c r="M514" s="55">
        <v>101.401</v>
      </c>
      <c r="N514" s="55">
        <v>104.81100000000001</v>
      </c>
      <c r="O514" s="57">
        <v>100</v>
      </c>
      <c r="P514" s="55">
        <v>103.01</v>
      </c>
      <c r="Q514" s="55">
        <v>109.07</v>
      </c>
      <c r="R514" s="55">
        <v>111.346</v>
      </c>
      <c r="S514" s="80">
        <v>113.105</v>
      </c>
      <c r="AD514" s="57"/>
      <c r="AE514" s="57"/>
      <c r="AF514" s="57"/>
      <c r="AG514" s="57"/>
      <c r="AH514" s="57"/>
      <c r="AI514" s="57"/>
      <c r="AJ514" s="57"/>
      <c r="AK514" s="57"/>
      <c r="AL514" s="57"/>
      <c r="AM514" s="57"/>
      <c r="AN514" s="57"/>
      <c r="AO514" s="57"/>
    </row>
    <row r="515" spans="1:41" ht="14.25">
      <c r="A515" s="55" t="s">
        <v>420</v>
      </c>
      <c r="B515" s="69" t="s">
        <v>455</v>
      </c>
      <c r="C515" s="57">
        <v>77.616</v>
      </c>
      <c r="D515" s="57">
        <v>78.941000000000003</v>
      </c>
      <c r="E515" s="57">
        <v>80.22</v>
      </c>
      <c r="F515" s="57">
        <v>82.28</v>
      </c>
      <c r="G515" s="57">
        <v>84.224000000000004</v>
      </c>
      <c r="H515" s="57">
        <v>85.727999999999994</v>
      </c>
      <c r="I515" s="57">
        <v>87.149000000000001</v>
      </c>
      <c r="J515" s="57">
        <v>89.37</v>
      </c>
      <c r="K515" s="57">
        <v>91.527000000000001</v>
      </c>
      <c r="L515" s="57">
        <v>94.058999999999997</v>
      </c>
      <c r="M515" s="57">
        <v>96.594999999999999</v>
      </c>
      <c r="N515" s="57">
        <v>98.165999999999997</v>
      </c>
      <c r="O515" s="57">
        <v>100</v>
      </c>
      <c r="P515" s="57">
        <v>100.937</v>
      </c>
      <c r="Q515" s="57">
        <v>102.19799999999999</v>
      </c>
      <c r="R515" s="57">
        <v>104.45</v>
      </c>
      <c r="S515" s="80">
        <v>106.518</v>
      </c>
      <c r="T515" s="63"/>
      <c r="AD515" s="57"/>
      <c r="AE515" s="57"/>
      <c r="AF515" s="57"/>
      <c r="AG515" s="57"/>
      <c r="AH515" s="57"/>
      <c r="AI515" s="57"/>
      <c r="AJ515" s="57"/>
      <c r="AK515" s="57"/>
      <c r="AL515" s="57"/>
      <c r="AM515" s="57"/>
      <c r="AN515" s="57"/>
      <c r="AO515" s="57"/>
    </row>
    <row r="516" spans="1:41" ht="14.25">
      <c r="A516" s="55" t="s">
        <v>420</v>
      </c>
      <c r="B516" s="71" t="s">
        <v>456</v>
      </c>
      <c r="C516" s="57">
        <v>191.53</v>
      </c>
      <c r="D516" s="57">
        <v>171.3</v>
      </c>
      <c r="E516" s="57">
        <v>156.53100000000001</v>
      </c>
      <c r="F516" s="57">
        <v>144.40199999999999</v>
      </c>
      <c r="G516" s="57">
        <v>133.69</v>
      </c>
      <c r="H516" s="57">
        <v>128.673</v>
      </c>
      <c r="I516" s="57">
        <v>123.67700000000001</v>
      </c>
      <c r="J516" s="57">
        <v>118.58199999999999</v>
      </c>
      <c r="K516" s="57">
        <v>113.396</v>
      </c>
      <c r="L516" s="57">
        <v>108.968</v>
      </c>
      <c r="M516" s="57">
        <v>104.76900000000001</v>
      </c>
      <c r="N516" s="57">
        <v>101.393</v>
      </c>
      <c r="O516" s="57">
        <v>100</v>
      </c>
      <c r="P516" s="57">
        <v>98.245000000000005</v>
      </c>
      <c r="Q516" s="57">
        <v>96.849000000000004</v>
      </c>
      <c r="R516" s="57">
        <v>96.070999999999998</v>
      </c>
      <c r="S516" s="80">
        <v>96.352999999999994</v>
      </c>
      <c r="AD516" s="57"/>
      <c r="AE516" s="57"/>
      <c r="AF516" s="57"/>
      <c r="AG516" s="57"/>
      <c r="AH516" s="57"/>
      <c r="AI516" s="57"/>
      <c r="AJ516" s="57"/>
      <c r="AK516" s="57"/>
      <c r="AL516" s="57"/>
      <c r="AM516" s="57"/>
      <c r="AN516" s="57"/>
      <c r="AO516" s="57"/>
    </row>
    <row r="518" spans="1:41">
      <c r="A518" s="17" t="s">
        <v>421</v>
      </c>
    </row>
    <row r="519" spans="1:41">
      <c r="A519" s="55" t="s">
        <v>422</v>
      </c>
      <c r="B519" s="65" t="s">
        <v>423</v>
      </c>
      <c r="C519" s="75">
        <v>15355426</v>
      </c>
      <c r="D519" s="75">
        <v>16171253</v>
      </c>
      <c r="E519" s="75">
        <v>17244796</v>
      </c>
      <c r="F519" s="75">
        <v>18564561</v>
      </c>
      <c r="G519" s="75">
        <v>18863122</v>
      </c>
      <c r="H519" s="75">
        <v>19174994</v>
      </c>
      <c r="I519" s="75">
        <v>20135077</v>
      </c>
      <c r="J519" s="75">
        <v>21697283</v>
      </c>
      <c r="K519" s="75">
        <v>23514890</v>
      </c>
      <c r="L519" s="75">
        <v>24887956</v>
      </c>
      <c r="M519" s="75">
        <v>26151296</v>
      </c>
      <c r="N519" s="59">
        <v>26825695</v>
      </c>
      <c r="O519" s="59">
        <v>24657235</v>
      </c>
      <c r="P519" s="75">
        <v>26093515</v>
      </c>
      <c r="Q519" s="59">
        <v>27535971</v>
      </c>
      <c r="R519" s="59">
        <v>28703817</v>
      </c>
      <c r="S519" s="64">
        <v>29721286</v>
      </c>
      <c r="AD519" s="57"/>
      <c r="AE519" s="57"/>
      <c r="AF519" s="57"/>
      <c r="AG519" s="57"/>
      <c r="AH519" s="57"/>
      <c r="AI519" s="57"/>
      <c r="AJ519" s="57"/>
      <c r="AK519" s="57"/>
      <c r="AL519" s="57"/>
      <c r="AM519" s="57"/>
      <c r="AN519" s="57"/>
      <c r="AO519" s="57"/>
    </row>
    <row r="520" spans="1:41">
      <c r="A520" s="55" t="s">
        <v>422</v>
      </c>
      <c r="B520" s="65" t="s">
        <v>326</v>
      </c>
      <c r="C520" s="75">
        <v>13689441</v>
      </c>
      <c r="D520" s="75">
        <v>14439101</v>
      </c>
      <c r="E520" s="75">
        <v>15407172</v>
      </c>
      <c r="F520" s="75">
        <v>16610367</v>
      </c>
      <c r="G520" s="75">
        <v>16776084</v>
      </c>
      <c r="H520" s="75">
        <v>16956958</v>
      </c>
      <c r="I520" s="75">
        <v>17785952</v>
      </c>
      <c r="J520" s="75">
        <v>19203320</v>
      </c>
      <c r="K520" s="75">
        <v>20875654</v>
      </c>
      <c r="L520" s="75">
        <v>22094344</v>
      </c>
      <c r="M520" s="75">
        <v>23204641</v>
      </c>
      <c r="N520" s="59">
        <v>23689781</v>
      </c>
      <c r="O520" s="59">
        <v>21425920</v>
      </c>
      <c r="P520" s="75">
        <v>22753957</v>
      </c>
      <c r="Q520" s="59">
        <v>24164137</v>
      </c>
      <c r="R520" s="59">
        <v>25289362</v>
      </c>
      <c r="S520" s="64">
        <v>26291589</v>
      </c>
      <c r="AD520" s="57"/>
      <c r="AE520" s="57"/>
      <c r="AF520" s="57"/>
      <c r="AG520" s="57"/>
      <c r="AH520" s="57"/>
      <c r="AI520" s="57"/>
      <c r="AJ520" s="57"/>
      <c r="AK520" s="57"/>
      <c r="AL520" s="57"/>
      <c r="AM520" s="57"/>
      <c r="AN520" s="57"/>
      <c r="AO520" s="57"/>
    </row>
    <row r="521" spans="1:41">
      <c r="A521" s="55" t="s">
        <v>422</v>
      </c>
      <c r="B521" s="65" t="s">
        <v>327</v>
      </c>
      <c r="C521" s="75">
        <v>257791</v>
      </c>
      <c r="D521" s="75">
        <v>249705</v>
      </c>
      <c r="E521" s="75">
        <v>245248</v>
      </c>
      <c r="F521" s="75">
        <v>243533</v>
      </c>
      <c r="G521" s="75">
        <v>251233</v>
      </c>
      <c r="H521" s="75">
        <v>241336</v>
      </c>
      <c r="I521" s="75">
        <v>268152</v>
      </c>
      <c r="J521" s="75">
        <v>307154</v>
      </c>
      <c r="K521" s="75">
        <v>299633</v>
      </c>
      <c r="L521" s="75">
        <v>303499</v>
      </c>
      <c r="M521" s="75">
        <v>346942</v>
      </c>
      <c r="N521" s="59">
        <v>380539</v>
      </c>
      <c r="O521" s="59">
        <v>341925</v>
      </c>
      <c r="P521" s="75">
        <v>372752</v>
      </c>
      <c r="Q521" s="59">
        <v>434661</v>
      </c>
      <c r="R521" s="59">
        <v>456333</v>
      </c>
      <c r="S521" s="64">
        <v>478334</v>
      </c>
      <c r="T521" s="63"/>
      <c r="AD521" s="57"/>
      <c r="AE521" s="57"/>
      <c r="AF521" s="57"/>
      <c r="AG521" s="57"/>
      <c r="AH521" s="57"/>
      <c r="AI521" s="57"/>
      <c r="AJ521" s="57"/>
      <c r="AK521" s="57"/>
      <c r="AL521" s="57"/>
      <c r="AM521" s="57"/>
      <c r="AN521" s="57"/>
      <c r="AO521" s="57"/>
    </row>
    <row r="522" spans="1:41">
      <c r="A522" s="55" t="s">
        <v>422</v>
      </c>
      <c r="B522" s="65" t="s">
        <v>328</v>
      </c>
      <c r="C522" s="75">
        <v>219380</v>
      </c>
      <c r="D522" s="75">
        <v>207822</v>
      </c>
      <c r="E522" s="75">
        <v>199949</v>
      </c>
      <c r="F522" s="75">
        <v>204316</v>
      </c>
      <c r="G522" s="75">
        <v>212335</v>
      </c>
      <c r="H522" s="75">
        <v>201897</v>
      </c>
      <c r="I522" s="75">
        <v>226838</v>
      </c>
      <c r="J522" s="75">
        <v>261822</v>
      </c>
      <c r="K522" s="75">
        <v>253020</v>
      </c>
      <c r="L522" s="75">
        <v>255760</v>
      </c>
      <c r="M522" s="75">
        <v>302485</v>
      </c>
      <c r="N522" s="59">
        <v>336096</v>
      </c>
      <c r="O522" s="59">
        <v>301172</v>
      </c>
      <c r="P522" s="75">
        <v>328247</v>
      </c>
      <c r="Q522" s="59">
        <v>386980</v>
      </c>
      <c r="R522" s="59">
        <v>405303</v>
      </c>
      <c r="S522" s="64">
        <v>426498</v>
      </c>
      <c r="T522" s="63"/>
      <c r="AD522" s="57"/>
      <c r="AE522" s="57"/>
      <c r="AF522" s="57"/>
      <c r="AG522" s="57"/>
      <c r="AH522" s="57"/>
      <c r="AI522" s="57"/>
      <c r="AJ522" s="57"/>
      <c r="AK522" s="57"/>
      <c r="AL522" s="57"/>
      <c r="AM522" s="57"/>
      <c r="AN522" s="57"/>
      <c r="AO522" s="57"/>
    </row>
    <row r="523" spans="1:41">
      <c r="A523" s="55" t="s">
        <v>422</v>
      </c>
      <c r="B523" s="65" t="s">
        <v>329</v>
      </c>
      <c r="C523" s="75">
        <v>38411</v>
      </c>
      <c r="D523" s="75">
        <v>41883</v>
      </c>
      <c r="E523" s="75">
        <v>45299</v>
      </c>
      <c r="F523" s="75">
        <v>39217</v>
      </c>
      <c r="G523" s="75">
        <v>38898</v>
      </c>
      <c r="H523" s="75">
        <v>39439</v>
      </c>
      <c r="I523" s="75">
        <v>41314</v>
      </c>
      <c r="J523" s="75">
        <v>45332</v>
      </c>
      <c r="K523" s="75">
        <v>46613</v>
      </c>
      <c r="L523" s="75">
        <v>47739</v>
      </c>
      <c r="M523" s="75">
        <v>44457</v>
      </c>
      <c r="N523" s="59">
        <v>44443</v>
      </c>
      <c r="O523" s="59">
        <v>40753</v>
      </c>
      <c r="P523" s="75">
        <v>44505</v>
      </c>
      <c r="Q523" s="59">
        <v>47681</v>
      </c>
      <c r="R523" s="59">
        <v>51030</v>
      </c>
      <c r="S523" s="64">
        <v>51836</v>
      </c>
      <c r="AD523" s="57"/>
      <c r="AE523" s="57"/>
      <c r="AF523" s="57"/>
      <c r="AG523" s="57"/>
      <c r="AH523" s="57"/>
      <c r="AI523" s="57"/>
      <c r="AJ523" s="57"/>
      <c r="AK523" s="57"/>
      <c r="AL523" s="57"/>
      <c r="AM523" s="57"/>
      <c r="AN523" s="57"/>
      <c r="AO523" s="57"/>
    </row>
    <row r="524" spans="1:41">
      <c r="A524" s="55" t="s">
        <v>422</v>
      </c>
      <c r="B524" s="65" t="s">
        <v>330</v>
      </c>
      <c r="C524" s="75">
        <v>174200</v>
      </c>
      <c r="D524" s="75">
        <v>149086</v>
      </c>
      <c r="E524" s="75">
        <v>153948</v>
      </c>
      <c r="F524" s="75">
        <v>216256</v>
      </c>
      <c r="G524" s="75">
        <v>224239</v>
      </c>
      <c r="H524" s="75">
        <v>193988</v>
      </c>
      <c r="I524" s="75">
        <v>250546</v>
      </c>
      <c r="J524" s="75">
        <v>297766</v>
      </c>
      <c r="K524" s="75">
        <v>391764</v>
      </c>
      <c r="L524" s="75">
        <v>439923</v>
      </c>
      <c r="M524" s="75">
        <v>471448</v>
      </c>
      <c r="N524" s="59">
        <v>592364</v>
      </c>
      <c r="O524" s="59">
        <v>380404</v>
      </c>
      <c r="P524" s="75">
        <v>463320</v>
      </c>
      <c r="Q524" s="59">
        <v>556072</v>
      </c>
      <c r="R524" s="59">
        <v>579181</v>
      </c>
      <c r="S524" s="64">
        <v>630638</v>
      </c>
      <c r="T524" s="63"/>
      <c r="AD524" s="57"/>
      <c r="AE524" s="57"/>
      <c r="AF524" s="57"/>
      <c r="AG524" s="57"/>
      <c r="AH524" s="57"/>
      <c r="AI524" s="57"/>
      <c r="AJ524" s="57"/>
      <c r="AK524" s="57"/>
      <c r="AL524" s="57"/>
      <c r="AM524" s="57"/>
      <c r="AN524" s="57"/>
      <c r="AO524" s="57"/>
    </row>
    <row r="525" spans="1:41">
      <c r="A525" s="55" t="s">
        <v>422</v>
      </c>
      <c r="B525" s="65" t="s">
        <v>331</v>
      </c>
      <c r="C525" s="75">
        <v>97795</v>
      </c>
      <c r="D525" s="75">
        <v>72100</v>
      </c>
      <c r="E525" s="75">
        <v>85102</v>
      </c>
      <c r="F525" s="75">
        <v>144879</v>
      </c>
      <c r="G525" s="75">
        <v>142654</v>
      </c>
      <c r="H525" s="75">
        <v>116895</v>
      </c>
      <c r="I525" s="75">
        <v>166221</v>
      </c>
      <c r="J525" s="75">
        <v>198869</v>
      </c>
      <c r="K525" s="75">
        <v>260625</v>
      </c>
      <c r="L525" s="75">
        <v>270999</v>
      </c>
      <c r="M525" s="75">
        <v>293640</v>
      </c>
      <c r="N525" s="59">
        <v>395361</v>
      </c>
      <c r="O525" s="59">
        <v>223643</v>
      </c>
      <c r="P525" s="75">
        <v>289670</v>
      </c>
      <c r="Q525" s="59">
        <v>343662</v>
      </c>
      <c r="R525" s="59">
        <v>348411</v>
      </c>
      <c r="S525" s="64">
        <v>399195</v>
      </c>
      <c r="T525" s="63"/>
      <c r="AD525" s="57"/>
      <c r="AE525" s="57"/>
      <c r="AF525" s="57"/>
      <c r="AG525" s="57"/>
      <c r="AH525" s="57"/>
      <c r="AI525" s="57"/>
      <c r="AJ525" s="57"/>
      <c r="AK525" s="57"/>
      <c r="AL525" s="57"/>
      <c r="AM525" s="57"/>
      <c r="AN525" s="57"/>
      <c r="AO525" s="57"/>
    </row>
    <row r="526" spans="1:41">
      <c r="A526" s="55" t="s">
        <v>422</v>
      </c>
      <c r="B526" s="65" t="s">
        <v>332</v>
      </c>
      <c r="C526" s="75">
        <v>55664</v>
      </c>
      <c r="D526" s="75">
        <v>54842</v>
      </c>
      <c r="E526" s="75">
        <v>52633</v>
      </c>
      <c r="F526" s="75">
        <v>54258</v>
      </c>
      <c r="G526" s="75">
        <v>54413</v>
      </c>
      <c r="H526" s="75">
        <v>54177</v>
      </c>
      <c r="I526" s="75">
        <v>56884</v>
      </c>
      <c r="J526" s="75">
        <v>67016</v>
      </c>
      <c r="K526" s="75">
        <v>83866</v>
      </c>
      <c r="L526" s="75">
        <v>99447</v>
      </c>
      <c r="M526" s="75">
        <v>103588</v>
      </c>
      <c r="N526" s="59">
        <v>116493</v>
      </c>
      <c r="O526" s="59">
        <v>104361</v>
      </c>
      <c r="P526" s="75">
        <v>114750</v>
      </c>
      <c r="Q526" s="59">
        <v>135872</v>
      </c>
      <c r="R526" s="59">
        <v>132753</v>
      </c>
      <c r="S526" s="64">
        <v>127962</v>
      </c>
      <c r="T526" s="63"/>
      <c r="AD526" s="57"/>
      <c r="AE526" s="57"/>
      <c r="AF526" s="57"/>
      <c r="AG526" s="57"/>
      <c r="AH526" s="57"/>
      <c r="AI526" s="57"/>
      <c r="AJ526" s="57"/>
      <c r="AK526" s="57"/>
      <c r="AL526" s="57"/>
      <c r="AM526" s="57"/>
      <c r="AN526" s="57"/>
      <c r="AO526" s="57"/>
    </row>
    <row r="527" spans="1:41">
      <c r="A527" s="55" t="s">
        <v>422</v>
      </c>
      <c r="B527" s="65" t="s">
        <v>333</v>
      </c>
      <c r="C527" s="75">
        <v>20741</v>
      </c>
      <c r="D527" s="75">
        <v>22144</v>
      </c>
      <c r="E527" s="75">
        <v>16213</v>
      </c>
      <c r="F527" s="75">
        <v>17119</v>
      </c>
      <c r="G527" s="75">
        <v>27173</v>
      </c>
      <c r="H527" s="75">
        <v>22916</v>
      </c>
      <c r="I527" s="75">
        <v>27441</v>
      </c>
      <c r="J527" s="75">
        <v>31880</v>
      </c>
      <c r="K527" s="75">
        <v>47273</v>
      </c>
      <c r="L527" s="75">
        <v>69477</v>
      </c>
      <c r="M527" s="75">
        <v>74220</v>
      </c>
      <c r="N527" s="59">
        <v>80511</v>
      </c>
      <c r="O527" s="59">
        <v>52400</v>
      </c>
      <c r="P527" s="75">
        <v>58900</v>
      </c>
      <c r="Q527" s="59">
        <v>76538</v>
      </c>
      <c r="R527" s="59">
        <v>98017</v>
      </c>
      <c r="S527" s="64">
        <v>103481</v>
      </c>
      <c r="AD527" s="57"/>
      <c r="AE527" s="57"/>
      <c r="AF527" s="57"/>
      <c r="AG527" s="57"/>
      <c r="AH527" s="57"/>
      <c r="AI527" s="57"/>
      <c r="AJ527" s="57"/>
      <c r="AK527" s="57"/>
      <c r="AL527" s="57"/>
      <c r="AM527" s="57"/>
      <c r="AN527" s="57"/>
      <c r="AO527" s="57"/>
    </row>
    <row r="528" spans="1:41">
      <c r="A528" s="55" t="s">
        <v>422</v>
      </c>
      <c r="B528" s="65" t="s">
        <v>334</v>
      </c>
      <c r="C528" s="75">
        <v>254220</v>
      </c>
      <c r="D528" s="75">
        <v>255767</v>
      </c>
      <c r="E528" s="75">
        <v>302586</v>
      </c>
      <c r="F528" s="75">
        <v>360714</v>
      </c>
      <c r="G528" s="75">
        <v>431995</v>
      </c>
      <c r="H528" s="75">
        <v>319037</v>
      </c>
      <c r="I528" s="75">
        <v>336340</v>
      </c>
      <c r="J528" s="75">
        <v>344513</v>
      </c>
      <c r="K528" s="75">
        <v>408203</v>
      </c>
      <c r="L528" s="75">
        <v>410126</v>
      </c>
      <c r="M528" s="75">
        <v>438229</v>
      </c>
      <c r="N528" s="59">
        <v>490407</v>
      </c>
      <c r="O528" s="59">
        <v>389256</v>
      </c>
      <c r="P528" s="75">
        <v>423450</v>
      </c>
      <c r="Q528" s="59">
        <v>400756</v>
      </c>
      <c r="R528" s="59">
        <v>366523</v>
      </c>
      <c r="S528" s="64">
        <v>386602</v>
      </c>
      <c r="AD528" s="57"/>
      <c r="AE528" s="57"/>
      <c r="AF528" s="57"/>
      <c r="AG528" s="57"/>
      <c r="AH528" s="57"/>
      <c r="AI528" s="57"/>
      <c r="AJ528" s="57"/>
      <c r="AK528" s="57"/>
      <c r="AL528" s="57"/>
      <c r="AM528" s="57"/>
      <c r="AN528" s="57"/>
      <c r="AO528" s="57"/>
    </row>
    <row r="529" spans="1:41">
      <c r="A529" s="55" t="s">
        <v>422</v>
      </c>
      <c r="B529" s="65" t="s">
        <v>335</v>
      </c>
      <c r="C529" s="75">
        <v>709588</v>
      </c>
      <c r="D529" s="75">
        <v>774521</v>
      </c>
      <c r="E529" s="75">
        <v>838442</v>
      </c>
      <c r="F529" s="75">
        <v>911799</v>
      </c>
      <c r="G529" s="75">
        <v>955177</v>
      </c>
      <c r="H529" s="75">
        <v>967927</v>
      </c>
      <c r="I529" s="75">
        <v>1035127</v>
      </c>
      <c r="J529" s="75">
        <v>1152484</v>
      </c>
      <c r="K529" s="75">
        <v>1280125</v>
      </c>
      <c r="L529" s="75">
        <v>1344998</v>
      </c>
      <c r="M529" s="75">
        <v>1329386</v>
      </c>
      <c r="N529" s="59">
        <v>1266018</v>
      </c>
      <c r="O529" s="59">
        <v>1090356</v>
      </c>
      <c r="P529" s="75">
        <v>1008294</v>
      </c>
      <c r="Q529" s="59">
        <v>1008558</v>
      </c>
      <c r="R529" s="59">
        <v>1070409</v>
      </c>
      <c r="S529" s="64">
        <v>1134867</v>
      </c>
      <c r="AD529" s="57"/>
      <c r="AE529" s="57"/>
      <c r="AF529" s="57"/>
      <c r="AG529" s="57"/>
      <c r="AH529" s="57"/>
      <c r="AI529" s="57"/>
      <c r="AJ529" s="57"/>
      <c r="AK529" s="57"/>
      <c r="AL529" s="57"/>
      <c r="AM529" s="57"/>
      <c r="AN529" s="57"/>
      <c r="AO529" s="57"/>
    </row>
    <row r="530" spans="1:41">
      <c r="A530" s="55" t="s">
        <v>422</v>
      </c>
      <c r="B530" s="65" t="s">
        <v>336</v>
      </c>
      <c r="C530" s="75">
        <v>3845991</v>
      </c>
      <c r="D530" s="75">
        <v>3913053</v>
      </c>
      <c r="E530" s="75">
        <v>4045574</v>
      </c>
      <c r="F530" s="75">
        <v>4225311</v>
      </c>
      <c r="G530" s="75">
        <v>4001400</v>
      </c>
      <c r="H530" s="75">
        <v>3939860</v>
      </c>
      <c r="I530" s="75">
        <v>4025815</v>
      </c>
      <c r="J530" s="75">
        <v>4336038</v>
      </c>
      <c r="K530" s="75">
        <v>4770895</v>
      </c>
      <c r="L530" s="75">
        <v>5052761</v>
      </c>
      <c r="M530" s="75">
        <v>5354412</v>
      </c>
      <c r="N530" s="59">
        <v>5457834</v>
      </c>
      <c r="O530" s="59">
        <v>4469325</v>
      </c>
      <c r="P530" s="75">
        <v>4992521</v>
      </c>
      <c r="Q530" s="59">
        <v>5581942</v>
      </c>
      <c r="R530" s="59">
        <v>5801423</v>
      </c>
      <c r="S530" s="64">
        <v>5940332</v>
      </c>
      <c r="AD530" s="57"/>
      <c r="AE530" s="57"/>
      <c r="AF530" s="57"/>
      <c r="AG530" s="57"/>
      <c r="AH530" s="57"/>
      <c r="AI530" s="57"/>
      <c r="AJ530" s="57"/>
      <c r="AK530" s="57"/>
      <c r="AL530" s="57"/>
      <c r="AM530" s="57"/>
      <c r="AN530" s="57"/>
      <c r="AO530" s="57"/>
    </row>
    <row r="531" spans="1:41">
      <c r="A531" s="55" t="s">
        <v>422</v>
      </c>
      <c r="B531" s="65" t="s">
        <v>337</v>
      </c>
      <c r="C531" s="75">
        <v>2159942</v>
      </c>
      <c r="D531" s="75">
        <v>2247661</v>
      </c>
      <c r="E531" s="75">
        <v>2333522</v>
      </c>
      <c r="F531" s="75">
        <v>2388394</v>
      </c>
      <c r="G531" s="75">
        <v>2204856</v>
      </c>
      <c r="H531" s="75">
        <v>2143732</v>
      </c>
      <c r="I531" s="75">
        <v>2157189</v>
      </c>
      <c r="J531" s="75">
        <v>2300195</v>
      </c>
      <c r="K531" s="75">
        <v>2474619</v>
      </c>
      <c r="L531" s="75">
        <v>2613520</v>
      </c>
      <c r="M531" s="75">
        <v>2736126</v>
      </c>
      <c r="N531" s="59">
        <v>2662389</v>
      </c>
      <c r="O531" s="59">
        <v>2118672</v>
      </c>
      <c r="P531" s="75">
        <v>2365928</v>
      </c>
      <c r="Q531" s="59">
        <v>2592421</v>
      </c>
      <c r="R531" s="59">
        <v>2779742</v>
      </c>
      <c r="S531" s="64">
        <v>2897472</v>
      </c>
      <c r="T531" s="63"/>
      <c r="AD531" s="57"/>
      <c r="AE531" s="57"/>
      <c r="AF531" s="57"/>
      <c r="AG531" s="57"/>
      <c r="AH531" s="57"/>
      <c r="AI531" s="57"/>
      <c r="AJ531" s="57"/>
      <c r="AK531" s="57"/>
      <c r="AL531" s="57"/>
      <c r="AM531" s="57"/>
      <c r="AN531" s="57"/>
      <c r="AO531" s="57"/>
    </row>
    <row r="532" spans="1:41">
      <c r="A532" s="55" t="s">
        <v>422</v>
      </c>
      <c r="B532" s="65" t="s">
        <v>338</v>
      </c>
      <c r="C532" s="75">
        <v>87625</v>
      </c>
      <c r="D532" s="75">
        <v>90894</v>
      </c>
      <c r="E532" s="75">
        <v>97265</v>
      </c>
      <c r="F532" s="75">
        <v>93161</v>
      </c>
      <c r="G532" s="75">
        <v>86378</v>
      </c>
      <c r="H532" s="75">
        <v>88753</v>
      </c>
      <c r="I532" s="75">
        <v>90967</v>
      </c>
      <c r="J532" s="75">
        <v>104335</v>
      </c>
      <c r="K532" s="75">
        <v>113055</v>
      </c>
      <c r="L532" s="75">
        <v>112861</v>
      </c>
      <c r="M532" s="75">
        <v>101086</v>
      </c>
      <c r="N532" s="59">
        <v>87521</v>
      </c>
      <c r="O532" s="59">
        <v>64442</v>
      </c>
      <c r="P532" s="75">
        <v>70261</v>
      </c>
      <c r="Q532" s="59">
        <v>70874</v>
      </c>
      <c r="R532" s="59">
        <v>76428</v>
      </c>
      <c r="S532" s="64">
        <v>87492</v>
      </c>
      <c r="T532" s="63"/>
      <c r="AD532" s="57"/>
      <c r="AE532" s="57"/>
      <c r="AF532" s="57"/>
      <c r="AG532" s="57"/>
      <c r="AH532" s="57"/>
      <c r="AI532" s="57"/>
      <c r="AJ532" s="57"/>
      <c r="AK532" s="57"/>
      <c r="AL532" s="57"/>
      <c r="AM532" s="57"/>
      <c r="AN532" s="57"/>
      <c r="AO532" s="57"/>
    </row>
    <row r="533" spans="1:41">
      <c r="A533" s="55" t="s">
        <v>422</v>
      </c>
      <c r="B533" s="65" t="s">
        <v>339</v>
      </c>
      <c r="C533" s="75">
        <v>84856</v>
      </c>
      <c r="D533" s="75">
        <v>90862</v>
      </c>
      <c r="E533" s="75">
        <v>94525</v>
      </c>
      <c r="F533" s="75">
        <v>95841</v>
      </c>
      <c r="G533" s="75">
        <v>93363</v>
      </c>
      <c r="H533" s="75">
        <v>94310</v>
      </c>
      <c r="I533" s="75">
        <v>95585</v>
      </c>
      <c r="J533" s="75">
        <v>101526</v>
      </c>
      <c r="K533" s="75">
        <v>112279</v>
      </c>
      <c r="L533" s="75">
        <v>124861</v>
      </c>
      <c r="M533" s="75">
        <v>126706</v>
      </c>
      <c r="N533" s="59">
        <v>113464</v>
      </c>
      <c r="O533" s="59">
        <v>88932</v>
      </c>
      <c r="P533" s="75">
        <v>90787</v>
      </c>
      <c r="Q533" s="59">
        <v>92372</v>
      </c>
      <c r="R533" s="59">
        <v>96264</v>
      </c>
      <c r="S533" s="64">
        <v>100980</v>
      </c>
      <c r="T533" s="63"/>
      <c r="AD533" s="57"/>
      <c r="AE533" s="57"/>
      <c r="AF533" s="57"/>
      <c r="AG533" s="57"/>
      <c r="AH533" s="57"/>
      <c r="AI533" s="57"/>
      <c r="AJ533" s="57"/>
      <c r="AK533" s="57"/>
      <c r="AL533" s="57"/>
      <c r="AM533" s="57"/>
      <c r="AN533" s="57"/>
      <c r="AO533" s="57"/>
    </row>
    <row r="534" spans="1:41">
      <c r="A534" s="55" t="s">
        <v>422</v>
      </c>
      <c r="B534" s="65" t="s">
        <v>340</v>
      </c>
      <c r="C534" s="75">
        <v>166975</v>
      </c>
      <c r="D534" s="75">
        <v>165318</v>
      </c>
      <c r="E534" s="75">
        <v>155546</v>
      </c>
      <c r="F534" s="75">
        <v>154726</v>
      </c>
      <c r="G534" s="75">
        <v>135964</v>
      </c>
      <c r="H534" s="75">
        <v>138514</v>
      </c>
      <c r="I534" s="75">
        <v>136826</v>
      </c>
      <c r="J534" s="75">
        <v>181178</v>
      </c>
      <c r="K534" s="75">
        <v>201831</v>
      </c>
      <c r="L534" s="75">
        <v>232465</v>
      </c>
      <c r="M534" s="75">
        <v>255547</v>
      </c>
      <c r="N534" s="59">
        <v>279553</v>
      </c>
      <c r="O534" s="59">
        <v>165987</v>
      </c>
      <c r="P534" s="75">
        <v>234132</v>
      </c>
      <c r="Q534" s="59">
        <v>279873</v>
      </c>
      <c r="R534" s="59">
        <v>297669</v>
      </c>
      <c r="S534" s="64">
        <v>299426</v>
      </c>
      <c r="T534" s="63"/>
      <c r="AD534" s="57"/>
      <c r="AE534" s="57"/>
      <c r="AF534" s="57"/>
      <c r="AG534" s="57"/>
      <c r="AH534" s="57"/>
      <c r="AI534" s="57"/>
      <c r="AJ534" s="57"/>
      <c r="AK534" s="57"/>
      <c r="AL534" s="57"/>
      <c r="AM534" s="57"/>
      <c r="AN534" s="57"/>
      <c r="AO534" s="57"/>
    </row>
    <row r="535" spans="1:41">
      <c r="A535" s="55" t="s">
        <v>422</v>
      </c>
      <c r="B535" s="65" t="s">
        <v>341</v>
      </c>
      <c r="C535" s="75">
        <v>241616</v>
      </c>
      <c r="D535" s="75">
        <v>252330</v>
      </c>
      <c r="E535" s="75">
        <v>255331</v>
      </c>
      <c r="F535" s="75">
        <v>266786</v>
      </c>
      <c r="G535" s="75">
        <v>250786</v>
      </c>
      <c r="H535" s="75">
        <v>245708</v>
      </c>
      <c r="I535" s="75">
        <v>243114</v>
      </c>
      <c r="J535" s="75">
        <v>259222</v>
      </c>
      <c r="K535" s="75">
        <v>286931</v>
      </c>
      <c r="L535" s="75">
        <v>315507</v>
      </c>
      <c r="M535" s="75">
        <v>341056</v>
      </c>
      <c r="N535" s="59">
        <v>356731</v>
      </c>
      <c r="O535" s="59">
        <v>280395</v>
      </c>
      <c r="P535" s="75">
        <v>295006</v>
      </c>
      <c r="Q535" s="59">
        <v>328113</v>
      </c>
      <c r="R535" s="59">
        <v>344682</v>
      </c>
      <c r="S535" s="64">
        <v>346535</v>
      </c>
      <c r="T535" s="63"/>
      <c r="AD535" s="57"/>
      <c r="AE535" s="57"/>
      <c r="AF535" s="57"/>
      <c r="AG535" s="57"/>
      <c r="AH535" s="57"/>
      <c r="AI535" s="57"/>
      <c r="AJ535" s="57"/>
      <c r="AK535" s="57"/>
      <c r="AL535" s="57"/>
      <c r="AM535" s="57"/>
      <c r="AN535" s="57"/>
      <c r="AO535" s="57"/>
    </row>
    <row r="536" spans="1:41">
      <c r="A536" s="55" t="s">
        <v>422</v>
      </c>
      <c r="B536" s="65" t="s">
        <v>342</v>
      </c>
      <c r="C536" s="75">
        <v>268012</v>
      </c>
      <c r="D536" s="75">
        <v>276965</v>
      </c>
      <c r="E536" s="75">
        <v>274843</v>
      </c>
      <c r="F536" s="75">
        <v>291805</v>
      </c>
      <c r="G536" s="75">
        <v>262116</v>
      </c>
      <c r="H536" s="75">
        <v>249433</v>
      </c>
      <c r="I536" s="75">
        <v>253339</v>
      </c>
      <c r="J536" s="75">
        <v>268338</v>
      </c>
      <c r="K536" s="75">
        <v>300724</v>
      </c>
      <c r="L536" s="75">
        <v>324992</v>
      </c>
      <c r="M536" s="75">
        <v>344743</v>
      </c>
      <c r="N536" s="59">
        <v>351692</v>
      </c>
      <c r="O536" s="59">
        <v>284429</v>
      </c>
      <c r="P536" s="75">
        <v>316064</v>
      </c>
      <c r="Q536" s="59">
        <v>365584</v>
      </c>
      <c r="R536" s="59">
        <v>403140</v>
      </c>
      <c r="S536" s="64">
        <v>414330</v>
      </c>
      <c r="T536" s="63"/>
      <c r="AD536" s="57"/>
      <c r="AE536" s="57"/>
      <c r="AF536" s="57"/>
      <c r="AG536" s="57"/>
      <c r="AH536" s="57"/>
      <c r="AI536" s="57"/>
      <c r="AJ536" s="57"/>
      <c r="AK536" s="57"/>
      <c r="AL536" s="57"/>
      <c r="AM536" s="57"/>
      <c r="AN536" s="57"/>
      <c r="AO536" s="57"/>
    </row>
    <row r="537" spans="1:41">
      <c r="A537" s="55" t="s">
        <v>422</v>
      </c>
      <c r="B537" s="65" t="s">
        <v>343</v>
      </c>
      <c r="C537" s="75">
        <v>451047</v>
      </c>
      <c r="D537" s="75">
        <v>450209</v>
      </c>
      <c r="E537" s="75">
        <v>475924</v>
      </c>
      <c r="F537" s="75">
        <v>527883</v>
      </c>
      <c r="G537" s="75">
        <v>445237</v>
      </c>
      <c r="H537" s="75">
        <v>377190</v>
      </c>
      <c r="I537" s="75">
        <v>377927</v>
      </c>
      <c r="J537" s="75">
        <v>391639</v>
      </c>
      <c r="K537" s="75">
        <v>398367</v>
      </c>
      <c r="L537" s="75">
        <v>412762</v>
      </c>
      <c r="M537" s="75">
        <v>431070</v>
      </c>
      <c r="N537" s="59">
        <v>419654</v>
      </c>
      <c r="O537" s="59">
        <v>353430</v>
      </c>
      <c r="P537" s="75">
        <v>368702</v>
      </c>
      <c r="Q537" s="59">
        <v>376347</v>
      </c>
      <c r="R537" s="59">
        <v>368116</v>
      </c>
      <c r="S537" s="64">
        <v>364861</v>
      </c>
      <c r="T537" s="63"/>
      <c r="AD537" s="57"/>
      <c r="AE537" s="57"/>
      <c r="AF537" s="57"/>
      <c r="AG537" s="57"/>
      <c r="AH537" s="57"/>
      <c r="AI537" s="57"/>
      <c r="AJ537" s="57"/>
      <c r="AK537" s="57"/>
      <c r="AL537" s="57"/>
      <c r="AM537" s="57"/>
      <c r="AN537" s="57"/>
      <c r="AO537" s="57"/>
    </row>
    <row r="538" spans="1:41">
      <c r="A538" s="55" t="s">
        <v>422</v>
      </c>
      <c r="B538" s="65" t="s">
        <v>344</v>
      </c>
      <c r="C538" s="75">
        <v>110818</v>
      </c>
      <c r="D538" s="75">
        <v>114521</v>
      </c>
      <c r="E538" s="75">
        <v>115927</v>
      </c>
      <c r="F538" s="75">
        <v>122572</v>
      </c>
      <c r="G538" s="75">
        <v>110052</v>
      </c>
      <c r="H538" s="75">
        <v>100532</v>
      </c>
      <c r="I538" s="75">
        <v>98046</v>
      </c>
      <c r="J538" s="75">
        <v>102732</v>
      </c>
      <c r="K538" s="75">
        <v>109172</v>
      </c>
      <c r="L538" s="75">
        <v>117185</v>
      </c>
      <c r="M538" s="75">
        <v>126542</v>
      </c>
      <c r="N538" s="59">
        <v>126439</v>
      </c>
      <c r="O538" s="59">
        <v>101848</v>
      </c>
      <c r="P538" s="75">
        <v>108328</v>
      </c>
      <c r="Q538" s="59">
        <v>116768</v>
      </c>
      <c r="R538" s="59">
        <v>118655</v>
      </c>
      <c r="S538" s="64">
        <v>119625</v>
      </c>
      <c r="T538" s="63"/>
      <c r="AD538" s="57"/>
      <c r="AE538" s="57"/>
      <c r="AF538" s="57"/>
      <c r="AG538" s="57"/>
      <c r="AH538" s="57"/>
      <c r="AI538" s="57"/>
      <c r="AJ538" s="57"/>
      <c r="AK538" s="57"/>
      <c r="AL538" s="57"/>
      <c r="AM538" s="57"/>
      <c r="AN538" s="57"/>
      <c r="AO538" s="57"/>
    </row>
    <row r="539" spans="1:41">
      <c r="A539" s="55" t="s">
        <v>422</v>
      </c>
      <c r="B539" s="65" t="s">
        <v>345</v>
      </c>
      <c r="C539" s="75">
        <v>428883</v>
      </c>
      <c r="D539" s="75">
        <v>446649</v>
      </c>
      <c r="E539" s="75">
        <v>502395</v>
      </c>
      <c r="F539" s="75">
        <v>482142</v>
      </c>
      <c r="G539" s="75">
        <v>455333</v>
      </c>
      <c r="H539" s="75">
        <v>478393</v>
      </c>
      <c r="I539" s="75">
        <v>489538</v>
      </c>
      <c r="J539" s="75">
        <v>509374</v>
      </c>
      <c r="K539" s="75">
        <v>523799</v>
      </c>
      <c r="L539" s="75">
        <v>524456</v>
      </c>
      <c r="M539" s="75">
        <v>513353</v>
      </c>
      <c r="N539" s="59">
        <v>421143</v>
      </c>
      <c r="O539" s="59">
        <v>320009</v>
      </c>
      <c r="P539" s="75">
        <v>422670</v>
      </c>
      <c r="Q539" s="59">
        <v>488824</v>
      </c>
      <c r="R539" s="59">
        <v>540931</v>
      </c>
      <c r="S539" s="64">
        <v>600875</v>
      </c>
      <c r="T539" s="63"/>
      <c r="AD539" s="57"/>
      <c r="AE539" s="57"/>
      <c r="AF539" s="57"/>
      <c r="AG539" s="57"/>
      <c r="AH539" s="57"/>
      <c r="AI539" s="57"/>
      <c r="AJ539" s="57"/>
      <c r="AK539" s="57"/>
      <c r="AL539" s="57"/>
      <c r="AM539" s="57"/>
      <c r="AN539" s="57"/>
      <c r="AO539" s="57"/>
    </row>
    <row r="540" spans="1:41">
      <c r="A540" s="55" t="s">
        <v>422</v>
      </c>
      <c r="B540" s="65" t="s">
        <v>346</v>
      </c>
      <c r="C540" s="75">
        <v>156066</v>
      </c>
      <c r="D540" s="75">
        <v>184639</v>
      </c>
      <c r="E540" s="75">
        <v>180632</v>
      </c>
      <c r="F540" s="75">
        <v>162215</v>
      </c>
      <c r="G540" s="75">
        <v>180253</v>
      </c>
      <c r="H540" s="75">
        <v>172973</v>
      </c>
      <c r="I540" s="75">
        <v>169944</v>
      </c>
      <c r="J540" s="75">
        <v>174913</v>
      </c>
      <c r="K540" s="75">
        <v>201643</v>
      </c>
      <c r="L540" s="75">
        <v>212753</v>
      </c>
      <c r="M540" s="75">
        <v>261264</v>
      </c>
      <c r="N540" s="59">
        <v>270702</v>
      </c>
      <c r="O540" s="59">
        <v>250092</v>
      </c>
      <c r="P540" s="75">
        <v>248092</v>
      </c>
      <c r="Q540" s="59">
        <v>256402</v>
      </c>
      <c r="R540" s="59">
        <v>303142</v>
      </c>
      <c r="S540" s="64">
        <v>325036</v>
      </c>
      <c r="T540" s="63"/>
      <c r="AD540" s="57"/>
      <c r="AE540" s="57"/>
      <c r="AF540" s="57"/>
      <c r="AG540" s="57"/>
      <c r="AH540" s="57"/>
      <c r="AI540" s="57"/>
      <c r="AJ540" s="57"/>
      <c r="AK540" s="57"/>
      <c r="AL540" s="57"/>
      <c r="AM540" s="57"/>
      <c r="AN540" s="57"/>
      <c r="AO540" s="57"/>
    </row>
    <row r="541" spans="1:41">
      <c r="A541" s="55" t="s">
        <v>422</v>
      </c>
      <c r="B541" s="65" t="s">
        <v>347</v>
      </c>
      <c r="C541" s="75">
        <v>64166</v>
      </c>
      <c r="D541" s="75">
        <v>69616</v>
      </c>
      <c r="E541" s="75">
        <v>72598</v>
      </c>
      <c r="F541" s="75">
        <v>74899</v>
      </c>
      <c r="G541" s="75">
        <v>71430</v>
      </c>
      <c r="H541" s="75">
        <v>75701</v>
      </c>
      <c r="I541" s="75">
        <v>74676</v>
      </c>
      <c r="J541" s="75">
        <v>78052</v>
      </c>
      <c r="K541" s="75">
        <v>84052</v>
      </c>
      <c r="L541" s="75">
        <v>85302</v>
      </c>
      <c r="M541" s="75">
        <v>82917</v>
      </c>
      <c r="N541" s="59">
        <v>77196</v>
      </c>
      <c r="O541" s="59">
        <v>59749</v>
      </c>
      <c r="P541" s="75">
        <v>57571</v>
      </c>
      <c r="Q541" s="59">
        <v>60373</v>
      </c>
      <c r="R541" s="59">
        <v>63964</v>
      </c>
      <c r="S541" s="64">
        <v>66266</v>
      </c>
      <c r="T541" s="63"/>
      <c r="AD541" s="57"/>
      <c r="AE541" s="57"/>
      <c r="AF541" s="57"/>
      <c r="AG541" s="57"/>
      <c r="AH541" s="57"/>
      <c r="AI541" s="57"/>
      <c r="AJ541" s="57"/>
      <c r="AK541" s="57"/>
      <c r="AL541" s="57"/>
      <c r="AM541" s="57"/>
      <c r="AN541" s="57"/>
      <c r="AO541" s="57"/>
    </row>
    <row r="542" spans="1:41">
      <c r="A542" s="55" t="s">
        <v>422</v>
      </c>
      <c r="B542" s="65" t="s">
        <v>348</v>
      </c>
      <c r="C542" s="75">
        <v>99877</v>
      </c>
      <c r="D542" s="75">
        <v>105658</v>
      </c>
      <c r="E542" s="75">
        <v>108536</v>
      </c>
      <c r="F542" s="75">
        <v>116363</v>
      </c>
      <c r="G542" s="75">
        <v>113943</v>
      </c>
      <c r="H542" s="75">
        <v>122224</v>
      </c>
      <c r="I542" s="75">
        <v>127227</v>
      </c>
      <c r="J542" s="75">
        <v>128885</v>
      </c>
      <c r="K542" s="75">
        <v>142768</v>
      </c>
      <c r="L542" s="75">
        <v>150376</v>
      </c>
      <c r="M542" s="75">
        <v>151842</v>
      </c>
      <c r="N542" s="59">
        <v>158294</v>
      </c>
      <c r="O542" s="59">
        <v>149360</v>
      </c>
      <c r="P542" s="75">
        <v>154316</v>
      </c>
      <c r="Q542" s="59">
        <v>156893</v>
      </c>
      <c r="R542" s="59">
        <v>166750</v>
      </c>
      <c r="S542" s="64">
        <v>172047</v>
      </c>
      <c r="AD542" s="57"/>
      <c r="AE542" s="57"/>
      <c r="AF542" s="57"/>
      <c r="AG542" s="57"/>
      <c r="AH542" s="57"/>
      <c r="AI542" s="57"/>
      <c r="AJ542" s="57"/>
      <c r="AK542" s="57"/>
      <c r="AL542" s="57"/>
      <c r="AM542" s="57"/>
      <c r="AN542" s="57"/>
      <c r="AO542" s="57"/>
    </row>
    <row r="543" spans="1:41">
      <c r="A543" s="55" t="s">
        <v>422</v>
      </c>
      <c r="B543" s="65" t="s">
        <v>349</v>
      </c>
      <c r="C543" s="75">
        <v>1686049</v>
      </c>
      <c r="D543" s="75">
        <v>1665392</v>
      </c>
      <c r="E543" s="75">
        <v>1712052</v>
      </c>
      <c r="F543" s="75">
        <v>1836917</v>
      </c>
      <c r="G543" s="75">
        <v>1796544</v>
      </c>
      <c r="H543" s="75">
        <v>1796128</v>
      </c>
      <c r="I543" s="75">
        <v>1868626</v>
      </c>
      <c r="J543" s="75">
        <v>2035842</v>
      </c>
      <c r="K543" s="75">
        <v>2296276</v>
      </c>
      <c r="L543" s="75">
        <v>2439241</v>
      </c>
      <c r="M543" s="75">
        <v>2618285</v>
      </c>
      <c r="N543" s="59">
        <v>2795444</v>
      </c>
      <c r="O543" s="59">
        <v>2350653</v>
      </c>
      <c r="P543" s="75">
        <v>2626593</v>
      </c>
      <c r="Q543" s="59">
        <v>2989521</v>
      </c>
      <c r="R543" s="59">
        <v>3021681</v>
      </c>
      <c r="S543" s="64">
        <v>3042860</v>
      </c>
      <c r="AD543" s="57"/>
      <c r="AE543" s="57"/>
      <c r="AF543" s="57"/>
      <c r="AG543" s="57"/>
      <c r="AH543" s="57"/>
      <c r="AI543" s="57"/>
      <c r="AJ543" s="57"/>
      <c r="AK543" s="57"/>
      <c r="AL543" s="57"/>
      <c r="AM543" s="57"/>
      <c r="AN543" s="57"/>
      <c r="AO543" s="57"/>
    </row>
    <row r="544" spans="1:41">
      <c r="A544" s="55" t="s">
        <v>422</v>
      </c>
      <c r="B544" s="65" t="s">
        <v>350</v>
      </c>
      <c r="C544" s="75">
        <v>519740</v>
      </c>
      <c r="D544" s="75">
        <v>529871</v>
      </c>
      <c r="E544" s="75">
        <v>534927</v>
      </c>
      <c r="F544" s="75">
        <v>552124</v>
      </c>
      <c r="G544" s="75">
        <v>574392</v>
      </c>
      <c r="H544" s="75">
        <v>565014</v>
      </c>
      <c r="I544" s="75">
        <v>598483</v>
      </c>
      <c r="J544" s="75">
        <v>626912</v>
      </c>
      <c r="K544" s="75">
        <v>659527</v>
      </c>
      <c r="L544" s="75">
        <v>664720</v>
      </c>
      <c r="M544" s="75">
        <v>715590</v>
      </c>
      <c r="N544" s="59">
        <v>775486</v>
      </c>
      <c r="O544" s="59">
        <v>774856</v>
      </c>
      <c r="P544" s="75">
        <v>804260</v>
      </c>
      <c r="Q544" s="59">
        <v>866829</v>
      </c>
      <c r="R544" s="59">
        <v>890195</v>
      </c>
      <c r="S544" s="64">
        <v>910558</v>
      </c>
      <c r="T544" s="63"/>
      <c r="AD544" s="57"/>
      <c r="AE544" s="57"/>
      <c r="AF544" s="57"/>
      <c r="AG544" s="57"/>
      <c r="AH544" s="57"/>
      <c r="AI544" s="57"/>
      <c r="AJ544" s="57"/>
      <c r="AK544" s="57"/>
      <c r="AL544" s="57"/>
      <c r="AM544" s="57"/>
      <c r="AN544" s="57"/>
      <c r="AO544" s="57"/>
    </row>
    <row r="545" spans="1:41">
      <c r="A545" s="55" t="s">
        <v>422</v>
      </c>
      <c r="B545" s="65" t="s">
        <v>351</v>
      </c>
      <c r="C545" s="75">
        <v>89760</v>
      </c>
      <c r="D545" s="75">
        <v>88547</v>
      </c>
      <c r="E545" s="75">
        <v>87097</v>
      </c>
      <c r="F545" s="75">
        <v>85284</v>
      </c>
      <c r="G545" s="75">
        <v>77219</v>
      </c>
      <c r="H545" s="75">
        <v>75901</v>
      </c>
      <c r="I545" s="75">
        <v>72876</v>
      </c>
      <c r="J545" s="75">
        <v>73049</v>
      </c>
      <c r="K545" s="75">
        <v>76255</v>
      </c>
      <c r="L545" s="75">
        <v>70977</v>
      </c>
      <c r="M545" s="75">
        <v>63069</v>
      </c>
      <c r="N545" s="59">
        <v>57369</v>
      </c>
      <c r="O545" s="59">
        <v>46120</v>
      </c>
      <c r="P545" s="75">
        <v>49872</v>
      </c>
      <c r="Q545" s="59">
        <v>52438</v>
      </c>
      <c r="R545" s="59">
        <v>54371</v>
      </c>
      <c r="S545" s="64">
        <v>55904</v>
      </c>
      <c r="T545" s="63"/>
      <c r="AD545" s="57"/>
      <c r="AE545" s="57"/>
      <c r="AF545" s="57"/>
      <c r="AG545" s="57"/>
      <c r="AH545" s="57"/>
      <c r="AI545" s="57"/>
      <c r="AJ545" s="57"/>
      <c r="AK545" s="57"/>
      <c r="AL545" s="57"/>
      <c r="AM545" s="57"/>
      <c r="AN545" s="57"/>
      <c r="AO545" s="57"/>
    </row>
    <row r="546" spans="1:41">
      <c r="A546" s="55" t="s">
        <v>422</v>
      </c>
      <c r="B546" s="65" t="s">
        <v>352</v>
      </c>
      <c r="C546" s="75">
        <v>81007</v>
      </c>
      <c r="D546" s="75">
        <v>73612</v>
      </c>
      <c r="E546" s="75">
        <v>71127</v>
      </c>
      <c r="F546" s="75">
        <v>67809</v>
      </c>
      <c r="G546" s="75">
        <v>57176</v>
      </c>
      <c r="H546" s="75">
        <v>49592</v>
      </c>
      <c r="I546" s="75">
        <v>43602</v>
      </c>
      <c r="J546" s="75">
        <v>37936</v>
      </c>
      <c r="K546" s="75">
        <v>36759</v>
      </c>
      <c r="L546" s="75">
        <v>34542</v>
      </c>
      <c r="M546" s="75">
        <v>26692</v>
      </c>
      <c r="N546" s="59">
        <v>21651</v>
      </c>
      <c r="O546" s="59">
        <v>17739</v>
      </c>
      <c r="P546" s="75">
        <v>18603</v>
      </c>
      <c r="Q546" s="59">
        <v>25751</v>
      </c>
      <c r="R546" s="59">
        <v>33303</v>
      </c>
      <c r="S546" s="64">
        <v>29719</v>
      </c>
      <c r="T546" s="63"/>
      <c r="AD546" s="57"/>
      <c r="AE546" s="57"/>
      <c r="AF546" s="57"/>
      <c r="AG546" s="57"/>
      <c r="AH546" s="57"/>
      <c r="AI546" s="57"/>
      <c r="AJ546" s="57"/>
      <c r="AK546" s="57"/>
      <c r="AL546" s="57"/>
      <c r="AM546" s="57"/>
      <c r="AN546" s="57"/>
      <c r="AO546" s="57"/>
    </row>
    <row r="547" spans="1:41">
      <c r="A547" s="55" t="s">
        <v>422</v>
      </c>
      <c r="B547" s="65" t="s">
        <v>353</v>
      </c>
      <c r="C547" s="75">
        <v>148968</v>
      </c>
      <c r="D547" s="75">
        <v>153000</v>
      </c>
      <c r="E547" s="75">
        <v>155454</v>
      </c>
      <c r="F547" s="75">
        <v>163590</v>
      </c>
      <c r="G547" s="75">
        <v>154849</v>
      </c>
      <c r="H547" s="75">
        <v>152285</v>
      </c>
      <c r="I547" s="75">
        <v>148743</v>
      </c>
      <c r="J547" s="75">
        <v>152892</v>
      </c>
      <c r="K547" s="75">
        <v>159920</v>
      </c>
      <c r="L547" s="75">
        <v>167444</v>
      </c>
      <c r="M547" s="75">
        <v>174063</v>
      </c>
      <c r="N547" s="59">
        <v>177053</v>
      </c>
      <c r="O547" s="59">
        <v>160007</v>
      </c>
      <c r="P547" s="75">
        <v>168730</v>
      </c>
      <c r="Q547" s="59">
        <v>174553</v>
      </c>
      <c r="R547" s="59">
        <v>172471</v>
      </c>
      <c r="S547" s="64">
        <v>170116</v>
      </c>
      <c r="T547" s="63"/>
      <c r="AD547" s="57"/>
      <c r="AE547" s="57"/>
      <c r="AF547" s="57"/>
      <c r="AG547" s="57"/>
      <c r="AH547" s="57"/>
      <c r="AI547" s="57"/>
      <c r="AJ547" s="57"/>
      <c r="AK547" s="57"/>
      <c r="AL547" s="57"/>
      <c r="AM547" s="57"/>
      <c r="AN547" s="57"/>
      <c r="AO547" s="57"/>
    </row>
    <row r="548" spans="1:41">
      <c r="A548" s="55" t="s">
        <v>422</v>
      </c>
      <c r="B548" s="65" t="s">
        <v>354</v>
      </c>
      <c r="C548" s="75">
        <v>98025</v>
      </c>
      <c r="D548" s="75">
        <v>101635</v>
      </c>
      <c r="E548" s="75">
        <v>104320</v>
      </c>
      <c r="F548" s="75">
        <v>107642</v>
      </c>
      <c r="G548" s="75">
        <v>104629</v>
      </c>
      <c r="H548" s="75">
        <v>99804</v>
      </c>
      <c r="I548" s="75">
        <v>95723</v>
      </c>
      <c r="J548" s="75">
        <v>96335</v>
      </c>
      <c r="K548" s="75">
        <v>98944</v>
      </c>
      <c r="L548" s="75">
        <v>100978</v>
      </c>
      <c r="M548" s="75">
        <v>103882</v>
      </c>
      <c r="N548" s="59">
        <v>99255</v>
      </c>
      <c r="O548" s="59">
        <v>83757</v>
      </c>
      <c r="P548" s="75">
        <v>83499</v>
      </c>
      <c r="Q548" s="59">
        <v>83551</v>
      </c>
      <c r="R548" s="59">
        <v>81172</v>
      </c>
      <c r="S548" s="64">
        <v>79213</v>
      </c>
      <c r="T548" s="63"/>
      <c r="AD548" s="57"/>
      <c r="AE548" s="57"/>
      <c r="AF548" s="57"/>
      <c r="AG548" s="57"/>
      <c r="AH548" s="57"/>
      <c r="AI548" s="57"/>
      <c r="AJ548" s="57"/>
      <c r="AK548" s="57"/>
      <c r="AL548" s="57"/>
      <c r="AM548" s="57"/>
      <c r="AN548" s="57"/>
      <c r="AO548" s="57"/>
    </row>
    <row r="549" spans="1:41">
      <c r="A549" s="55" t="s">
        <v>422</v>
      </c>
      <c r="B549" s="65" t="s">
        <v>355</v>
      </c>
      <c r="C549" s="75">
        <v>175287</v>
      </c>
      <c r="D549" s="75">
        <v>135292</v>
      </c>
      <c r="E549" s="75">
        <v>159020</v>
      </c>
      <c r="F549" s="75">
        <v>230706</v>
      </c>
      <c r="G549" s="75">
        <v>215786</v>
      </c>
      <c r="H549" s="75">
        <v>211577</v>
      </c>
      <c r="I549" s="75">
        <v>243797</v>
      </c>
      <c r="J549" s="75">
        <v>322190</v>
      </c>
      <c r="K549" s="75">
        <v>458381</v>
      </c>
      <c r="L549" s="75">
        <v>533461</v>
      </c>
      <c r="M549" s="75">
        <v>602035</v>
      </c>
      <c r="N549" s="59">
        <v>731606</v>
      </c>
      <c r="O549" s="59">
        <v>479356</v>
      </c>
      <c r="P549" s="75">
        <v>601691</v>
      </c>
      <c r="Q549" s="59">
        <v>807603</v>
      </c>
      <c r="R549" s="59">
        <v>813490</v>
      </c>
      <c r="S549" s="64">
        <v>795636</v>
      </c>
      <c r="T549" s="63"/>
      <c r="AD549" s="57"/>
      <c r="AE549" s="57"/>
      <c r="AF549" s="57"/>
      <c r="AG549" s="57"/>
      <c r="AH549" s="57"/>
      <c r="AI549" s="57"/>
      <c r="AJ549" s="57"/>
      <c r="AK549" s="57"/>
      <c r="AL549" s="57"/>
      <c r="AM549" s="57"/>
      <c r="AN549" s="57"/>
      <c r="AO549" s="57"/>
    </row>
    <row r="550" spans="1:41">
      <c r="A550" s="55" t="s">
        <v>422</v>
      </c>
      <c r="B550" s="65" t="s">
        <v>356</v>
      </c>
      <c r="C550" s="75">
        <v>414950</v>
      </c>
      <c r="D550" s="75">
        <v>420402</v>
      </c>
      <c r="E550" s="75">
        <v>428550</v>
      </c>
      <c r="F550" s="75">
        <v>452737</v>
      </c>
      <c r="G550" s="75">
        <v>443299</v>
      </c>
      <c r="H550" s="75">
        <v>469686</v>
      </c>
      <c r="I550" s="75">
        <v>490309</v>
      </c>
      <c r="J550" s="75">
        <v>544872</v>
      </c>
      <c r="K550" s="75">
        <v>609540</v>
      </c>
      <c r="L550" s="75">
        <v>658662</v>
      </c>
      <c r="M550" s="75">
        <v>727687</v>
      </c>
      <c r="N550" s="59">
        <v>735610</v>
      </c>
      <c r="O550" s="59">
        <v>622647</v>
      </c>
      <c r="P550" s="75">
        <v>714857</v>
      </c>
      <c r="Q550" s="59">
        <v>779669</v>
      </c>
      <c r="R550" s="59">
        <v>766842</v>
      </c>
      <c r="S550" s="64">
        <v>784408</v>
      </c>
      <c r="T550" s="63"/>
      <c r="AD550" s="57"/>
      <c r="AE550" s="57"/>
      <c r="AF550" s="57"/>
      <c r="AG550" s="57"/>
      <c r="AH550" s="57"/>
      <c r="AI550" s="57"/>
      <c r="AJ550" s="57"/>
      <c r="AK550" s="57"/>
      <c r="AL550" s="57"/>
      <c r="AM550" s="57"/>
      <c r="AN550" s="57"/>
      <c r="AO550" s="57"/>
    </row>
    <row r="551" spans="1:41">
      <c r="A551" s="55" t="s">
        <v>422</v>
      </c>
      <c r="B551" s="65" t="s">
        <v>357</v>
      </c>
      <c r="C551" s="75">
        <v>158312</v>
      </c>
      <c r="D551" s="75">
        <v>163032</v>
      </c>
      <c r="E551" s="75">
        <v>171556</v>
      </c>
      <c r="F551" s="75">
        <v>177026</v>
      </c>
      <c r="G551" s="75">
        <v>169195</v>
      </c>
      <c r="H551" s="75">
        <v>172269</v>
      </c>
      <c r="I551" s="75">
        <v>175094</v>
      </c>
      <c r="J551" s="75">
        <v>181655</v>
      </c>
      <c r="K551" s="75">
        <v>196950</v>
      </c>
      <c r="L551" s="75">
        <v>208457</v>
      </c>
      <c r="M551" s="75">
        <v>205266</v>
      </c>
      <c r="N551" s="59">
        <v>197415</v>
      </c>
      <c r="O551" s="59">
        <v>166171</v>
      </c>
      <c r="P551" s="75">
        <v>185079</v>
      </c>
      <c r="Q551" s="59">
        <v>199127</v>
      </c>
      <c r="R551" s="59">
        <v>209836</v>
      </c>
      <c r="S551" s="64">
        <v>217306</v>
      </c>
      <c r="AD551" s="57"/>
      <c r="AE551" s="57"/>
      <c r="AF551" s="57"/>
      <c r="AG551" s="57"/>
      <c r="AH551" s="57"/>
      <c r="AI551" s="57"/>
      <c r="AJ551" s="57"/>
      <c r="AK551" s="57"/>
      <c r="AL551" s="57"/>
      <c r="AM551" s="57"/>
      <c r="AN551" s="57"/>
      <c r="AO551" s="57"/>
    </row>
    <row r="552" spans="1:41">
      <c r="A552" s="55" t="s">
        <v>422</v>
      </c>
      <c r="B552" s="65" t="s">
        <v>358</v>
      </c>
      <c r="C552" s="75">
        <v>748455</v>
      </c>
      <c r="D552" s="75">
        <v>773545</v>
      </c>
      <c r="E552" s="75">
        <v>827951</v>
      </c>
      <c r="F552" s="75">
        <v>884284</v>
      </c>
      <c r="G552" s="75">
        <v>862641</v>
      </c>
      <c r="H552" s="75">
        <v>893889</v>
      </c>
      <c r="I552" s="75">
        <v>925784</v>
      </c>
      <c r="J552" s="75">
        <v>1022992</v>
      </c>
      <c r="K552" s="75">
        <v>1116798</v>
      </c>
      <c r="L552" s="75">
        <v>1196537</v>
      </c>
      <c r="M552" s="75">
        <v>1269457</v>
      </c>
      <c r="N552" s="59">
        <v>1311435</v>
      </c>
      <c r="O552" s="59">
        <v>1092049</v>
      </c>
      <c r="P552" s="75">
        <v>1253064</v>
      </c>
      <c r="Q552" s="59">
        <v>1357789</v>
      </c>
      <c r="R552" s="59">
        <v>1437709</v>
      </c>
      <c r="S552" s="64">
        <v>1496726</v>
      </c>
      <c r="AD552" s="57"/>
      <c r="AE552" s="57"/>
      <c r="AF552" s="57"/>
      <c r="AG552" s="57"/>
      <c r="AH552" s="57"/>
      <c r="AI552" s="57"/>
      <c r="AJ552" s="57"/>
      <c r="AK552" s="57"/>
      <c r="AL552" s="57"/>
      <c r="AM552" s="57"/>
      <c r="AN552" s="57"/>
      <c r="AO552" s="57"/>
    </row>
    <row r="553" spans="1:41">
      <c r="A553" s="55" t="s">
        <v>422</v>
      </c>
      <c r="B553" s="65" t="s">
        <v>359</v>
      </c>
      <c r="C553" s="75">
        <v>852152</v>
      </c>
      <c r="D553" s="75">
        <v>886541</v>
      </c>
      <c r="E553" s="75">
        <v>947821</v>
      </c>
      <c r="F553" s="75">
        <v>992806</v>
      </c>
      <c r="G553" s="75">
        <v>989406</v>
      </c>
      <c r="H553" s="75">
        <v>1040390</v>
      </c>
      <c r="I553" s="75">
        <v>1104602</v>
      </c>
      <c r="J553" s="75">
        <v>1185519</v>
      </c>
      <c r="K553" s="75">
        <v>1233697</v>
      </c>
      <c r="L553" s="75">
        <v>1295130</v>
      </c>
      <c r="M553" s="75">
        <v>1320719</v>
      </c>
      <c r="N553" s="59">
        <v>1280722</v>
      </c>
      <c r="O553" s="59">
        <v>1222531</v>
      </c>
      <c r="P553" s="75">
        <v>1327540</v>
      </c>
      <c r="Q553" s="59">
        <v>1367645</v>
      </c>
      <c r="R553" s="59">
        <v>1451451</v>
      </c>
      <c r="S553" s="64">
        <v>1517618</v>
      </c>
      <c r="T553" s="63"/>
      <c r="AD553" s="57"/>
      <c r="AE553" s="57"/>
      <c r="AF553" s="57"/>
      <c r="AG553" s="57"/>
      <c r="AH553" s="57"/>
      <c r="AI553" s="57"/>
      <c r="AJ553" s="57"/>
      <c r="AK553" s="57"/>
      <c r="AL553" s="57"/>
      <c r="AM553" s="57"/>
      <c r="AN553" s="57"/>
      <c r="AO553" s="57"/>
    </row>
    <row r="554" spans="1:41">
      <c r="A554" s="55" t="s">
        <v>422</v>
      </c>
      <c r="B554" s="68" t="s">
        <v>438</v>
      </c>
      <c r="C554" s="75">
        <v>173858</v>
      </c>
      <c r="D554" s="75">
        <v>173742</v>
      </c>
      <c r="E554" s="75">
        <v>195409</v>
      </c>
      <c r="F554" s="75">
        <v>194277</v>
      </c>
      <c r="G554" s="75">
        <v>175731</v>
      </c>
      <c r="H554" s="75">
        <v>208530</v>
      </c>
      <c r="I554" s="75">
        <v>211001</v>
      </c>
      <c r="J554" s="75">
        <v>216834</v>
      </c>
      <c r="K554" s="75">
        <v>211388</v>
      </c>
      <c r="L554" s="75">
        <v>213976</v>
      </c>
      <c r="M554" s="75">
        <v>214233</v>
      </c>
      <c r="N554" s="59">
        <v>187191</v>
      </c>
      <c r="O554" s="59">
        <v>153245</v>
      </c>
      <c r="P554" s="75">
        <v>206625</v>
      </c>
      <c r="Q554" s="59">
        <v>211226</v>
      </c>
      <c r="R554" s="59">
        <v>243259</v>
      </c>
      <c r="S554" s="64">
        <v>253783</v>
      </c>
      <c r="T554" s="63"/>
      <c r="AD554" s="57"/>
      <c r="AE554" s="57"/>
      <c r="AF554" s="57"/>
      <c r="AG554" s="57"/>
      <c r="AH554" s="57"/>
      <c r="AI554" s="57"/>
      <c r="AJ554" s="57"/>
      <c r="AK554" s="57"/>
      <c r="AL554" s="57"/>
      <c r="AM554" s="57"/>
      <c r="AN554" s="57"/>
      <c r="AO554" s="57"/>
    </row>
    <row r="555" spans="1:41">
      <c r="A555" s="55" t="s">
        <v>422</v>
      </c>
      <c r="B555" s="68" t="s">
        <v>439</v>
      </c>
      <c r="C555" s="75">
        <v>128866</v>
      </c>
      <c r="D555" s="75">
        <v>132793</v>
      </c>
      <c r="E555" s="75">
        <v>139680</v>
      </c>
      <c r="F555" s="75">
        <v>140712</v>
      </c>
      <c r="G555" s="75">
        <v>151928</v>
      </c>
      <c r="H555" s="75">
        <v>153364</v>
      </c>
      <c r="I555" s="75">
        <v>158343</v>
      </c>
      <c r="J555" s="75">
        <v>167627</v>
      </c>
      <c r="K555" s="75">
        <v>174404</v>
      </c>
      <c r="L555" s="75">
        <v>184214</v>
      </c>
      <c r="M555" s="75">
        <v>186946</v>
      </c>
      <c r="N555" s="59">
        <v>194278</v>
      </c>
      <c r="O555" s="59">
        <v>191873</v>
      </c>
      <c r="P555" s="75">
        <v>198889</v>
      </c>
      <c r="Q555" s="59">
        <v>206590</v>
      </c>
      <c r="R555" s="59">
        <v>211740</v>
      </c>
      <c r="S555" s="64">
        <v>219115</v>
      </c>
      <c r="T555" s="63"/>
      <c r="AD555" s="57"/>
      <c r="AE555" s="57"/>
      <c r="AF555" s="57"/>
      <c r="AG555" s="57"/>
      <c r="AH555" s="57"/>
      <c r="AI555" s="57"/>
      <c r="AJ555" s="57"/>
      <c r="AK555" s="57"/>
      <c r="AL555" s="57"/>
      <c r="AM555" s="57"/>
      <c r="AN555" s="57"/>
      <c r="AO555" s="57"/>
    </row>
    <row r="556" spans="1:41">
      <c r="A556" s="55" t="s">
        <v>422</v>
      </c>
      <c r="B556" s="68" t="s">
        <v>440</v>
      </c>
      <c r="C556" s="75">
        <v>115390</v>
      </c>
      <c r="D556" s="75">
        <v>122248</v>
      </c>
      <c r="E556" s="75">
        <v>130266</v>
      </c>
      <c r="F556" s="75">
        <v>134638</v>
      </c>
      <c r="G556" s="75">
        <v>137569</v>
      </c>
      <c r="H556" s="75">
        <v>138195</v>
      </c>
      <c r="I556" s="75">
        <v>155948</v>
      </c>
      <c r="J556" s="75">
        <v>171156</v>
      </c>
      <c r="K556" s="75">
        <v>179456</v>
      </c>
      <c r="L556" s="75">
        <v>184332</v>
      </c>
      <c r="M556" s="75">
        <v>193902</v>
      </c>
      <c r="N556" s="59">
        <v>200087</v>
      </c>
      <c r="O556" s="59">
        <v>208690</v>
      </c>
      <c r="P556" s="75">
        <v>216606</v>
      </c>
      <c r="Q556" s="59">
        <v>214320</v>
      </c>
      <c r="R556" s="59">
        <v>210337</v>
      </c>
      <c r="S556" s="64">
        <v>216094</v>
      </c>
      <c r="T556" s="63"/>
      <c r="AD556" s="57"/>
      <c r="AE556" s="57"/>
      <c r="AF556" s="57"/>
      <c r="AG556" s="57"/>
      <c r="AH556" s="57"/>
      <c r="AI556" s="57"/>
      <c r="AJ556" s="57"/>
      <c r="AK556" s="57"/>
      <c r="AL556" s="57"/>
      <c r="AM556" s="57"/>
      <c r="AN556" s="57"/>
      <c r="AO556" s="57"/>
    </row>
    <row r="557" spans="1:41">
      <c r="A557" s="55" t="s">
        <v>422</v>
      </c>
      <c r="B557" s="68" t="s">
        <v>441</v>
      </c>
      <c r="C557" s="75">
        <v>434038</v>
      </c>
      <c r="D557" s="75">
        <v>457759</v>
      </c>
      <c r="E557" s="75">
        <v>482465</v>
      </c>
      <c r="F557" s="75">
        <v>523178</v>
      </c>
      <c r="G557" s="75">
        <v>524177</v>
      </c>
      <c r="H557" s="75">
        <v>540301</v>
      </c>
      <c r="I557" s="75">
        <v>579311</v>
      </c>
      <c r="J557" s="75">
        <v>629901</v>
      </c>
      <c r="K557" s="75">
        <v>668449</v>
      </c>
      <c r="L557" s="75">
        <v>712608</v>
      </c>
      <c r="M557" s="75">
        <v>725638</v>
      </c>
      <c r="N557" s="59">
        <v>699166</v>
      </c>
      <c r="O557" s="59">
        <v>668722</v>
      </c>
      <c r="P557" s="75">
        <v>705420</v>
      </c>
      <c r="Q557" s="59">
        <v>735510</v>
      </c>
      <c r="R557" s="59">
        <v>786114</v>
      </c>
      <c r="S557" s="64">
        <v>828625</v>
      </c>
      <c r="AD557" s="57"/>
      <c r="AE557" s="57"/>
      <c r="AF557" s="57"/>
      <c r="AG557" s="57"/>
      <c r="AH557" s="57"/>
      <c r="AI557" s="57"/>
      <c r="AJ557" s="57"/>
      <c r="AK557" s="57"/>
      <c r="AL557" s="57"/>
      <c r="AM557" s="57"/>
      <c r="AN557" s="57"/>
      <c r="AO557" s="57"/>
    </row>
    <row r="558" spans="1:41">
      <c r="A558" s="55" t="s">
        <v>422</v>
      </c>
      <c r="B558" s="65" t="s">
        <v>360</v>
      </c>
      <c r="C558" s="75">
        <v>500634</v>
      </c>
      <c r="D558" s="75">
        <v>524474</v>
      </c>
      <c r="E558" s="75">
        <v>553648</v>
      </c>
      <c r="F558" s="75">
        <v>590852</v>
      </c>
      <c r="G558" s="75">
        <v>582506</v>
      </c>
      <c r="H558" s="75">
        <v>587452</v>
      </c>
      <c r="I558" s="75">
        <v>620691</v>
      </c>
      <c r="J558" s="75">
        <v>686436</v>
      </c>
      <c r="K558" s="75">
        <v>749864</v>
      </c>
      <c r="L558" s="75">
        <v>818014</v>
      </c>
      <c r="M558" s="75">
        <v>866935</v>
      </c>
      <c r="N558" s="59">
        <v>907885</v>
      </c>
      <c r="O558" s="59">
        <v>773481</v>
      </c>
      <c r="P558" s="75">
        <v>844738</v>
      </c>
      <c r="Q558" s="59">
        <v>924895</v>
      </c>
      <c r="R558" s="59">
        <v>966692</v>
      </c>
      <c r="S558" s="64">
        <v>996450</v>
      </c>
      <c r="T558" s="63"/>
      <c r="AD558" s="57"/>
      <c r="AE558" s="57"/>
      <c r="AF558" s="57"/>
      <c r="AG558" s="57"/>
      <c r="AH558" s="57"/>
      <c r="AI558" s="57"/>
      <c r="AJ558" s="57"/>
      <c r="AK558" s="57"/>
      <c r="AL558" s="57"/>
      <c r="AM558" s="57"/>
      <c r="AN558" s="57"/>
      <c r="AO558" s="57"/>
    </row>
    <row r="559" spans="1:41">
      <c r="A559" s="55" t="s">
        <v>422</v>
      </c>
      <c r="B559" s="65" t="s">
        <v>361</v>
      </c>
      <c r="C559" s="75">
        <v>114308</v>
      </c>
      <c r="D559" s="75">
        <v>111089</v>
      </c>
      <c r="E559" s="75">
        <v>114618</v>
      </c>
      <c r="F559" s="75">
        <v>123668</v>
      </c>
      <c r="G559" s="75">
        <v>107172</v>
      </c>
      <c r="H559" s="75">
        <v>100688</v>
      </c>
      <c r="I559" s="75">
        <v>109861</v>
      </c>
      <c r="J559" s="75">
        <v>120549</v>
      </c>
      <c r="K559" s="75">
        <v>133590</v>
      </c>
      <c r="L559" s="75">
        <v>145059</v>
      </c>
      <c r="M559" s="75">
        <v>155997</v>
      </c>
      <c r="N559" s="59">
        <v>165019</v>
      </c>
      <c r="O559" s="59">
        <v>136328</v>
      </c>
      <c r="P559" s="75">
        <v>153610</v>
      </c>
      <c r="Q559" s="59">
        <v>170380</v>
      </c>
      <c r="R559" s="59">
        <v>171495</v>
      </c>
      <c r="S559" s="64">
        <v>173525</v>
      </c>
      <c r="T559" s="63"/>
      <c r="AD559" s="57"/>
      <c r="AE559" s="57"/>
      <c r="AF559" s="57"/>
      <c r="AG559" s="57"/>
      <c r="AH559" s="57"/>
      <c r="AI559" s="57"/>
      <c r="AJ559" s="57"/>
      <c r="AK559" s="57"/>
      <c r="AL559" s="57"/>
      <c r="AM559" s="57"/>
      <c r="AN559" s="57"/>
      <c r="AO559" s="57"/>
    </row>
    <row r="560" spans="1:41">
      <c r="A560" s="55" t="s">
        <v>422</v>
      </c>
      <c r="B560" s="65" t="s">
        <v>362</v>
      </c>
      <c r="C560" s="75">
        <v>38993</v>
      </c>
      <c r="D560" s="75">
        <v>38950</v>
      </c>
      <c r="E560" s="75">
        <v>39466</v>
      </c>
      <c r="F560" s="75">
        <v>40099</v>
      </c>
      <c r="G560" s="75">
        <v>40687</v>
      </c>
      <c r="H560" s="75">
        <v>41350</v>
      </c>
      <c r="I560" s="75">
        <v>42322</v>
      </c>
      <c r="J560" s="75">
        <v>46636</v>
      </c>
      <c r="K560" s="75">
        <v>52599</v>
      </c>
      <c r="L560" s="75">
        <v>59312</v>
      </c>
      <c r="M560" s="75">
        <v>61908</v>
      </c>
      <c r="N560" s="59">
        <v>69503</v>
      </c>
      <c r="O560" s="59">
        <v>55368</v>
      </c>
      <c r="P560" s="75">
        <v>66975</v>
      </c>
      <c r="Q560" s="59">
        <v>76144</v>
      </c>
      <c r="R560" s="59">
        <v>79220</v>
      </c>
      <c r="S560" s="64">
        <v>81683</v>
      </c>
      <c r="T560" s="63"/>
      <c r="AD560" s="57"/>
      <c r="AE560" s="57"/>
      <c r="AF560" s="57"/>
      <c r="AG560" s="57"/>
      <c r="AH560" s="57"/>
      <c r="AI560" s="57"/>
      <c r="AJ560" s="57"/>
      <c r="AK560" s="57"/>
      <c r="AL560" s="57"/>
      <c r="AM560" s="57"/>
      <c r="AN560" s="57"/>
      <c r="AO560" s="57"/>
    </row>
    <row r="561" spans="1:41">
      <c r="A561" s="55" t="s">
        <v>422</v>
      </c>
      <c r="B561" s="65" t="s">
        <v>363</v>
      </c>
      <c r="C561" s="75">
        <v>24569</v>
      </c>
      <c r="D561" s="75">
        <v>24848</v>
      </c>
      <c r="E561" s="75">
        <v>26218</v>
      </c>
      <c r="F561" s="75">
        <v>27590</v>
      </c>
      <c r="G561" s="75">
        <v>27743</v>
      </c>
      <c r="H561" s="75">
        <v>26953</v>
      </c>
      <c r="I561" s="75">
        <v>31262</v>
      </c>
      <c r="J561" s="75">
        <v>37318</v>
      </c>
      <c r="K561" s="75">
        <v>39252</v>
      </c>
      <c r="L561" s="75">
        <v>42190</v>
      </c>
      <c r="M561" s="75">
        <v>48330</v>
      </c>
      <c r="N561" s="59">
        <v>54733</v>
      </c>
      <c r="O561" s="59">
        <v>49217</v>
      </c>
      <c r="P561" s="75">
        <v>54004</v>
      </c>
      <c r="Q561" s="59">
        <v>56578</v>
      </c>
      <c r="R561" s="59">
        <v>56731</v>
      </c>
      <c r="S561" s="64">
        <v>58460</v>
      </c>
      <c r="T561" s="63"/>
      <c r="AD561" s="57"/>
      <c r="AE561" s="57"/>
      <c r="AF561" s="57"/>
      <c r="AG561" s="57"/>
      <c r="AH561" s="57"/>
      <c r="AI561" s="57"/>
      <c r="AJ561" s="57"/>
      <c r="AK561" s="57"/>
      <c r="AL561" s="57"/>
      <c r="AM561" s="57"/>
      <c r="AN561" s="57"/>
      <c r="AO561" s="57"/>
    </row>
    <row r="562" spans="1:41">
      <c r="A562" s="55" t="s">
        <v>422</v>
      </c>
      <c r="B562" s="65" t="s">
        <v>364</v>
      </c>
      <c r="C562" s="75">
        <v>164239</v>
      </c>
      <c r="D562" s="75">
        <v>176513</v>
      </c>
      <c r="E562" s="75">
        <v>188370</v>
      </c>
      <c r="F562" s="75">
        <v>201280</v>
      </c>
      <c r="G562" s="75">
        <v>202150</v>
      </c>
      <c r="H562" s="75">
        <v>206016</v>
      </c>
      <c r="I562" s="75">
        <v>211869</v>
      </c>
      <c r="J562" s="75">
        <v>234340</v>
      </c>
      <c r="K562" s="75">
        <v>259661</v>
      </c>
      <c r="L562" s="75">
        <v>276745</v>
      </c>
      <c r="M562" s="75">
        <v>283159</v>
      </c>
      <c r="N562" s="59">
        <v>287597</v>
      </c>
      <c r="O562" s="59">
        <v>233199</v>
      </c>
      <c r="P562" s="75">
        <v>253443</v>
      </c>
      <c r="Q562" s="59">
        <v>281507</v>
      </c>
      <c r="R562" s="59">
        <v>301758</v>
      </c>
      <c r="S562" s="64">
        <v>310057</v>
      </c>
      <c r="T562" s="63"/>
      <c r="AD562" s="57"/>
      <c r="AE562" s="57"/>
      <c r="AF562" s="57"/>
      <c r="AG562" s="57"/>
      <c r="AH562" s="57"/>
      <c r="AI562" s="57"/>
      <c r="AJ562" s="57"/>
      <c r="AK562" s="57"/>
      <c r="AL562" s="57"/>
      <c r="AM562" s="57"/>
      <c r="AN562" s="57"/>
      <c r="AO562" s="57"/>
    </row>
    <row r="563" spans="1:41">
      <c r="A563" s="55" t="s">
        <v>422</v>
      </c>
      <c r="B563" s="65" t="s">
        <v>365</v>
      </c>
      <c r="C563" s="75">
        <v>24181</v>
      </c>
      <c r="D563" s="75">
        <v>26381</v>
      </c>
      <c r="E563" s="75">
        <v>26195</v>
      </c>
      <c r="F563" s="75">
        <v>25888</v>
      </c>
      <c r="G563" s="75">
        <v>26709</v>
      </c>
      <c r="H563" s="75">
        <v>27344</v>
      </c>
      <c r="I563" s="75">
        <v>27971</v>
      </c>
      <c r="J563" s="75">
        <v>33272</v>
      </c>
      <c r="K563" s="75">
        <v>36949</v>
      </c>
      <c r="L563" s="75">
        <v>42250</v>
      </c>
      <c r="M563" s="75">
        <v>44815</v>
      </c>
      <c r="N563" s="59">
        <v>45339</v>
      </c>
      <c r="O563" s="59">
        <v>45148</v>
      </c>
      <c r="P563" s="75">
        <v>45842</v>
      </c>
      <c r="Q563" s="59">
        <v>48879</v>
      </c>
      <c r="R563" s="59">
        <v>51725</v>
      </c>
      <c r="S563" s="64">
        <v>54091</v>
      </c>
      <c r="T563" s="63"/>
      <c r="AD563" s="57"/>
      <c r="AE563" s="57"/>
      <c r="AF563" s="57"/>
      <c r="AG563" s="57"/>
      <c r="AH563" s="57"/>
      <c r="AI563" s="57"/>
      <c r="AJ563" s="57"/>
      <c r="AK563" s="57"/>
      <c r="AL563" s="57"/>
      <c r="AM563" s="57"/>
      <c r="AN563" s="57"/>
      <c r="AO563" s="57"/>
    </row>
    <row r="564" spans="1:41">
      <c r="A564" s="55" t="s">
        <v>422</v>
      </c>
      <c r="B564" s="65" t="s">
        <v>366</v>
      </c>
      <c r="C564" s="75">
        <v>24253</v>
      </c>
      <c r="D564" s="75">
        <v>24185</v>
      </c>
      <c r="E564" s="75">
        <v>24163</v>
      </c>
      <c r="F564" s="75">
        <v>23215</v>
      </c>
      <c r="G564" s="75">
        <v>22721</v>
      </c>
      <c r="H564" s="75">
        <v>22271</v>
      </c>
      <c r="I564" s="75">
        <v>22483</v>
      </c>
      <c r="J564" s="75">
        <v>23168</v>
      </c>
      <c r="K564" s="75">
        <v>22953</v>
      </c>
      <c r="L564" s="75">
        <v>24374</v>
      </c>
      <c r="M564" s="75">
        <v>25880</v>
      </c>
      <c r="N564" s="59">
        <v>29378</v>
      </c>
      <c r="O564" s="59">
        <v>23971</v>
      </c>
      <c r="P564" s="75">
        <v>25811</v>
      </c>
      <c r="Q564" s="59">
        <v>27355</v>
      </c>
      <c r="R564" s="59">
        <v>27751</v>
      </c>
      <c r="S564" s="64">
        <v>29544</v>
      </c>
      <c r="T564" s="63"/>
      <c r="AD564" s="57"/>
      <c r="AE564" s="57"/>
      <c r="AF564" s="57"/>
      <c r="AG564" s="57"/>
      <c r="AH564" s="57"/>
      <c r="AI564" s="57"/>
      <c r="AJ564" s="57"/>
      <c r="AK564" s="57"/>
      <c r="AL564" s="57"/>
      <c r="AM564" s="57"/>
      <c r="AN564" s="57"/>
      <c r="AO564" s="57"/>
    </row>
    <row r="565" spans="1:41">
      <c r="A565" s="55" t="s">
        <v>422</v>
      </c>
      <c r="B565" s="65" t="s">
        <v>367</v>
      </c>
      <c r="C565" s="75">
        <v>83755</v>
      </c>
      <c r="D565" s="75">
        <v>93864</v>
      </c>
      <c r="E565" s="75">
        <v>103500</v>
      </c>
      <c r="F565" s="75">
        <v>115265</v>
      </c>
      <c r="G565" s="75">
        <v>118945</v>
      </c>
      <c r="H565" s="75">
        <v>123149</v>
      </c>
      <c r="I565" s="75">
        <v>129677</v>
      </c>
      <c r="J565" s="75">
        <v>141473</v>
      </c>
      <c r="K565" s="75">
        <v>151696</v>
      </c>
      <c r="L565" s="75">
        <v>166593</v>
      </c>
      <c r="M565" s="75">
        <v>177806</v>
      </c>
      <c r="N565" s="59">
        <v>183282</v>
      </c>
      <c r="O565" s="59">
        <v>159176</v>
      </c>
      <c r="P565" s="75">
        <v>168714</v>
      </c>
      <c r="Q565" s="59">
        <v>183625</v>
      </c>
      <c r="R565" s="59">
        <v>193490</v>
      </c>
      <c r="S565" s="64">
        <v>202168</v>
      </c>
      <c r="T565" s="63"/>
      <c r="AD565" s="57"/>
      <c r="AE565" s="57"/>
      <c r="AF565" s="57"/>
      <c r="AG565" s="57"/>
      <c r="AH565" s="57"/>
      <c r="AI565" s="57"/>
      <c r="AJ565" s="57"/>
      <c r="AK565" s="57"/>
      <c r="AL565" s="57"/>
      <c r="AM565" s="57"/>
      <c r="AN565" s="57"/>
      <c r="AO565" s="57"/>
    </row>
    <row r="566" spans="1:41">
      <c r="A566" s="55" t="s">
        <v>422</v>
      </c>
      <c r="B566" s="65" t="s">
        <v>368</v>
      </c>
      <c r="C566" s="75">
        <v>26337</v>
      </c>
      <c r="D566" s="75">
        <v>28645</v>
      </c>
      <c r="E566" s="75">
        <v>31117</v>
      </c>
      <c r="F566" s="75">
        <v>33847</v>
      </c>
      <c r="G566" s="75">
        <v>36380</v>
      </c>
      <c r="H566" s="75">
        <v>39680</v>
      </c>
      <c r="I566" s="75">
        <v>45246</v>
      </c>
      <c r="J566" s="75">
        <v>49679</v>
      </c>
      <c r="K566" s="75">
        <v>53163</v>
      </c>
      <c r="L566" s="75">
        <v>61491</v>
      </c>
      <c r="M566" s="75">
        <v>69040</v>
      </c>
      <c r="N566" s="59">
        <v>73034</v>
      </c>
      <c r="O566" s="59">
        <v>71074</v>
      </c>
      <c r="P566" s="75">
        <v>76340</v>
      </c>
      <c r="Q566" s="59">
        <v>80428</v>
      </c>
      <c r="R566" s="59">
        <v>84523</v>
      </c>
      <c r="S566" s="64">
        <v>86920</v>
      </c>
      <c r="AD566" s="57"/>
      <c r="AE566" s="57"/>
      <c r="AF566" s="57"/>
      <c r="AG566" s="57"/>
      <c r="AH566" s="57"/>
      <c r="AI566" s="57"/>
      <c r="AJ566" s="57"/>
      <c r="AK566" s="57"/>
      <c r="AL566" s="57"/>
      <c r="AM566" s="57"/>
      <c r="AN566" s="57"/>
      <c r="AO566" s="57"/>
    </row>
    <row r="567" spans="1:41">
      <c r="A567" s="55" t="s">
        <v>422</v>
      </c>
      <c r="B567" s="65" t="s">
        <v>369</v>
      </c>
      <c r="C567" s="75">
        <v>727636</v>
      </c>
      <c r="D567" s="75">
        <v>804183</v>
      </c>
      <c r="E567" s="75">
        <v>906318</v>
      </c>
      <c r="F567" s="75">
        <v>1000941</v>
      </c>
      <c r="G567" s="75">
        <v>1027928</v>
      </c>
      <c r="H567" s="75">
        <v>1041231</v>
      </c>
      <c r="I567" s="75">
        <v>1045174</v>
      </c>
      <c r="J567" s="75">
        <v>1080154</v>
      </c>
      <c r="K567" s="75">
        <v>1123223</v>
      </c>
      <c r="L567" s="75">
        <v>1165042</v>
      </c>
      <c r="M567" s="75">
        <v>1208577</v>
      </c>
      <c r="N567" s="59">
        <v>1242712</v>
      </c>
      <c r="O567" s="59">
        <v>1205422</v>
      </c>
      <c r="P567" s="75">
        <v>1255881</v>
      </c>
      <c r="Q567" s="59">
        <v>1308813</v>
      </c>
      <c r="R567" s="59">
        <v>1369453</v>
      </c>
      <c r="S567" s="64">
        <v>1443233</v>
      </c>
      <c r="T567" s="63"/>
      <c r="AD567" s="57"/>
      <c r="AE567" s="57"/>
      <c r="AF567" s="57"/>
      <c r="AG567" s="57"/>
      <c r="AH567" s="57"/>
      <c r="AI567" s="57"/>
      <c r="AJ567" s="57"/>
      <c r="AK567" s="57"/>
      <c r="AL567" s="57"/>
      <c r="AM567" s="57"/>
      <c r="AN567" s="57"/>
      <c r="AO567" s="57"/>
    </row>
    <row r="568" spans="1:41">
      <c r="A568" s="55" t="s">
        <v>422</v>
      </c>
      <c r="B568" s="65" t="s">
        <v>442</v>
      </c>
      <c r="C568" s="75">
        <v>190896</v>
      </c>
      <c r="D568" s="75">
        <v>214060</v>
      </c>
      <c r="E568" s="75">
        <v>238070</v>
      </c>
      <c r="F568" s="75">
        <v>254194</v>
      </c>
      <c r="G568" s="75">
        <v>259309</v>
      </c>
      <c r="H568" s="75">
        <v>262018</v>
      </c>
      <c r="I568" s="75">
        <v>258746</v>
      </c>
      <c r="J568" s="75">
        <v>273405</v>
      </c>
      <c r="K568" s="75">
        <v>283166</v>
      </c>
      <c r="L568" s="75">
        <v>292645</v>
      </c>
      <c r="M568" s="75">
        <v>304412</v>
      </c>
      <c r="N568" s="59">
        <v>308145</v>
      </c>
      <c r="O568" s="59">
        <v>286595</v>
      </c>
      <c r="P568" s="75">
        <v>288237</v>
      </c>
      <c r="Q568" s="59">
        <v>299036</v>
      </c>
      <c r="R568" s="59">
        <v>302515</v>
      </c>
      <c r="S568" s="64">
        <v>315679</v>
      </c>
      <c r="T568" s="63"/>
      <c r="AD568" s="57"/>
      <c r="AE568" s="57"/>
      <c r="AF568" s="57"/>
      <c r="AG568" s="57"/>
      <c r="AH568" s="57"/>
      <c r="AI568" s="57"/>
      <c r="AJ568" s="57"/>
      <c r="AK568" s="57"/>
      <c r="AL568" s="57"/>
      <c r="AM568" s="57"/>
      <c r="AN568" s="57"/>
      <c r="AO568" s="57"/>
    </row>
    <row r="569" spans="1:41">
      <c r="A569" s="55" t="s">
        <v>422</v>
      </c>
      <c r="B569" s="65" t="s">
        <v>371</v>
      </c>
      <c r="C569" s="75">
        <v>86253</v>
      </c>
      <c r="D569" s="75">
        <v>93743</v>
      </c>
      <c r="E569" s="75">
        <v>101195</v>
      </c>
      <c r="F569" s="75">
        <v>110329</v>
      </c>
      <c r="G569" s="75">
        <v>112028</v>
      </c>
      <c r="H569" s="75">
        <v>119463</v>
      </c>
      <c r="I569" s="75">
        <v>127250</v>
      </c>
      <c r="J569" s="75">
        <v>127423</v>
      </c>
      <c r="K569" s="75">
        <v>131509</v>
      </c>
      <c r="L569" s="75">
        <v>134261</v>
      </c>
      <c r="M569" s="75">
        <v>135687</v>
      </c>
      <c r="N569" s="59">
        <v>132683</v>
      </c>
      <c r="O569" s="59">
        <v>125936</v>
      </c>
      <c r="P569" s="75">
        <v>136063</v>
      </c>
      <c r="Q569" s="59">
        <v>137889</v>
      </c>
      <c r="R569" s="59">
        <v>144011</v>
      </c>
      <c r="S569" s="64">
        <v>151473</v>
      </c>
      <c r="T569" s="63"/>
      <c r="AD569" s="57"/>
      <c r="AE569" s="57"/>
      <c r="AF569" s="57"/>
      <c r="AG569" s="57"/>
      <c r="AH569" s="57"/>
      <c r="AI569" s="57"/>
      <c r="AJ569" s="57"/>
      <c r="AK569" s="57"/>
      <c r="AL569" s="57"/>
      <c r="AM569" s="57"/>
      <c r="AN569" s="57"/>
      <c r="AO569" s="57"/>
    </row>
    <row r="570" spans="1:41">
      <c r="A570" s="55" t="s">
        <v>422</v>
      </c>
      <c r="B570" s="65" t="s">
        <v>372</v>
      </c>
      <c r="C570" s="75">
        <v>403671</v>
      </c>
      <c r="D570" s="75">
        <v>445213</v>
      </c>
      <c r="E570" s="75">
        <v>505520</v>
      </c>
      <c r="F570" s="75">
        <v>562723</v>
      </c>
      <c r="G570" s="75">
        <v>579851</v>
      </c>
      <c r="H570" s="75">
        <v>577022</v>
      </c>
      <c r="I570" s="75">
        <v>574533</v>
      </c>
      <c r="J570" s="75">
        <v>587189</v>
      </c>
      <c r="K570" s="75">
        <v>610185</v>
      </c>
      <c r="L570" s="75">
        <v>627320</v>
      </c>
      <c r="M570" s="75">
        <v>648706</v>
      </c>
      <c r="N570" s="59">
        <v>669207</v>
      </c>
      <c r="O570" s="59">
        <v>660439</v>
      </c>
      <c r="P570" s="75">
        <v>690421</v>
      </c>
      <c r="Q570" s="59">
        <v>716689</v>
      </c>
      <c r="R570" s="59">
        <v>750251</v>
      </c>
      <c r="S570" s="64">
        <v>786555</v>
      </c>
      <c r="T570" s="63"/>
      <c r="AD570" s="57"/>
      <c r="AE570" s="57"/>
      <c r="AF570" s="57"/>
      <c r="AG570" s="57"/>
      <c r="AH570" s="57"/>
      <c r="AI570" s="57"/>
      <c r="AJ570" s="57"/>
      <c r="AK570" s="57"/>
      <c r="AL570" s="57"/>
      <c r="AM570" s="57"/>
      <c r="AN570" s="57"/>
      <c r="AO570" s="57"/>
    </row>
    <row r="571" spans="1:41">
      <c r="A571" s="55" t="s">
        <v>422</v>
      </c>
      <c r="B571" s="65" t="s">
        <v>443</v>
      </c>
      <c r="C571" s="75">
        <v>46816</v>
      </c>
      <c r="D571" s="75">
        <v>51168</v>
      </c>
      <c r="E571" s="75">
        <v>61533</v>
      </c>
      <c r="F571" s="75">
        <v>73694</v>
      </c>
      <c r="G571" s="75">
        <v>76740</v>
      </c>
      <c r="H571" s="75">
        <v>82728</v>
      </c>
      <c r="I571" s="75">
        <v>84644</v>
      </c>
      <c r="J571" s="75">
        <v>92136</v>
      </c>
      <c r="K571" s="75">
        <v>98363</v>
      </c>
      <c r="L571" s="75">
        <v>110817</v>
      </c>
      <c r="M571" s="75">
        <v>119772</v>
      </c>
      <c r="N571" s="59">
        <v>132678</v>
      </c>
      <c r="O571" s="59">
        <v>132453</v>
      </c>
      <c r="P571" s="75">
        <v>141159</v>
      </c>
      <c r="Q571" s="59">
        <v>155199</v>
      </c>
      <c r="R571" s="59">
        <v>172677</v>
      </c>
      <c r="S571" s="64">
        <v>189527</v>
      </c>
      <c r="AD571" s="57"/>
      <c r="AE571" s="57"/>
      <c r="AF571" s="57"/>
      <c r="AG571" s="57"/>
      <c r="AH571" s="57"/>
      <c r="AI571" s="57"/>
      <c r="AJ571" s="57"/>
      <c r="AK571" s="57"/>
      <c r="AL571" s="57"/>
      <c r="AM571" s="57"/>
      <c r="AN571" s="57"/>
      <c r="AO571" s="57"/>
    </row>
    <row r="572" spans="1:41">
      <c r="A572" s="55" t="s">
        <v>422</v>
      </c>
      <c r="B572" s="65" t="s">
        <v>374</v>
      </c>
      <c r="C572" s="75">
        <v>2433227</v>
      </c>
      <c r="D572" s="75">
        <v>2634781</v>
      </c>
      <c r="E572" s="75">
        <v>2865695</v>
      </c>
      <c r="F572" s="75">
        <v>3165509</v>
      </c>
      <c r="G572" s="75">
        <v>3266366</v>
      </c>
      <c r="H572" s="75">
        <v>3396583</v>
      </c>
      <c r="I572" s="75">
        <v>3611681</v>
      </c>
      <c r="J572" s="75">
        <v>3921177</v>
      </c>
      <c r="K572" s="75">
        <v>4302049</v>
      </c>
      <c r="L572" s="75">
        <v>4533815</v>
      </c>
      <c r="M572" s="75">
        <v>4702768</v>
      </c>
      <c r="N572" s="59">
        <v>4614840</v>
      </c>
      <c r="O572" s="59">
        <v>4420682</v>
      </c>
      <c r="P572" s="75">
        <v>4522451</v>
      </c>
      <c r="Q572" s="59">
        <v>4618678</v>
      </c>
      <c r="R572" s="59">
        <v>4835115</v>
      </c>
      <c r="S572" s="64">
        <v>5062342</v>
      </c>
      <c r="AD572" s="57"/>
      <c r="AE572" s="57"/>
      <c r="AF572" s="57"/>
      <c r="AG572" s="57"/>
      <c r="AH572" s="57"/>
      <c r="AI572" s="57"/>
      <c r="AJ572" s="57"/>
      <c r="AK572" s="57"/>
      <c r="AL572" s="57"/>
      <c r="AM572" s="57"/>
      <c r="AN572" s="57"/>
      <c r="AO572" s="57"/>
    </row>
    <row r="573" spans="1:41">
      <c r="A573" s="55" t="s">
        <v>422</v>
      </c>
      <c r="B573" s="65" t="s">
        <v>375</v>
      </c>
      <c r="C573" s="75">
        <v>1048475</v>
      </c>
      <c r="D573" s="75">
        <v>1158179</v>
      </c>
      <c r="E573" s="75">
        <v>1285956</v>
      </c>
      <c r="F573" s="75">
        <v>1450460</v>
      </c>
      <c r="G573" s="75">
        <v>1455130</v>
      </c>
      <c r="H573" s="75">
        <v>1478268</v>
      </c>
      <c r="I573" s="75">
        <v>1562158</v>
      </c>
      <c r="J573" s="75">
        <v>1674028</v>
      </c>
      <c r="K573" s="75">
        <v>1807945</v>
      </c>
      <c r="L573" s="75">
        <v>1934426</v>
      </c>
      <c r="M573" s="75">
        <v>2061508</v>
      </c>
      <c r="N573" s="59">
        <v>1979883</v>
      </c>
      <c r="O573" s="59">
        <v>1854314</v>
      </c>
      <c r="P573" s="75">
        <v>1888764</v>
      </c>
      <c r="Q573" s="59">
        <v>1907084</v>
      </c>
      <c r="R573" s="59">
        <v>1960096</v>
      </c>
      <c r="S573" s="64">
        <v>2055941</v>
      </c>
      <c r="T573" s="63"/>
      <c r="AD573" s="57"/>
      <c r="AE573" s="57"/>
      <c r="AF573" s="57"/>
      <c r="AG573" s="57"/>
      <c r="AH573" s="57"/>
      <c r="AI573" s="57"/>
      <c r="AJ573" s="57"/>
      <c r="AK573" s="57"/>
      <c r="AL573" s="57"/>
      <c r="AM573" s="57"/>
      <c r="AN573" s="57"/>
      <c r="AO573" s="57"/>
    </row>
    <row r="574" spans="1:41">
      <c r="A574" s="55" t="s">
        <v>422</v>
      </c>
      <c r="B574" s="65" t="s">
        <v>376</v>
      </c>
      <c r="C574" s="75">
        <v>428524</v>
      </c>
      <c r="D574" s="75">
        <v>463793</v>
      </c>
      <c r="E574" s="75">
        <v>514993</v>
      </c>
      <c r="F574" s="75">
        <v>563071</v>
      </c>
      <c r="G574" s="75">
        <v>601056</v>
      </c>
      <c r="H574" s="75">
        <v>641557</v>
      </c>
      <c r="I574" s="75">
        <v>663368</v>
      </c>
      <c r="J574" s="75">
        <v>675225</v>
      </c>
      <c r="K574" s="75">
        <v>708853</v>
      </c>
      <c r="L574" s="75">
        <v>728496</v>
      </c>
      <c r="M574" s="75">
        <v>737902</v>
      </c>
      <c r="N574" s="59">
        <v>716711</v>
      </c>
      <c r="O574" s="59">
        <v>689791</v>
      </c>
      <c r="P574" s="75">
        <v>664153</v>
      </c>
      <c r="Q574" s="59">
        <v>640900</v>
      </c>
      <c r="R574" s="59">
        <v>670160</v>
      </c>
      <c r="S574" s="64">
        <v>688381</v>
      </c>
      <c r="T574" s="63"/>
      <c r="AD574" s="57"/>
      <c r="AE574" s="57"/>
      <c r="AF574" s="57"/>
      <c r="AG574" s="57"/>
      <c r="AH574" s="57"/>
      <c r="AI574" s="57"/>
      <c r="AJ574" s="57"/>
      <c r="AK574" s="57"/>
      <c r="AL574" s="57"/>
      <c r="AM574" s="57"/>
      <c r="AN574" s="57"/>
      <c r="AO574" s="57"/>
    </row>
    <row r="575" spans="1:41">
      <c r="A575" s="55" t="s">
        <v>422</v>
      </c>
      <c r="B575" s="65" t="s">
        <v>377</v>
      </c>
      <c r="C575" s="75">
        <v>204855</v>
      </c>
      <c r="D575" s="75">
        <v>244246</v>
      </c>
      <c r="E575" s="75">
        <v>290846</v>
      </c>
      <c r="F575" s="75">
        <v>357110</v>
      </c>
      <c r="G575" s="75">
        <v>313772</v>
      </c>
      <c r="H575" s="75">
        <v>287371</v>
      </c>
      <c r="I575" s="75">
        <v>309183</v>
      </c>
      <c r="J575" s="75">
        <v>345652</v>
      </c>
      <c r="K575" s="75">
        <v>383229</v>
      </c>
      <c r="L575" s="75">
        <v>448532</v>
      </c>
      <c r="M575" s="75">
        <v>503439</v>
      </c>
      <c r="N575" s="59">
        <v>432677</v>
      </c>
      <c r="O575" s="59">
        <v>402973</v>
      </c>
      <c r="P575" s="75">
        <v>418361</v>
      </c>
      <c r="Q575" s="59">
        <v>410234</v>
      </c>
      <c r="R575" s="59">
        <v>426550</v>
      </c>
      <c r="S575" s="64">
        <v>450327</v>
      </c>
      <c r="T575" s="63"/>
      <c r="AD575" s="57"/>
      <c r="AE575" s="57"/>
      <c r="AF575" s="57"/>
      <c r="AG575" s="57"/>
      <c r="AH575" s="57"/>
      <c r="AI575" s="57"/>
      <c r="AJ575" s="57"/>
      <c r="AK575" s="57"/>
      <c r="AL575" s="57"/>
      <c r="AM575" s="57"/>
      <c r="AN575" s="57"/>
      <c r="AO575" s="57"/>
    </row>
    <row r="576" spans="1:41">
      <c r="A576" s="55" t="s">
        <v>422</v>
      </c>
      <c r="B576" s="65" t="s">
        <v>378</v>
      </c>
      <c r="C576" s="75">
        <v>358726</v>
      </c>
      <c r="D576" s="75">
        <v>384813</v>
      </c>
      <c r="E576" s="75">
        <v>405165</v>
      </c>
      <c r="F576" s="75">
        <v>438821</v>
      </c>
      <c r="G576" s="75">
        <v>457932</v>
      </c>
      <c r="H576" s="75">
        <v>476777</v>
      </c>
      <c r="I576" s="75">
        <v>518413</v>
      </c>
      <c r="J576" s="75">
        <v>571072</v>
      </c>
      <c r="K576" s="75">
        <v>625869</v>
      </c>
      <c r="L576" s="75">
        <v>657522</v>
      </c>
      <c r="M576" s="75">
        <v>703595</v>
      </c>
      <c r="N576" s="59">
        <v>710354</v>
      </c>
      <c r="O576" s="59">
        <v>662377</v>
      </c>
      <c r="P576" s="75">
        <v>699437</v>
      </c>
      <c r="Q576" s="59">
        <v>743778</v>
      </c>
      <c r="R576" s="59">
        <v>748713</v>
      </c>
      <c r="S576" s="64">
        <v>789759</v>
      </c>
      <c r="T576" s="63"/>
      <c r="AD576" s="57"/>
      <c r="AE576" s="57"/>
      <c r="AF576" s="57"/>
      <c r="AG576" s="57"/>
      <c r="AH576" s="57"/>
      <c r="AI576" s="57"/>
      <c r="AJ576" s="57"/>
      <c r="AK576" s="57"/>
      <c r="AL576" s="57"/>
      <c r="AM576" s="57"/>
      <c r="AN576" s="57"/>
      <c r="AO576" s="57"/>
    </row>
    <row r="577" spans="1:41">
      <c r="A577" s="55" t="s">
        <v>422</v>
      </c>
      <c r="B577" s="65" t="s">
        <v>379</v>
      </c>
      <c r="C577" s="75">
        <v>56370</v>
      </c>
      <c r="D577" s="75">
        <v>65326</v>
      </c>
      <c r="E577" s="75">
        <v>74952</v>
      </c>
      <c r="F577" s="75">
        <v>91458</v>
      </c>
      <c r="G577" s="75">
        <v>82370</v>
      </c>
      <c r="H577" s="75">
        <v>72564</v>
      </c>
      <c r="I577" s="75">
        <v>71194</v>
      </c>
      <c r="J577" s="75">
        <v>82079</v>
      </c>
      <c r="K577" s="75">
        <v>89995</v>
      </c>
      <c r="L577" s="75">
        <v>99876</v>
      </c>
      <c r="M577" s="75">
        <v>116572</v>
      </c>
      <c r="N577" s="59">
        <v>120140</v>
      </c>
      <c r="O577" s="59">
        <v>99173</v>
      </c>
      <c r="P577" s="75">
        <v>106812</v>
      </c>
      <c r="Q577" s="59">
        <v>112171</v>
      </c>
      <c r="R577" s="59">
        <v>114673</v>
      </c>
      <c r="S577" s="64">
        <v>127474</v>
      </c>
      <c r="AD577" s="57"/>
      <c r="AE577" s="57"/>
      <c r="AF577" s="57"/>
      <c r="AG577" s="57"/>
      <c r="AH577" s="57"/>
      <c r="AI577" s="57"/>
      <c r="AJ577" s="57"/>
      <c r="AK577" s="57"/>
      <c r="AL577" s="57"/>
      <c r="AM577" s="57"/>
      <c r="AN577" s="57"/>
      <c r="AO577" s="57"/>
    </row>
    <row r="578" spans="1:41">
      <c r="A578" s="55" t="s">
        <v>422</v>
      </c>
      <c r="B578" s="65" t="s">
        <v>380</v>
      </c>
      <c r="C578" s="75">
        <v>1384752</v>
      </c>
      <c r="D578" s="75">
        <v>1476602</v>
      </c>
      <c r="E578" s="75">
        <v>1579739</v>
      </c>
      <c r="F578" s="75">
        <v>1715049</v>
      </c>
      <c r="G578" s="75">
        <v>1811237</v>
      </c>
      <c r="H578" s="75">
        <v>1918315</v>
      </c>
      <c r="I578" s="75">
        <v>2049523</v>
      </c>
      <c r="J578" s="75">
        <v>2247148</v>
      </c>
      <c r="K578" s="75">
        <v>2494104</v>
      </c>
      <c r="L578" s="75">
        <v>2599388</v>
      </c>
      <c r="M578" s="75">
        <v>2641259</v>
      </c>
      <c r="N578" s="59">
        <v>2634957</v>
      </c>
      <c r="O578" s="59">
        <v>2566368</v>
      </c>
      <c r="P578" s="75">
        <v>2633687</v>
      </c>
      <c r="Q578" s="59">
        <v>2711594</v>
      </c>
      <c r="R578" s="59">
        <v>2875019</v>
      </c>
      <c r="S578" s="64">
        <v>3006401</v>
      </c>
      <c r="T578" s="63"/>
      <c r="AD578" s="57"/>
      <c r="AE578" s="57"/>
      <c r="AF578" s="57"/>
      <c r="AG578" s="57"/>
      <c r="AH578" s="57"/>
      <c r="AI578" s="57"/>
      <c r="AJ578" s="57"/>
      <c r="AK578" s="57"/>
      <c r="AL578" s="57"/>
      <c r="AM578" s="57"/>
      <c r="AN578" s="57"/>
      <c r="AO578" s="57"/>
    </row>
    <row r="579" spans="1:41">
      <c r="A579" s="55" t="s">
        <v>422</v>
      </c>
      <c r="B579" s="65" t="s">
        <v>381</v>
      </c>
      <c r="C579" s="75">
        <v>1236640</v>
      </c>
      <c r="D579" s="75">
        <v>1308028</v>
      </c>
      <c r="E579" s="75">
        <v>1393441</v>
      </c>
      <c r="F579" s="75">
        <v>1506860</v>
      </c>
      <c r="G579" s="75">
        <v>1603406</v>
      </c>
      <c r="H579" s="75">
        <v>1718379</v>
      </c>
      <c r="I579" s="75">
        <v>1832104</v>
      </c>
      <c r="J579" s="75">
        <v>2017835</v>
      </c>
      <c r="K579" s="75">
        <v>2245961</v>
      </c>
      <c r="L579" s="75">
        <v>2339909</v>
      </c>
      <c r="M579" s="75">
        <v>2373322</v>
      </c>
      <c r="N579" s="59">
        <v>2347180</v>
      </c>
      <c r="O579" s="59">
        <v>2317395</v>
      </c>
      <c r="P579" s="75">
        <v>2367120</v>
      </c>
      <c r="Q579" s="59">
        <v>2427120</v>
      </c>
      <c r="R579" s="59">
        <v>2575362</v>
      </c>
      <c r="S579" s="64">
        <v>2696700</v>
      </c>
      <c r="T579" s="63"/>
      <c r="AD579" s="57"/>
      <c r="AE579" s="57"/>
      <c r="AF579" s="57"/>
      <c r="AG579" s="57"/>
      <c r="AH579" s="57"/>
      <c r="AI579" s="57"/>
      <c r="AJ579" s="57"/>
      <c r="AK579" s="57"/>
      <c r="AL579" s="57"/>
      <c r="AM579" s="57"/>
      <c r="AN579" s="57"/>
      <c r="AO579" s="57"/>
    </row>
    <row r="580" spans="1:41">
      <c r="A580" s="55" t="s">
        <v>422</v>
      </c>
      <c r="B580" s="68" t="s">
        <v>444</v>
      </c>
      <c r="C580" s="75">
        <v>852327</v>
      </c>
      <c r="D580" s="75">
        <v>905909</v>
      </c>
      <c r="E580" s="75">
        <v>962399</v>
      </c>
      <c r="F580" s="75">
        <v>1022733</v>
      </c>
      <c r="G580" s="75">
        <v>1097633</v>
      </c>
      <c r="H580" s="75">
        <v>1146723</v>
      </c>
      <c r="I580" s="75">
        <v>1190604</v>
      </c>
      <c r="J580" s="75">
        <v>1260820</v>
      </c>
      <c r="K580" s="75">
        <v>1351601</v>
      </c>
      <c r="L580" s="75">
        <v>1438396</v>
      </c>
      <c r="M580" s="75">
        <v>1496841</v>
      </c>
      <c r="N580" s="59">
        <v>1553377</v>
      </c>
      <c r="O580" s="59">
        <v>1591035</v>
      </c>
      <c r="P580" s="75">
        <v>1605453</v>
      </c>
      <c r="Q580" s="59">
        <v>1656277</v>
      </c>
      <c r="R580" s="59">
        <v>1714032</v>
      </c>
      <c r="S580" s="64">
        <v>1775582</v>
      </c>
      <c r="T580" s="63"/>
      <c r="AD580" s="57"/>
      <c r="AE580" s="57"/>
      <c r="AF580" s="57"/>
      <c r="AG580" s="57"/>
      <c r="AH580" s="57"/>
      <c r="AI580" s="57"/>
      <c r="AJ580" s="57"/>
      <c r="AK580" s="57"/>
      <c r="AL580" s="57"/>
      <c r="AM580" s="57"/>
      <c r="AN580" s="57"/>
      <c r="AO580" s="57"/>
    </row>
    <row r="581" spans="1:41">
      <c r="A581" s="55" t="s">
        <v>422</v>
      </c>
      <c r="B581" s="68" t="s">
        <v>445</v>
      </c>
      <c r="C581" s="75">
        <v>384313</v>
      </c>
      <c r="D581" s="75">
        <v>402120</v>
      </c>
      <c r="E581" s="75">
        <v>431043</v>
      </c>
      <c r="F581" s="75">
        <v>484127</v>
      </c>
      <c r="G581" s="75">
        <v>505773</v>
      </c>
      <c r="H581" s="75">
        <v>571656</v>
      </c>
      <c r="I581" s="75">
        <v>641500</v>
      </c>
      <c r="J581" s="75">
        <v>757015</v>
      </c>
      <c r="K581" s="75">
        <v>894360</v>
      </c>
      <c r="L581" s="75">
        <v>901513</v>
      </c>
      <c r="M581" s="75">
        <v>876480</v>
      </c>
      <c r="N581" s="59">
        <v>793803</v>
      </c>
      <c r="O581" s="59">
        <v>726359</v>
      </c>
      <c r="P581" s="75">
        <v>761667</v>
      </c>
      <c r="Q581" s="59">
        <v>770843</v>
      </c>
      <c r="R581" s="59">
        <v>861330</v>
      </c>
      <c r="S581" s="64">
        <v>921118</v>
      </c>
      <c r="T581" s="63"/>
      <c r="AD581" s="57"/>
      <c r="AE581" s="57"/>
      <c r="AF581" s="57"/>
      <c r="AG581" s="57"/>
      <c r="AH581" s="57"/>
      <c r="AI581" s="57"/>
      <c r="AJ581" s="57"/>
      <c r="AK581" s="57"/>
      <c r="AL581" s="57"/>
      <c r="AM581" s="57"/>
      <c r="AN581" s="57"/>
      <c r="AO581" s="57"/>
    </row>
    <row r="582" spans="1:41">
      <c r="A582" s="55" t="s">
        <v>422</v>
      </c>
      <c r="B582" s="65" t="s">
        <v>382</v>
      </c>
      <c r="C582" s="75">
        <v>148112</v>
      </c>
      <c r="D582" s="75">
        <v>168574</v>
      </c>
      <c r="E582" s="75">
        <v>186297</v>
      </c>
      <c r="F582" s="75">
        <v>208189</v>
      </c>
      <c r="G582" s="75">
        <v>207831</v>
      </c>
      <c r="H582" s="75">
        <v>199935</v>
      </c>
      <c r="I582" s="75">
        <v>217419</v>
      </c>
      <c r="J582" s="75">
        <v>229313</v>
      </c>
      <c r="K582" s="75">
        <v>248143</v>
      </c>
      <c r="L582" s="75">
        <v>259479</v>
      </c>
      <c r="M582" s="75">
        <v>267938</v>
      </c>
      <c r="N582" s="59">
        <v>287777</v>
      </c>
      <c r="O582" s="59">
        <v>248974</v>
      </c>
      <c r="P582" s="75">
        <v>266567</v>
      </c>
      <c r="Q582" s="59">
        <v>284474</v>
      </c>
      <c r="R582" s="59">
        <v>299658</v>
      </c>
      <c r="S582" s="64">
        <v>309701</v>
      </c>
      <c r="AD582" s="57"/>
      <c r="AE582" s="57"/>
      <c r="AF582" s="57"/>
      <c r="AG582" s="57"/>
      <c r="AH582" s="57"/>
      <c r="AI582" s="57"/>
      <c r="AJ582" s="57"/>
      <c r="AK582" s="57"/>
      <c r="AL582" s="57"/>
      <c r="AM582" s="57"/>
      <c r="AN582" s="57"/>
      <c r="AO582" s="57"/>
    </row>
    <row r="583" spans="1:41">
      <c r="A583" s="55" t="s">
        <v>422</v>
      </c>
      <c r="B583" s="65" t="s">
        <v>383</v>
      </c>
      <c r="C583" s="75">
        <v>1353279</v>
      </c>
      <c r="D583" s="75">
        <v>1520229</v>
      </c>
      <c r="E583" s="75">
        <v>1661757</v>
      </c>
      <c r="F583" s="75">
        <v>1818144</v>
      </c>
      <c r="G583" s="75">
        <v>1849196</v>
      </c>
      <c r="H583" s="75">
        <v>1856659</v>
      </c>
      <c r="I583" s="75">
        <v>1945381</v>
      </c>
      <c r="J583" s="75">
        <v>2099143</v>
      </c>
      <c r="K583" s="75">
        <v>2276975</v>
      </c>
      <c r="L583" s="75">
        <v>2436373</v>
      </c>
      <c r="M583" s="75">
        <v>2639228</v>
      </c>
      <c r="N583" s="59">
        <v>2737982</v>
      </c>
      <c r="O583" s="59">
        <v>2596255</v>
      </c>
      <c r="P583" s="75">
        <v>2727483</v>
      </c>
      <c r="Q583" s="59">
        <v>2885862</v>
      </c>
      <c r="R583" s="59">
        <v>3048640</v>
      </c>
      <c r="S583" s="64">
        <v>3135628</v>
      </c>
      <c r="AD583" s="57"/>
      <c r="AE583" s="57"/>
      <c r="AF583" s="57"/>
      <c r="AG583" s="57"/>
      <c r="AH583" s="57"/>
      <c r="AI583" s="57"/>
      <c r="AJ583" s="57"/>
      <c r="AK583" s="57"/>
      <c r="AL583" s="57"/>
      <c r="AM583" s="57"/>
      <c r="AN583" s="57"/>
      <c r="AO583" s="57"/>
    </row>
    <row r="584" spans="1:41">
      <c r="A584" s="55" t="s">
        <v>422</v>
      </c>
      <c r="B584" s="65" t="s">
        <v>384</v>
      </c>
      <c r="C584" s="75">
        <v>805572</v>
      </c>
      <c r="D584" s="75">
        <v>899040</v>
      </c>
      <c r="E584" s="75">
        <v>985546</v>
      </c>
      <c r="F584" s="75">
        <v>1082174</v>
      </c>
      <c r="G584" s="75">
        <v>1118211</v>
      </c>
      <c r="H584" s="75">
        <v>1127313</v>
      </c>
      <c r="I584" s="75">
        <v>1173120</v>
      </c>
      <c r="J584" s="75">
        <v>1248777</v>
      </c>
      <c r="K584" s="75">
        <v>1344392</v>
      </c>
      <c r="L584" s="75">
        <v>1429937</v>
      </c>
      <c r="M584" s="75">
        <v>1543145</v>
      </c>
      <c r="N584" s="59">
        <v>1616409</v>
      </c>
      <c r="O584" s="59">
        <v>1548738</v>
      </c>
      <c r="P584" s="75">
        <v>1609159</v>
      </c>
      <c r="Q584" s="59">
        <v>1688028</v>
      </c>
      <c r="R584" s="59">
        <v>1770742</v>
      </c>
      <c r="S584" s="64">
        <v>1803020</v>
      </c>
      <c r="T584" s="63"/>
      <c r="AD584" s="57"/>
      <c r="AE584" s="57"/>
      <c r="AF584" s="57"/>
      <c r="AG584" s="57"/>
      <c r="AH584" s="57"/>
      <c r="AI584" s="57"/>
      <c r="AJ584" s="57"/>
      <c r="AK584" s="57"/>
      <c r="AL584" s="57"/>
      <c r="AM584" s="57"/>
      <c r="AN584" s="57"/>
      <c r="AO584" s="57"/>
    </row>
    <row r="585" spans="1:41">
      <c r="A585" s="55" t="s">
        <v>422</v>
      </c>
      <c r="B585" s="65" t="s">
        <v>385</v>
      </c>
      <c r="C585" s="75">
        <v>158405</v>
      </c>
      <c r="D585" s="75">
        <v>174032</v>
      </c>
      <c r="E585" s="75">
        <v>185116</v>
      </c>
      <c r="F585" s="75">
        <v>191910</v>
      </c>
      <c r="G585" s="75">
        <v>205277</v>
      </c>
      <c r="H585" s="75">
        <v>216054</v>
      </c>
      <c r="I585" s="75">
        <v>239548</v>
      </c>
      <c r="J585" s="75">
        <v>251277</v>
      </c>
      <c r="K585" s="75">
        <v>268332</v>
      </c>
      <c r="L585" s="75">
        <v>279121</v>
      </c>
      <c r="M585" s="75">
        <v>288511</v>
      </c>
      <c r="N585" s="59">
        <v>287690</v>
      </c>
      <c r="O585" s="59">
        <v>276408</v>
      </c>
      <c r="P585" s="75">
        <v>280107</v>
      </c>
      <c r="Q585" s="59">
        <v>289670</v>
      </c>
      <c r="R585" s="59">
        <v>297914</v>
      </c>
      <c r="S585" s="64">
        <v>300441</v>
      </c>
      <c r="T585" s="63"/>
      <c r="AD585" s="57"/>
      <c r="AE585" s="57"/>
      <c r="AF585" s="57"/>
      <c r="AG585" s="57"/>
      <c r="AH585" s="57"/>
      <c r="AI585" s="57"/>
      <c r="AJ585" s="57"/>
      <c r="AK585" s="57"/>
      <c r="AL585" s="57"/>
      <c r="AM585" s="57"/>
      <c r="AN585" s="57"/>
      <c r="AO585" s="57"/>
    </row>
    <row r="586" spans="1:41">
      <c r="A586" s="55" t="s">
        <v>422</v>
      </c>
      <c r="B586" s="65" t="s">
        <v>386</v>
      </c>
      <c r="C586" s="75">
        <v>121284</v>
      </c>
      <c r="D586" s="75">
        <v>152173</v>
      </c>
      <c r="E586" s="75">
        <v>183114</v>
      </c>
      <c r="F586" s="75">
        <v>206670</v>
      </c>
      <c r="G586" s="75">
        <v>204663</v>
      </c>
      <c r="H586" s="75">
        <v>194252</v>
      </c>
      <c r="I586" s="75">
        <v>192235</v>
      </c>
      <c r="J586" s="75">
        <v>195371</v>
      </c>
      <c r="K586" s="75">
        <v>208638</v>
      </c>
      <c r="L586" s="75">
        <v>221792</v>
      </c>
      <c r="M586" s="75">
        <v>249514</v>
      </c>
      <c r="N586" s="59">
        <v>271499</v>
      </c>
      <c r="O586" s="59">
        <v>266178</v>
      </c>
      <c r="P586" s="75">
        <v>289922</v>
      </c>
      <c r="Q586" s="59">
        <v>311135</v>
      </c>
      <c r="R586" s="59">
        <v>331765</v>
      </c>
      <c r="S586" s="64">
        <v>341895</v>
      </c>
      <c r="T586" s="63"/>
      <c r="AD586" s="57"/>
      <c r="AE586" s="57"/>
      <c r="AF586" s="57"/>
      <c r="AG586" s="57"/>
      <c r="AH586" s="57"/>
      <c r="AI586" s="57"/>
      <c r="AJ586" s="57"/>
      <c r="AK586" s="57"/>
      <c r="AL586" s="57"/>
      <c r="AM586" s="57"/>
      <c r="AN586" s="57"/>
      <c r="AO586" s="57"/>
    </row>
    <row r="587" spans="1:41">
      <c r="A587" s="55" t="s">
        <v>422</v>
      </c>
      <c r="B587" s="65" t="s">
        <v>387</v>
      </c>
      <c r="C587" s="75">
        <v>525883</v>
      </c>
      <c r="D587" s="75">
        <v>572835</v>
      </c>
      <c r="E587" s="75">
        <v>617316</v>
      </c>
      <c r="F587" s="75">
        <v>683593</v>
      </c>
      <c r="G587" s="75">
        <v>708271</v>
      </c>
      <c r="H587" s="75">
        <v>717007</v>
      </c>
      <c r="I587" s="75">
        <v>741337</v>
      </c>
      <c r="J587" s="75">
        <v>802129</v>
      </c>
      <c r="K587" s="75">
        <v>867422</v>
      </c>
      <c r="L587" s="75">
        <v>929024</v>
      </c>
      <c r="M587" s="75">
        <v>1005120</v>
      </c>
      <c r="N587" s="59">
        <v>1057220</v>
      </c>
      <c r="O587" s="59">
        <v>1006151</v>
      </c>
      <c r="P587" s="75">
        <v>1039129</v>
      </c>
      <c r="Q587" s="59">
        <v>1087222</v>
      </c>
      <c r="R587" s="59">
        <v>1141063</v>
      </c>
      <c r="S587" s="64">
        <v>1160683</v>
      </c>
      <c r="AD587" s="57"/>
      <c r="AE587" s="57"/>
      <c r="AF587" s="57"/>
      <c r="AG587" s="57"/>
      <c r="AH587" s="57"/>
      <c r="AI587" s="57"/>
      <c r="AJ587" s="57"/>
      <c r="AK587" s="57"/>
      <c r="AL587" s="57"/>
      <c r="AM587" s="57"/>
      <c r="AN587" s="57"/>
      <c r="AO587" s="57"/>
    </row>
    <row r="588" spans="1:41">
      <c r="A588" s="55" t="s">
        <v>422</v>
      </c>
      <c r="B588" s="65" t="s">
        <v>388</v>
      </c>
      <c r="C588" s="75">
        <v>196136</v>
      </c>
      <c r="D588" s="75">
        <v>221911</v>
      </c>
      <c r="E588" s="75">
        <v>240214</v>
      </c>
      <c r="F588" s="75">
        <v>260454</v>
      </c>
      <c r="G588" s="75">
        <v>259587</v>
      </c>
      <c r="H588" s="75">
        <v>262452</v>
      </c>
      <c r="I588" s="75">
        <v>281193</v>
      </c>
      <c r="J588" s="75">
        <v>319394</v>
      </c>
      <c r="K588" s="75">
        <v>353204</v>
      </c>
      <c r="L588" s="75">
        <v>384458</v>
      </c>
      <c r="M588" s="75">
        <v>431705</v>
      </c>
      <c r="N588" s="59">
        <v>439339</v>
      </c>
      <c r="O588" s="59">
        <v>415297</v>
      </c>
      <c r="P588" s="75">
        <v>447069</v>
      </c>
      <c r="Q588" s="59">
        <v>484011</v>
      </c>
      <c r="R588" s="59">
        <v>531074</v>
      </c>
      <c r="S588" s="64">
        <v>559234</v>
      </c>
      <c r="AD588" s="57"/>
      <c r="AE588" s="57"/>
      <c r="AF588" s="57"/>
      <c r="AG588" s="57"/>
      <c r="AH588" s="57"/>
      <c r="AI588" s="57"/>
      <c r="AJ588" s="57"/>
      <c r="AK588" s="57"/>
      <c r="AL588" s="57"/>
      <c r="AM588" s="57"/>
      <c r="AN588" s="57"/>
      <c r="AO588" s="57"/>
    </row>
    <row r="589" spans="1:41">
      <c r="A589" s="55" t="s">
        <v>422</v>
      </c>
      <c r="B589" s="65" t="s">
        <v>389</v>
      </c>
      <c r="C589" s="75">
        <v>351571</v>
      </c>
      <c r="D589" s="75">
        <v>399279</v>
      </c>
      <c r="E589" s="75">
        <v>435997</v>
      </c>
      <c r="F589" s="75">
        <v>475516</v>
      </c>
      <c r="G589" s="75">
        <v>471399</v>
      </c>
      <c r="H589" s="75">
        <v>466894</v>
      </c>
      <c r="I589" s="75">
        <v>491068</v>
      </c>
      <c r="J589" s="75">
        <v>530971</v>
      </c>
      <c r="K589" s="75">
        <v>579378</v>
      </c>
      <c r="L589" s="75">
        <v>621978</v>
      </c>
      <c r="M589" s="75">
        <v>664377</v>
      </c>
      <c r="N589" s="59">
        <v>682233</v>
      </c>
      <c r="O589" s="59">
        <v>632220</v>
      </c>
      <c r="P589" s="75">
        <v>671255</v>
      </c>
      <c r="Q589" s="59">
        <v>713824</v>
      </c>
      <c r="R589" s="59">
        <v>746824</v>
      </c>
      <c r="S589" s="64">
        <v>773374</v>
      </c>
      <c r="T589" s="63"/>
      <c r="AD589" s="57"/>
      <c r="AE589" s="57"/>
      <c r="AF589" s="57"/>
      <c r="AG589" s="57"/>
      <c r="AH589" s="57"/>
      <c r="AI589" s="57"/>
      <c r="AJ589" s="57"/>
      <c r="AK589" s="57"/>
      <c r="AL589" s="57"/>
      <c r="AM589" s="57"/>
      <c r="AN589" s="57"/>
      <c r="AO589" s="57"/>
    </row>
    <row r="590" spans="1:41">
      <c r="A590" s="55" t="s">
        <v>422</v>
      </c>
      <c r="B590" s="65" t="s">
        <v>390</v>
      </c>
      <c r="C590" s="75">
        <v>309803</v>
      </c>
      <c r="D590" s="75">
        <v>353038</v>
      </c>
      <c r="E590" s="75">
        <v>385602</v>
      </c>
      <c r="F590" s="75">
        <v>423179</v>
      </c>
      <c r="G590" s="75">
        <v>418527</v>
      </c>
      <c r="H590" s="75">
        <v>414044</v>
      </c>
      <c r="I590" s="75">
        <v>434382</v>
      </c>
      <c r="J590" s="75">
        <v>469556</v>
      </c>
      <c r="K590" s="75">
        <v>513201</v>
      </c>
      <c r="L590" s="75">
        <v>549182</v>
      </c>
      <c r="M590" s="75">
        <v>588590</v>
      </c>
      <c r="N590" s="59">
        <v>602451</v>
      </c>
      <c r="O590" s="59">
        <v>558454</v>
      </c>
      <c r="P590" s="75">
        <v>588621</v>
      </c>
      <c r="Q590" s="59">
        <v>628530</v>
      </c>
      <c r="R590" s="59">
        <v>660924</v>
      </c>
      <c r="S590" s="64">
        <v>683633</v>
      </c>
      <c r="T590" s="63"/>
      <c r="AD590" s="57"/>
      <c r="AE590" s="57"/>
      <c r="AF590" s="57"/>
      <c r="AG590" s="57"/>
      <c r="AH590" s="57"/>
      <c r="AI590" s="57"/>
      <c r="AJ590" s="57"/>
      <c r="AK590" s="57"/>
      <c r="AL590" s="57"/>
      <c r="AM590" s="57"/>
      <c r="AN590" s="57"/>
      <c r="AO590" s="57"/>
    </row>
    <row r="591" spans="1:41">
      <c r="A591" s="55" t="s">
        <v>422</v>
      </c>
      <c r="B591" s="65" t="s">
        <v>391</v>
      </c>
      <c r="C591" s="75">
        <v>41769</v>
      </c>
      <c r="D591" s="75">
        <v>46241</v>
      </c>
      <c r="E591" s="75">
        <v>50396</v>
      </c>
      <c r="F591" s="75">
        <v>52337</v>
      </c>
      <c r="G591" s="75">
        <v>52871</v>
      </c>
      <c r="H591" s="75">
        <v>52850</v>
      </c>
      <c r="I591" s="75">
        <v>56686</v>
      </c>
      <c r="J591" s="75">
        <v>61415</v>
      </c>
      <c r="K591" s="75">
        <v>66178</v>
      </c>
      <c r="L591" s="75">
        <v>72797</v>
      </c>
      <c r="M591" s="75">
        <v>75787</v>
      </c>
      <c r="N591" s="59">
        <v>79782</v>
      </c>
      <c r="O591" s="59">
        <v>73766</v>
      </c>
      <c r="P591" s="75">
        <v>82635</v>
      </c>
      <c r="Q591" s="59">
        <v>85294</v>
      </c>
      <c r="R591" s="59">
        <v>85899</v>
      </c>
      <c r="S591" s="64">
        <v>89741</v>
      </c>
      <c r="AD591" s="57"/>
      <c r="AE591" s="57"/>
      <c r="AF591" s="57"/>
      <c r="AG591" s="57"/>
      <c r="AH591" s="57"/>
      <c r="AI591" s="57"/>
      <c r="AJ591" s="57"/>
      <c r="AK591" s="57"/>
      <c r="AL591" s="57"/>
      <c r="AM591" s="57"/>
      <c r="AN591" s="57"/>
      <c r="AO591" s="57"/>
    </row>
    <row r="592" spans="1:41">
      <c r="A592" s="55" t="s">
        <v>422</v>
      </c>
      <c r="B592" s="65" t="s">
        <v>392</v>
      </c>
      <c r="C592" s="75">
        <v>932847</v>
      </c>
      <c r="D592" s="75">
        <v>991380</v>
      </c>
      <c r="E592" s="75">
        <v>1043100</v>
      </c>
      <c r="F592" s="75">
        <v>1113753</v>
      </c>
      <c r="G592" s="75">
        <v>1213028</v>
      </c>
      <c r="H592" s="75">
        <v>1308744</v>
      </c>
      <c r="I592" s="75">
        <v>1397861</v>
      </c>
      <c r="J592" s="75">
        <v>1483254</v>
      </c>
      <c r="K592" s="75">
        <v>1580041</v>
      </c>
      <c r="L592" s="75">
        <v>1673503</v>
      </c>
      <c r="M592" s="75">
        <v>1774693</v>
      </c>
      <c r="N592" s="59">
        <v>1885791</v>
      </c>
      <c r="O592" s="59">
        <v>1975163</v>
      </c>
      <c r="P592" s="75">
        <v>2058845</v>
      </c>
      <c r="Q592" s="59">
        <v>2148552</v>
      </c>
      <c r="R592" s="59">
        <v>2251068</v>
      </c>
      <c r="S592" s="64">
        <v>2352305</v>
      </c>
      <c r="AD592" s="57"/>
      <c r="AE592" s="57"/>
      <c r="AF592" s="57"/>
      <c r="AG592" s="57"/>
      <c r="AH592" s="57"/>
      <c r="AI592" s="57"/>
      <c r="AJ592" s="57"/>
      <c r="AK592" s="57"/>
      <c r="AL592" s="57"/>
      <c r="AM592" s="57"/>
      <c r="AN592" s="57"/>
      <c r="AO592" s="57"/>
    </row>
    <row r="593" spans="1:41">
      <c r="A593" s="55" t="s">
        <v>422</v>
      </c>
      <c r="B593" s="65" t="s">
        <v>393</v>
      </c>
      <c r="C593" s="75">
        <v>115475</v>
      </c>
      <c r="D593" s="75">
        <v>123863</v>
      </c>
      <c r="E593" s="75">
        <v>132967</v>
      </c>
      <c r="F593" s="75">
        <v>143999</v>
      </c>
      <c r="G593" s="75">
        <v>157386</v>
      </c>
      <c r="H593" s="75">
        <v>166443</v>
      </c>
      <c r="I593" s="75">
        <v>176090</v>
      </c>
      <c r="J593" s="75">
        <v>182924</v>
      </c>
      <c r="K593" s="75">
        <v>193001</v>
      </c>
      <c r="L593" s="75">
        <v>209346</v>
      </c>
      <c r="M593" s="75">
        <v>227143</v>
      </c>
      <c r="N593" s="59">
        <v>244421</v>
      </c>
      <c r="O593" s="59">
        <v>259043</v>
      </c>
      <c r="P593" s="75">
        <v>279443</v>
      </c>
      <c r="Q593" s="59">
        <v>292785</v>
      </c>
      <c r="R593" s="59">
        <v>304087</v>
      </c>
      <c r="S593" s="64">
        <v>319246</v>
      </c>
      <c r="AD593" s="57"/>
      <c r="AE593" s="57"/>
      <c r="AF593" s="57"/>
      <c r="AG593" s="57"/>
      <c r="AH593" s="57"/>
      <c r="AI593" s="57"/>
      <c r="AJ593" s="57"/>
      <c r="AK593" s="57"/>
      <c r="AL593" s="57"/>
      <c r="AM593" s="57"/>
      <c r="AN593" s="57"/>
      <c r="AO593" s="57"/>
    </row>
    <row r="594" spans="1:41">
      <c r="A594" s="55" t="s">
        <v>422</v>
      </c>
      <c r="B594" s="65" t="s">
        <v>394</v>
      </c>
      <c r="C594" s="75">
        <v>817372</v>
      </c>
      <c r="D594" s="75">
        <v>867517</v>
      </c>
      <c r="E594" s="75">
        <v>910133</v>
      </c>
      <c r="F594" s="75">
        <v>969754</v>
      </c>
      <c r="G594" s="75">
        <v>1055643</v>
      </c>
      <c r="H594" s="75">
        <v>1142301</v>
      </c>
      <c r="I594" s="75">
        <v>1221771</v>
      </c>
      <c r="J594" s="75">
        <v>1300330</v>
      </c>
      <c r="K594" s="75">
        <v>1387041</v>
      </c>
      <c r="L594" s="75">
        <v>1464157</v>
      </c>
      <c r="M594" s="75">
        <v>1547550</v>
      </c>
      <c r="N594" s="59">
        <v>1641370</v>
      </c>
      <c r="O594" s="59">
        <v>1716120</v>
      </c>
      <c r="P594" s="75">
        <v>1779402</v>
      </c>
      <c r="Q594" s="59">
        <v>1855767</v>
      </c>
      <c r="R594" s="59">
        <v>1946981</v>
      </c>
      <c r="S594" s="64">
        <v>2033059</v>
      </c>
      <c r="T594" s="63"/>
      <c r="AD594" s="57"/>
      <c r="AE594" s="57"/>
      <c r="AF594" s="57"/>
      <c r="AG594" s="57"/>
      <c r="AH594" s="57"/>
      <c r="AI594" s="57"/>
      <c r="AJ594" s="57"/>
      <c r="AK594" s="57"/>
      <c r="AL594" s="57"/>
      <c r="AM594" s="57"/>
      <c r="AN594" s="57"/>
      <c r="AO594" s="57"/>
    </row>
    <row r="595" spans="1:41">
      <c r="A595" s="55" t="s">
        <v>422</v>
      </c>
      <c r="B595" s="65" t="s">
        <v>395</v>
      </c>
      <c r="C595" s="75">
        <v>389051</v>
      </c>
      <c r="D595" s="75">
        <v>409277</v>
      </c>
      <c r="E595" s="75">
        <v>426751</v>
      </c>
      <c r="F595" s="75">
        <v>453729</v>
      </c>
      <c r="G595" s="75">
        <v>494146</v>
      </c>
      <c r="H595" s="75">
        <v>531142</v>
      </c>
      <c r="I595" s="75">
        <v>568641</v>
      </c>
      <c r="J595" s="75">
        <v>609772</v>
      </c>
      <c r="K595" s="75">
        <v>645185</v>
      </c>
      <c r="L595" s="75">
        <v>674303</v>
      </c>
      <c r="M595" s="75">
        <v>710856</v>
      </c>
      <c r="N595" s="59">
        <v>750899</v>
      </c>
      <c r="O595" s="59">
        <v>777317</v>
      </c>
      <c r="P595" s="75">
        <v>805190</v>
      </c>
      <c r="Q595" s="59">
        <v>840190</v>
      </c>
      <c r="R595" s="59">
        <v>881037</v>
      </c>
      <c r="S595" s="64">
        <v>913887</v>
      </c>
      <c r="T595" s="63"/>
      <c r="AD595" s="57"/>
      <c r="AE595" s="57"/>
      <c r="AF595" s="57"/>
      <c r="AG595" s="57"/>
      <c r="AH595" s="57"/>
      <c r="AI595" s="57"/>
      <c r="AJ595" s="57"/>
      <c r="AK595" s="57"/>
      <c r="AL595" s="57"/>
      <c r="AM595" s="57"/>
      <c r="AN595" s="57"/>
      <c r="AO595" s="57"/>
    </row>
    <row r="596" spans="1:41">
      <c r="A596" s="55" t="s">
        <v>422</v>
      </c>
      <c r="B596" s="65" t="s">
        <v>446</v>
      </c>
      <c r="C596" s="75">
        <v>271877</v>
      </c>
      <c r="D596" s="75">
        <v>290383</v>
      </c>
      <c r="E596" s="75">
        <v>304258</v>
      </c>
      <c r="F596" s="75">
        <v>320908</v>
      </c>
      <c r="G596" s="75">
        <v>347037</v>
      </c>
      <c r="H596" s="75">
        <v>382709</v>
      </c>
      <c r="I596" s="75">
        <v>409902</v>
      </c>
      <c r="J596" s="75">
        <v>436329</v>
      </c>
      <c r="K596" s="75">
        <v>470840</v>
      </c>
      <c r="L596" s="75">
        <v>503090</v>
      </c>
      <c r="M596" s="75">
        <v>531078</v>
      </c>
      <c r="N596" s="59">
        <v>566280</v>
      </c>
      <c r="O596" s="59">
        <v>602839</v>
      </c>
      <c r="P596" s="75">
        <v>623672</v>
      </c>
      <c r="Q596" s="59">
        <v>654075</v>
      </c>
      <c r="R596" s="59">
        <v>695658</v>
      </c>
      <c r="S596" s="64">
        <v>742051</v>
      </c>
      <c r="T596" s="63"/>
      <c r="AD596" s="57"/>
      <c r="AE596" s="57"/>
      <c r="AF596" s="57"/>
      <c r="AG596" s="57"/>
      <c r="AH596" s="57"/>
      <c r="AI596" s="57"/>
      <c r="AJ596" s="57"/>
      <c r="AK596" s="57"/>
      <c r="AL596" s="57"/>
      <c r="AM596" s="57"/>
      <c r="AN596" s="57"/>
      <c r="AO596" s="57"/>
    </row>
    <row r="597" spans="1:41">
      <c r="A597" s="55" t="s">
        <v>422</v>
      </c>
      <c r="B597" s="65" t="s">
        <v>447</v>
      </c>
      <c r="C597" s="75">
        <v>94072</v>
      </c>
      <c r="D597" s="75">
        <v>100794</v>
      </c>
      <c r="E597" s="75">
        <v>104587</v>
      </c>
      <c r="F597" s="75">
        <v>111202</v>
      </c>
      <c r="G597" s="75">
        <v>119971</v>
      </c>
      <c r="H597" s="75">
        <v>127051</v>
      </c>
      <c r="I597" s="75">
        <v>136041</v>
      </c>
      <c r="J597" s="75">
        <v>143384</v>
      </c>
      <c r="K597" s="75">
        <v>153523</v>
      </c>
      <c r="L597" s="75">
        <v>161971</v>
      </c>
      <c r="M597" s="75">
        <v>171466</v>
      </c>
      <c r="N597" s="59">
        <v>180743</v>
      </c>
      <c r="O597" s="59">
        <v>186622</v>
      </c>
      <c r="P597" s="75">
        <v>194231</v>
      </c>
      <c r="Q597" s="59">
        <v>201965</v>
      </c>
      <c r="R597" s="59">
        <v>207235</v>
      </c>
      <c r="S597" s="64">
        <v>211581</v>
      </c>
      <c r="T597" s="63"/>
      <c r="AD597" s="57"/>
      <c r="AE597" s="57"/>
      <c r="AF597" s="57"/>
      <c r="AG597" s="57"/>
      <c r="AH597" s="57"/>
      <c r="AI597" s="57"/>
      <c r="AJ597" s="57"/>
      <c r="AK597" s="57"/>
      <c r="AL597" s="57"/>
      <c r="AM597" s="57"/>
      <c r="AN597" s="57"/>
      <c r="AO597" s="57"/>
    </row>
    <row r="598" spans="1:41">
      <c r="A598" s="55" t="s">
        <v>422</v>
      </c>
      <c r="B598" s="65" t="s">
        <v>397</v>
      </c>
      <c r="C598" s="75">
        <v>62373</v>
      </c>
      <c r="D598" s="75">
        <v>67062</v>
      </c>
      <c r="E598" s="75">
        <v>74537</v>
      </c>
      <c r="F598" s="75">
        <v>83915</v>
      </c>
      <c r="G598" s="75">
        <v>94488</v>
      </c>
      <c r="H598" s="75">
        <v>101399</v>
      </c>
      <c r="I598" s="75">
        <v>107188</v>
      </c>
      <c r="J598" s="75">
        <v>110845</v>
      </c>
      <c r="K598" s="75">
        <v>117493</v>
      </c>
      <c r="L598" s="75">
        <v>124792</v>
      </c>
      <c r="M598" s="75">
        <v>134149</v>
      </c>
      <c r="N598" s="59">
        <v>143448</v>
      </c>
      <c r="O598" s="59">
        <v>149342</v>
      </c>
      <c r="P598" s="75">
        <v>156310</v>
      </c>
      <c r="Q598" s="59">
        <v>159537</v>
      </c>
      <c r="R598" s="59">
        <v>163050</v>
      </c>
      <c r="S598" s="64">
        <v>165541</v>
      </c>
      <c r="AD598" s="57"/>
      <c r="AE598" s="57"/>
      <c r="AF598" s="57"/>
      <c r="AG598" s="57"/>
      <c r="AH598" s="57"/>
      <c r="AI598" s="57"/>
      <c r="AJ598" s="57"/>
      <c r="AK598" s="57"/>
      <c r="AL598" s="57"/>
      <c r="AM598" s="57"/>
      <c r="AN598" s="57"/>
      <c r="AO598" s="57"/>
    </row>
    <row r="599" spans="1:41">
      <c r="A599" s="55" t="s">
        <v>422</v>
      </c>
      <c r="B599" s="65" t="s">
        <v>398</v>
      </c>
      <c r="C599" s="75">
        <v>548116</v>
      </c>
      <c r="D599" s="75">
        <v>579091</v>
      </c>
      <c r="E599" s="75">
        <v>613981</v>
      </c>
      <c r="F599" s="75">
        <v>662815</v>
      </c>
      <c r="G599" s="75">
        <v>679888</v>
      </c>
      <c r="H599" s="75">
        <v>712905</v>
      </c>
      <c r="I599" s="75">
        <v>750685</v>
      </c>
      <c r="J599" s="75">
        <v>800104</v>
      </c>
      <c r="K599" s="75">
        <v>846147</v>
      </c>
      <c r="L599" s="75">
        <v>902367</v>
      </c>
      <c r="M599" s="75">
        <v>948007</v>
      </c>
      <c r="N599" s="59">
        <v>969633</v>
      </c>
      <c r="O599" s="59">
        <v>943083</v>
      </c>
      <c r="P599" s="75">
        <v>964032</v>
      </c>
      <c r="Q599" s="59">
        <v>1015238</v>
      </c>
      <c r="R599" s="59">
        <v>1074076</v>
      </c>
      <c r="S599" s="64">
        <v>1122962</v>
      </c>
      <c r="AD599" s="57"/>
      <c r="AE599" s="57"/>
      <c r="AF599" s="57"/>
      <c r="AG599" s="57"/>
      <c r="AH599" s="57"/>
      <c r="AI599" s="57"/>
      <c r="AJ599" s="57"/>
      <c r="AK599" s="57"/>
      <c r="AL599" s="57"/>
      <c r="AM599" s="57"/>
      <c r="AN599" s="57"/>
      <c r="AO599" s="57"/>
    </row>
    <row r="600" spans="1:41">
      <c r="A600" s="55" t="s">
        <v>422</v>
      </c>
      <c r="B600" s="65" t="s">
        <v>399</v>
      </c>
      <c r="C600" s="75">
        <v>126054</v>
      </c>
      <c r="D600" s="75">
        <v>132598</v>
      </c>
      <c r="E600" s="75">
        <v>141476</v>
      </c>
      <c r="F600" s="75">
        <v>149441</v>
      </c>
      <c r="G600" s="75">
        <v>155909</v>
      </c>
      <c r="H600" s="75">
        <v>165172</v>
      </c>
      <c r="I600" s="75">
        <v>178395</v>
      </c>
      <c r="J600" s="75">
        <v>189652</v>
      </c>
      <c r="K600" s="75">
        <v>199697</v>
      </c>
      <c r="L600" s="75">
        <v>219802</v>
      </c>
      <c r="M600" s="75">
        <v>238958</v>
      </c>
      <c r="N600" s="59">
        <v>246682</v>
      </c>
      <c r="O600" s="59">
        <v>243097</v>
      </c>
      <c r="P600" s="75">
        <v>245236</v>
      </c>
      <c r="Q600" s="59">
        <v>255416</v>
      </c>
      <c r="R600" s="59">
        <v>268869</v>
      </c>
      <c r="S600" s="64">
        <v>280103</v>
      </c>
      <c r="T600" s="63"/>
      <c r="AD600" s="57"/>
      <c r="AE600" s="57"/>
      <c r="AF600" s="57"/>
      <c r="AG600" s="57"/>
      <c r="AH600" s="57"/>
      <c r="AI600" s="57"/>
      <c r="AJ600" s="57"/>
      <c r="AK600" s="57"/>
      <c r="AL600" s="57"/>
      <c r="AM600" s="57"/>
      <c r="AN600" s="57"/>
      <c r="AO600" s="57"/>
    </row>
    <row r="601" spans="1:41">
      <c r="A601" s="55" t="s">
        <v>422</v>
      </c>
      <c r="B601" s="65" t="s">
        <v>400</v>
      </c>
      <c r="C601" s="75">
        <v>58994</v>
      </c>
      <c r="D601" s="75">
        <v>64172</v>
      </c>
      <c r="E601" s="75">
        <v>68768</v>
      </c>
      <c r="F601" s="75">
        <v>75091</v>
      </c>
      <c r="G601" s="75">
        <v>82375</v>
      </c>
      <c r="H601" s="75">
        <v>90348</v>
      </c>
      <c r="I601" s="75">
        <v>97036</v>
      </c>
      <c r="J601" s="75">
        <v>100651</v>
      </c>
      <c r="K601" s="75">
        <v>105956</v>
      </c>
      <c r="L601" s="75">
        <v>115876</v>
      </c>
      <c r="M601" s="75">
        <v>126286</v>
      </c>
      <c r="N601" s="59">
        <v>131839</v>
      </c>
      <c r="O601" s="59">
        <v>132251</v>
      </c>
      <c r="P601" s="75">
        <v>132203</v>
      </c>
      <c r="Q601" s="59">
        <v>136522</v>
      </c>
      <c r="R601" s="59">
        <v>143580</v>
      </c>
      <c r="S601" s="64">
        <v>150386</v>
      </c>
      <c r="T601" s="63"/>
      <c r="AD601" s="57"/>
      <c r="AE601" s="57"/>
      <c r="AF601" s="57"/>
      <c r="AG601" s="57"/>
      <c r="AH601" s="57"/>
      <c r="AI601" s="57"/>
      <c r="AJ601" s="57"/>
      <c r="AK601" s="57"/>
      <c r="AL601" s="57"/>
      <c r="AM601" s="57"/>
      <c r="AN601" s="57"/>
      <c r="AO601" s="57"/>
    </row>
    <row r="602" spans="1:41">
      <c r="A602" s="55" t="s">
        <v>422</v>
      </c>
      <c r="B602" s="65" t="s">
        <v>401</v>
      </c>
      <c r="C602" s="75">
        <v>67060</v>
      </c>
      <c r="D602" s="75">
        <v>68426</v>
      </c>
      <c r="E602" s="75">
        <v>72708</v>
      </c>
      <c r="F602" s="75">
        <v>74350</v>
      </c>
      <c r="G602" s="75">
        <v>73534</v>
      </c>
      <c r="H602" s="75">
        <v>74824</v>
      </c>
      <c r="I602" s="75">
        <v>81360</v>
      </c>
      <c r="J602" s="75">
        <v>89001</v>
      </c>
      <c r="K602" s="75">
        <v>93741</v>
      </c>
      <c r="L602" s="75">
        <v>103926</v>
      </c>
      <c r="M602" s="75">
        <v>112673</v>
      </c>
      <c r="N602" s="59">
        <v>114843</v>
      </c>
      <c r="O602" s="59">
        <v>110845</v>
      </c>
      <c r="P602" s="75">
        <v>113033</v>
      </c>
      <c r="Q602" s="59">
        <v>118894</v>
      </c>
      <c r="R602" s="59">
        <v>125289</v>
      </c>
      <c r="S602" s="64">
        <v>129718</v>
      </c>
      <c r="AD602" s="57"/>
      <c r="AE602" s="57"/>
      <c r="AF602" s="57"/>
      <c r="AG602" s="57"/>
      <c r="AH602" s="57"/>
      <c r="AI602" s="57"/>
      <c r="AJ602" s="57"/>
      <c r="AK602" s="57"/>
      <c r="AL602" s="57"/>
      <c r="AM602" s="57"/>
      <c r="AN602" s="57"/>
      <c r="AO602" s="57"/>
    </row>
    <row r="603" spans="1:41">
      <c r="A603" s="55" t="s">
        <v>422</v>
      </c>
      <c r="B603" s="65" t="s">
        <v>402</v>
      </c>
      <c r="C603" s="75">
        <v>422063</v>
      </c>
      <c r="D603" s="75">
        <v>446493</v>
      </c>
      <c r="E603" s="75">
        <v>472505</v>
      </c>
      <c r="F603" s="75">
        <v>513374</v>
      </c>
      <c r="G603" s="75">
        <v>523979</v>
      </c>
      <c r="H603" s="75">
        <v>547733</v>
      </c>
      <c r="I603" s="75">
        <v>572290</v>
      </c>
      <c r="J603" s="75">
        <v>610452</v>
      </c>
      <c r="K603" s="75">
        <v>646450</v>
      </c>
      <c r="L603" s="75">
        <v>682564</v>
      </c>
      <c r="M603" s="75">
        <v>709049</v>
      </c>
      <c r="N603" s="59">
        <v>722951</v>
      </c>
      <c r="O603" s="59">
        <v>699987</v>
      </c>
      <c r="P603" s="75">
        <v>718796</v>
      </c>
      <c r="Q603" s="59">
        <v>759822</v>
      </c>
      <c r="R603" s="59">
        <v>805207</v>
      </c>
      <c r="S603" s="64">
        <v>842858</v>
      </c>
      <c r="T603" s="63"/>
      <c r="AD603" s="57"/>
      <c r="AE603" s="57"/>
      <c r="AF603" s="57"/>
      <c r="AG603" s="57"/>
      <c r="AH603" s="57"/>
      <c r="AI603" s="57"/>
      <c r="AJ603" s="57"/>
      <c r="AK603" s="57"/>
      <c r="AL603" s="57"/>
      <c r="AM603" s="57"/>
      <c r="AN603" s="57"/>
      <c r="AO603" s="57"/>
    </row>
    <row r="604" spans="1:41">
      <c r="A604" s="55" t="s">
        <v>422</v>
      </c>
      <c r="B604" s="65" t="s">
        <v>403</v>
      </c>
      <c r="C604" s="75">
        <v>117943</v>
      </c>
      <c r="D604" s="75">
        <v>124638</v>
      </c>
      <c r="E604" s="75">
        <v>134442</v>
      </c>
      <c r="F604" s="75">
        <v>150921</v>
      </c>
      <c r="G604" s="75">
        <v>145563</v>
      </c>
      <c r="H604" s="75">
        <v>148737</v>
      </c>
      <c r="I604" s="75">
        <v>154077</v>
      </c>
      <c r="J604" s="75">
        <v>166674</v>
      </c>
      <c r="K604" s="75">
        <v>179302</v>
      </c>
      <c r="L604" s="75">
        <v>189432</v>
      </c>
      <c r="M604" s="75">
        <v>196054</v>
      </c>
      <c r="N604" s="59">
        <v>197649</v>
      </c>
      <c r="O604" s="59">
        <v>178419</v>
      </c>
      <c r="P604" s="75">
        <v>178831</v>
      </c>
      <c r="Q604" s="59">
        <v>189427</v>
      </c>
      <c r="R604" s="59">
        <v>200451</v>
      </c>
      <c r="S604" s="64">
        <v>212862</v>
      </c>
      <c r="T604" s="63"/>
      <c r="AD604" s="57"/>
      <c r="AE604" s="57"/>
      <c r="AF604" s="57"/>
      <c r="AG604" s="57"/>
      <c r="AH604" s="57"/>
      <c r="AI604" s="57"/>
      <c r="AJ604" s="57"/>
      <c r="AK604" s="57"/>
      <c r="AL604" s="57"/>
      <c r="AM604" s="57"/>
      <c r="AN604" s="57"/>
      <c r="AO604" s="57"/>
    </row>
    <row r="605" spans="1:41">
      <c r="A605" s="55" t="s">
        <v>422</v>
      </c>
      <c r="B605" s="65" t="s">
        <v>404</v>
      </c>
      <c r="C605" s="75">
        <v>304120</v>
      </c>
      <c r="D605" s="75">
        <v>321855</v>
      </c>
      <c r="E605" s="75">
        <v>338063</v>
      </c>
      <c r="F605" s="75">
        <v>362453</v>
      </c>
      <c r="G605" s="75">
        <v>378416</v>
      </c>
      <c r="H605" s="75">
        <v>398996</v>
      </c>
      <c r="I605" s="75">
        <v>418213</v>
      </c>
      <c r="J605" s="75">
        <v>443778</v>
      </c>
      <c r="K605" s="75">
        <v>467147</v>
      </c>
      <c r="L605" s="75">
        <v>493132</v>
      </c>
      <c r="M605" s="75">
        <v>512995</v>
      </c>
      <c r="N605" s="59">
        <v>525302</v>
      </c>
      <c r="O605" s="59">
        <v>521567</v>
      </c>
      <c r="P605" s="75">
        <v>539966</v>
      </c>
      <c r="Q605" s="59">
        <v>570395</v>
      </c>
      <c r="R605" s="59">
        <v>604756</v>
      </c>
      <c r="S605" s="64">
        <v>629996</v>
      </c>
      <c r="AD605" s="57"/>
      <c r="AE605" s="57"/>
      <c r="AF605" s="57"/>
      <c r="AG605" s="57"/>
      <c r="AH605" s="57"/>
      <c r="AI605" s="57"/>
      <c r="AJ605" s="57"/>
      <c r="AK605" s="57"/>
      <c r="AL605" s="57"/>
      <c r="AM605" s="57"/>
      <c r="AN605" s="57"/>
      <c r="AO605" s="57"/>
    </row>
    <row r="606" spans="1:41">
      <c r="A606" s="55" t="s">
        <v>422</v>
      </c>
      <c r="B606" s="65" t="s">
        <v>415</v>
      </c>
      <c r="C606" s="75">
        <v>351304</v>
      </c>
      <c r="D606" s="75">
        <v>382745</v>
      </c>
      <c r="E606" s="75">
        <v>401104</v>
      </c>
      <c r="F606" s="75">
        <v>423648</v>
      </c>
      <c r="G606" s="75">
        <v>441080</v>
      </c>
      <c r="H606" s="75">
        <v>456958</v>
      </c>
      <c r="I606" s="75">
        <v>468111</v>
      </c>
      <c r="J606" s="75">
        <v>486587</v>
      </c>
      <c r="K606" s="75">
        <v>496240</v>
      </c>
      <c r="L606" s="75">
        <v>522256</v>
      </c>
      <c r="M606" s="75">
        <v>533841</v>
      </c>
      <c r="N606" s="59">
        <v>551619</v>
      </c>
      <c r="O606" s="59">
        <v>525987</v>
      </c>
      <c r="P606" s="75">
        <v>539586</v>
      </c>
      <c r="Q606" s="59">
        <v>554675</v>
      </c>
      <c r="R606" s="59">
        <v>581289</v>
      </c>
      <c r="S606" s="64">
        <v>593554</v>
      </c>
      <c r="AD606" s="57"/>
      <c r="AE606" s="57"/>
      <c r="AF606" s="57"/>
      <c r="AG606" s="57"/>
      <c r="AH606" s="57"/>
      <c r="AI606" s="57"/>
      <c r="AJ606" s="57"/>
      <c r="AK606" s="57"/>
      <c r="AL606" s="57"/>
      <c r="AM606" s="57"/>
      <c r="AN606" s="57"/>
      <c r="AO606" s="57"/>
    </row>
    <row r="607" spans="1:41">
      <c r="A607" s="55" t="s">
        <v>422</v>
      </c>
      <c r="B607" s="65" t="s">
        <v>174</v>
      </c>
      <c r="C607" s="75">
        <v>1665985</v>
      </c>
      <c r="D607" s="75">
        <v>1732152</v>
      </c>
      <c r="E607" s="75">
        <v>1837624</v>
      </c>
      <c r="F607" s="75">
        <v>1954194</v>
      </c>
      <c r="G607" s="75">
        <v>2087038</v>
      </c>
      <c r="H607" s="75">
        <v>2218036</v>
      </c>
      <c r="I607" s="75">
        <v>2349125</v>
      </c>
      <c r="J607" s="75">
        <v>2493963</v>
      </c>
      <c r="K607" s="75">
        <v>2639236</v>
      </c>
      <c r="L607" s="75">
        <v>2793612</v>
      </c>
      <c r="M607" s="75">
        <v>2946655</v>
      </c>
      <c r="N607" s="59">
        <v>3135914</v>
      </c>
      <c r="O607" s="59">
        <v>3231316</v>
      </c>
      <c r="P607" s="75">
        <v>3339558</v>
      </c>
      <c r="Q607" s="59">
        <v>3371834</v>
      </c>
      <c r="R607" s="59">
        <v>3414454</v>
      </c>
      <c r="S607" s="64">
        <v>3429697</v>
      </c>
      <c r="AD607" s="57"/>
      <c r="AE607" s="57"/>
      <c r="AF607" s="57"/>
      <c r="AG607" s="57"/>
      <c r="AH607" s="57"/>
      <c r="AI607" s="57"/>
      <c r="AJ607" s="57"/>
      <c r="AK607" s="57"/>
      <c r="AL607" s="57"/>
      <c r="AM607" s="57"/>
      <c r="AN607" s="57"/>
      <c r="AO607" s="57"/>
    </row>
    <row r="608" spans="1:41">
      <c r="A608" s="55" t="s">
        <v>422</v>
      </c>
      <c r="B608" s="65" t="s">
        <v>219</v>
      </c>
      <c r="C608" s="75">
        <v>537099</v>
      </c>
      <c r="D608" s="75">
        <v>538660</v>
      </c>
      <c r="E608" s="75">
        <v>559255</v>
      </c>
      <c r="F608" s="75">
        <v>583574</v>
      </c>
      <c r="G608" s="75">
        <v>616285</v>
      </c>
      <c r="H608" s="75">
        <v>674798</v>
      </c>
      <c r="I608" s="75">
        <v>745619</v>
      </c>
      <c r="J608" s="75">
        <v>801688</v>
      </c>
      <c r="K608" s="75">
        <v>848541</v>
      </c>
      <c r="L608" s="75">
        <v>896575</v>
      </c>
      <c r="M608" s="75">
        <v>934576</v>
      </c>
      <c r="N608" s="59">
        <v>1021021</v>
      </c>
      <c r="O608" s="59">
        <v>1074233</v>
      </c>
      <c r="P608" s="75">
        <v>1146128</v>
      </c>
      <c r="Q608" s="59">
        <v>1151250</v>
      </c>
      <c r="R608" s="59">
        <v>1150259</v>
      </c>
      <c r="S608" s="64">
        <v>1100457</v>
      </c>
      <c r="T608" s="63"/>
      <c r="AD608" s="57"/>
      <c r="AE608" s="57"/>
      <c r="AF608" s="57"/>
      <c r="AG608" s="57"/>
      <c r="AH608" s="57"/>
      <c r="AI608" s="57"/>
      <c r="AJ608" s="57"/>
      <c r="AK608" s="57"/>
      <c r="AL608" s="57"/>
      <c r="AM608" s="57"/>
      <c r="AN608" s="57"/>
      <c r="AO608" s="57"/>
    </row>
    <row r="609" spans="1:41">
      <c r="A609" s="55" t="s">
        <v>422</v>
      </c>
      <c r="B609" s="55" t="s">
        <v>448</v>
      </c>
      <c r="C609" s="75">
        <v>464259</v>
      </c>
      <c r="D609" s="75">
        <v>463079</v>
      </c>
      <c r="E609" s="75">
        <v>481112</v>
      </c>
      <c r="F609" s="75">
        <v>503301</v>
      </c>
      <c r="G609" s="75">
        <v>534987</v>
      </c>
      <c r="H609" s="59">
        <v>591754</v>
      </c>
      <c r="I609" s="59">
        <v>661943</v>
      </c>
      <c r="J609" s="59">
        <v>716041</v>
      </c>
      <c r="K609" s="59">
        <v>762635</v>
      </c>
      <c r="L609" s="59">
        <v>803982</v>
      </c>
      <c r="M609" s="59">
        <v>838571</v>
      </c>
      <c r="N609" s="59">
        <v>922613</v>
      </c>
      <c r="O609" s="59">
        <v>978061</v>
      </c>
      <c r="P609" s="59">
        <v>1050207</v>
      </c>
      <c r="Q609" s="59">
        <v>1056689</v>
      </c>
      <c r="R609" s="59">
        <v>1052306</v>
      </c>
      <c r="S609" s="64">
        <v>1009229</v>
      </c>
      <c r="T609" s="63"/>
      <c r="AD609" s="57"/>
      <c r="AE609" s="57"/>
      <c r="AF609" s="57"/>
      <c r="AG609" s="57"/>
      <c r="AH609" s="57"/>
      <c r="AI609" s="57"/>
      <c r="AJ609" s="57"/>
      <c r="AK609" s="57"/>
      <c r="AL609" s="57"/>
      <c r="AM609" s="57"/>
      <c r="AN609" s="57"/>
      <c r="AO609" s="57"/>
    </row>
    <row r="610" spans="1:41">
      <c r="A610" s="55" t="s">
        <v>422</v>
      </c>
      <c r="B610" s="69" t="s">
        <v>449</v>
      </c>
      <c r="C610" s="75">
        <v>304322</v>
      </c>
      <c r="D610" s="75">
        <v>299925</v>
      </c>
      <c r="E610" s="75">
        <v>312731</v>
      </c>
      <c r="F610" s="75">
        <v>320714</v>
      </c>
      <c r="G610" s="75">
        <v>339355</v>
      </c>
      <c r="H610" s="59">
        <v>374153</v>
      </c>
      <c r="I610" s="59">
        <v>426047</v>
      </c>
      <c r="J610" s="59">
        <v>464209</v>
      </c>
      <c r="K610" s="59">
        <v>495103</v>
      </c>
      <c r="L610" s="59">
        <v>521615</v>
      </c>
      <c r="M610" s="59">
        <v>547984</v>
      </c>
      <c r="N610" s="59">
        <v>605869</v>
      </c>
      <c r="O610" s="59">
        <v>636543</v>
      </c>
      <c r="P610" s="59">
        <v>676777</v>
      </c>
      <c r="Q610" s="59">
        <v>688272</v>
      </c>
      <c r="R610" s="59">
        <v>678581</v>
      </c>
      <c r="S610" s="64">
        <v>643293</v>
      </c>
      <c r="T610" s="63"/>
      <c r="AD610" s="57"/>
      <c r="AE610" s="57"/>
      <c r="AF610" s="57"/>
      <c r="AG610" s="57"/>
      <c r="AH610" s="57"/>
      <c r="AI610" s="57"/>
      <c r="AJ610" s="57"/>
      <c r="AK610" s="57"/>
      <c r="AL610" s="57"/>
      <c r="AM610" s="57"/>
      <c r="AN610" s="57"/>
      <c r="AO610" s="57"/>
    </row>
    <row r="611" spans="1:41">
      <c r="A611" s="55" t="s">
        <v>422</v>
      </c>
      <c r="B611" s="69" t="s">
        <v>450</v>
      </c>
      <c r="C611" s="75">
        <v>159937</v>
      </c>
      <c r="D611" s="75">
        <v>163154</v>
      </c>
      <c r="E611" s="75">
        <v>168381</v>
      </c>
      <c r="F611" s="75">
        <v>182587</v>
      </c>
      <c r="G611" s="75">
        <v>195632</v>
      </c>
      <c r="H611" s="59">
        <v>217601</v>
      </c>
      <c r="I611" s="59">
        <v>235896</v>
      </c>
      <c r="J611" s="59">
        <v>251832</v>
      </c>
      <c r="K611" s="59">
        <v>267532</v>
      </c>
      <c r="L611" s="59">
        <v>282367</v>
      </c>
      <c r="M611" s="59">
        <v>290587</v>
      </c>
      <c r="N611" s="59">
        <v>316744</v>
      </c>
      <c r="O611" s="59">
        <v>341518</v>
      </c>
      <c r="P611" s="59">
        <v>373430</v>
      </c>
      <c r="Q611" s="59">
        <v>368417</v>
      </c>
      <c r="R611" s="59">
        <v>373725</v>
      </c>
      <c r="S611" s="64">
        <v>365936</v>
      </c>
      <c r="T611" s="63"/>
      <c r="AD611" s="57"/>
      <c r="AE611" s="57"/>
      <c r="AF611" s="57"/>
      <c r="AG611" s="57"/>
      <c r="AH611" s="57"/>
      <c r="AI611" s="57"/>
      <c r="AJ611" s="57"/>
      <c r="AK611" s="57"/>
      <c r="AL611" s="57"/>
      <c r="AM611" s="57"/>
      <c r="AN611" s="57"/>
      <c r="AO611" s="57"/>
    </row>
    <row r="612" spans="1:41" ht="15">
      <c r="A612" s="55" t="s">
        <v>422</v>
      </c>
      <c r="B612" s="70" t="s">
        <v>451</v>
      </c>
      <c r="C612" s="75">
        <v>72840</v>
      </c>
      <c r="D612" s="75">
        <v>75581</v>
      </c>
      <c r="E612" s="75">
        <v>78143</v>
      </c>
      <c r="F612" s="75">
        <v>80273</v>
      </c>
      <c r="G612" s="75">
        <v>81298</v>
      </c>
      <c r="H612" s="75">
        <v>83044</v>
      </c>
      <c r="I612" s="75">
        <v>83676</v>
      </c>
      <c r="J612" s="75">
        <v>85647</v>
      </c>
      <c r="K612" s="75">
        <v>85906</v>
      </c>
      <c r="L612" s="75">
        <v>92593</v>
      </c>
      <c r="M612" s="75">
        <v>96005</v>
      </c>
      <c r="N612" s="59">
        <v>98408</v>
      </c>
      <c r="O612" s="59">
        <v>96172</v>
      </c>
      <c r="P612" s="59">
        <v>95921</v>
      </c>
      <c r="Q612" s="59">
        <v>94561</v>
      </c>
      <c r="R612" s="59">
        <v>97953</v>
      </c>
      <c r="S612" s="64">
        <v>91228</v>
      </c>
      <c r="AD612" s="57"/>
      <c r="AE612" s="57"/>
      <c r="AF612" s="57"/>
      <c r="AG612" s="57"/>
      <c r="AH612" s="57"/>
      <c r="AI612" s="57"/>
      <c r="AJ612" s="57"/>
      <c r="AK612" s="57"/>
      <c r="AL612" s="57"/>
      <c r="AM612" s="57"/>
      <c r="AN612" s="57"/>
      <c r="AO612" s="57"/>
    </row>
    <row r="613" spans="1:41">
      <c r="A613" s="55" t="s">
        <v>422</v>
      </c>
      <c r="B613" s="65" t="s">
        <v>221</v>
      </c>
      <c r="C613" s="75">
        <v>1128887</v>
      </c>
      <c r="D613" s="75">
        <v>1193492</v>
      </c>
      <c r="E613" s="75">
        <v>1278369</v>
      </c>
      <c r="F613" s="75">
        <v>1370620</v>
      </c>
      <c r="G613" s="75">
        <v>1470753</v>
      </c>
      <c r="H613" s="75">
        <v>1543238</v>
      </c>
      <c r="I613" s="75">
        <v>1603506</v>
      </c>
      <c r="J613" s="75">
        <v>1692275</v>
      </c>
      <c r="K613" s="75">
        <v>1790695</v>
      </c>
      <c r="L613" s="75">
        <v>1897037</v>
      </c>
      <c r="M613" s="75">
        <v>2012079</v>
      </c>
      <c r="N613" s="59">
        <v>2114893</v>
      </c>
      <c r="O613" s="59">
        <v>2157083</v>
      </c>
      <c r="P613" s="59">
        <v>2193429</v>
      </c>
      <c r="Q613" s="59">
        <v>2220584</v>
      </c>
      <c r="R613" s="59">
        <v>2264195</v>
      </c>
      <c r="S613" s="64">
        <v>2329240</v>
      </c>
      <c r="T613" s="63"/>
      <c r="AD613" s="57"/>
      <c r="AE613" s="57"/>
      <c r="AF613" s="57"/>
      <c r="AG613" s="57"/>
      <c r="AH613" s="57"/>
      <c r="AI613" s="57"/>
      <c r="AJ613" s="57"/>
      <c r="AK613" s="57"/>
      <c r="AL613" s="57"/>
      <c r="AM613" s="57"/>
      <c r="AN613" s="57"/>
      <c r="AO613" s="57"/>
    </row>
    <row r="614" spans="1:41">
      <c r="A614" s="55" t="s">
        <v>422</v>
      </c>
      <c r="B614" s="65" t="s">
        <v>452</v>
      </c>
      <c r="C614" s="75">
        <v>998740</v>
      </c>
      <c r="D614" s="75">
        <v>1058661</v>
      </c>
      <c r="E614" s="75">
        <v>1137144</v>
      </c>
      <c r="F614" s="75">
        <v>1223681</v>
      </c>
      <c r="G614" s="75">
        <v>1316297</v>
      </c>
      <c r="H614" s="75">
        <v>1381784</v>
      </c>
      <c r="I614" s="75">
        <v>1432537</v>
      </c>
      <c r="J614" s="75">
        <v>1510052</v>
      </c>
      <c r="K614" s="75">
        <v>1594147</v>
      </c>
      <c r="L614" s="75">
        <v>1685031</v>
      </c>
      <c r="M614" s="75">
        <v>1787992</v>
      </c>
      <c r="N614" s="59">
        <v>1879726</v>
      </c>
      <c r="O614" s="59">
        <v>1913902</v>
      </c>
      <c r="P614" s="59">
        <v>1942305</v>
      </c>
      <c r="Q614" s="59">
        <v>1961814</v>
      </c>
      <c r="R614" s="59">
        <v>1997572</v>
      </c>
      <c r="S614" s="64">
        <v>2053103</v>
      </c>
      <c r="T614" s="63"/>
      <c r="AD614" s="57"/>
      <c r="AE614" s="57"/>
      <c r="AF614" s="57"/>
      <c r="AG614" s="57"/>
      <c r="AH614" s="57"/>
      <c r="AI614" s="57"/>
      <c r="AJ614" s="57"/>
      <c r="AK614" s="57"/>
      <c r="AL614" s="57"/>
      <c r="AM614" s="57"/>
      <c r="AN614" s="57"/>
      <c r="AO614" s="57"/>
    </row>
    <row r="615" spans="1:41">
      <c r="A615" s="55" t="s">
        <v>422</v>
      </c>
      <c r="B615" s="65" t="s">
        <v>453</v>
      </c>
      <c r="C615" s="75">
        <v>130147</v>
      </c>
      <c r="D615" s="75">
        <v>134831</v>
      </c>
      <c r="E615" s="75">
        <v>141225</v>
      </c>
      <c r="F615" s="75">
        <v>146939</v>
      </c>
      <c r="G615" s="75">
        <v>154456</v>
      </c>
      <c r="H615" s="75">
        <v>161454</v>
      </c>
      <c r="I615" s="75">
        <v>170969</v>
      </c>
      <c r="J615" s="75">
        <v>182223</v>
      </c>
      <c r="K615" s="75">
        <v>196548</v>
      </c>
      <c r="L615" s="75">
        <v>212006</v>
      </c>
      <c r="M615" s="75">
        <v>224087</v>
      </c>
      <c r="N615" s="59">
        <v>235167</v>
      </c>
      <c r="O615" s="59">
        <v>243181</v>
      </c>
      <c r="P615" s="59">
        <v>251124</v>
      </c>
      <c r="Q615" s="59">
        <v>258770</v>
      </c>
      <c r="R615" s="59">
        <v>266623</v>
      </c>
      <c r="S615" s="64">
        <v>276137</v>
      </c>
      <c r="AD615" s="57"/>
      <c r="AE615" s="57"/>
      <c r="AF615" s="57"/>
      <c r="AG615" s="57"/>
      <c r="AH615" s="57"/>
      <c r="AI615" s="57"/>
      <c r="AJ615" s="57"/>
      <c r="AK615" s="57"/>
      <c r="AL615" s="57"/>
      <c r="AM615" s="57"/>
      <c r="AN615" s="57"/>
      <c r="AO615" s="57"/>
    </row>
    <row r="616" spans="1:41">
      <c r="B616" s="55" t="s">
        <v>198</v>
      </c>
      <c r="AD616" s="57"/>
      <c r="AE616" s="57"/>
      <c r="AF616" s="57"/>
      <c r="AG616" s="57"/>
      <c r="AH616" s="57"/>
      <c r="AI616" s="57"/>
      <c r="AJ616" s="57"/>
      <c r="AK616" s="57"/>
      <c r="AL616" s="57"/>
      <c r="AM616" s="57"/>
      <c r="AN616" s="57"/>
      <c r="AO616" s="57"/>
    </row>
    <row r="617" spans="1:41" ht="14.25">
      <c r="A617" s="55" t="s">
        <v>422</v>
      </c>
      <c r="B617" s="69" t="s">
        <v>454</v>
      </c>
      <c r="C617" s="55">
        <v>4987571</v>
      </c>
      <c r="D617" s="55">
        <v>5086365</v>
      </c>
      <c r="E617" s="55">
        <v>5283212</v>
      </c>
      <c r="F617" s="55">
        <v>5596900</v>
      </c>
      <c r="G617" s="55">
        <v>5432049</v>
      </c>
      <c r="H617" s="55">
        <v>5343111</v>
      </c>
      <c r="I617" s="55">
        <v>5579640</v>
      </c>
      <c r="J617" s="55">
        <v>6093442</v>
      </c>
      <c r="K617" s="55">
        <v>6742418</v>
      </c>
      <c r="L617" s="55">
        <v>7141181</v>
      </c>
      <c r="M617" s="55">
        <v>7502187</v>
      </c>
      <c r="N617" s="55">
        <v>7696755</v>
      </c>
      <c r="O617" s="55">
        <v>6282010</v>
      </c>
      <c r="P617" s="55">
        <v>6836887</v>
      </c>
      <c r="Q617" s="55">
        <v>7581233</v>
      </c>
      <c r="R617" s="55">
        <v>7907346</v>
      </c>
      <c r="S617" s="64">
        <v>8184170</v>
      </c>
      <c r="AD617" s="57"/>
      <c r="AE617" s="57"/>
      <c r="AF617" s="57"/>
      <c r="AG617" s="57"/>
      <c r="AH617" s="57"/>
      <c r="AI617" s="57"/>
      <c r="AJ617" s="57"/>
      <c r="AK617" s="57"/>
      <c r="AL617" s="57"/>
      <c r="AM617" s="57"/>
      <c r="AN617" s="57"/>
      <c r="AO617" s="57"/>
    </row>
    <row r="618" spans="1:41" ht="14.25">
      <c r="A618" s="55" t="s">
        <v>422</v>
      </c>
      <c r="B618" s="69" t="s">
        <v>455</v>
      </c>
      <c r="C618" s="59">
        <v>8701870</v>
      </c>
      <c r="D618" s="59">
        <v>9352736</v>
      </c>
      <c r="E618" s="59">
        <v>10123961</v>
      </c>
      <c r="F618" s="59">
        <v>11013467</v>
      </c>
      <c r="G618" s="59">
        <v>11344035</v>
      </c>
      <c r="H618" s="59">
        <v>11613847</v>
      </c>
      <c r="I618" s="59">
        <v>12206312</v>
      </c>
      <c r="J618" s="59">
        <v>13109879</v>
      </c>
      <c r="K618" s="59">
        <v>14133236</v>
      </c>
      <c r="L618" s="59">
        <v>14953163</v>
      </c>
      <c r="M618" s="59">
        <v>15702453</v>
      </c>
      <c r="N618" s="59">
        <v>15993025</v>
      </c>
      <c r="O618" s="59">
        <v>15143910</v>
      </c>
      <c r="P618" s="59">
        <v>15917070</v>
      </c>
      <c r="Q618" s="59">
        <v>16582904</v>
      </c>
      <c r="R618" s="59">
        <v>17382016</v>
      </c>
      <c r="S618" s="64">
        <v>18107419</v>
      </c>
      <c r="T618" s="63"/>
      <c r="AD618" s="57"/>
      <c r="AE618" s="57"/>
      <c r="AF618" s="57"/>
      <c r="AG618" s="57"/>
      <c r="AH618" s="57"/>
      <c r="AI618" s="57"/>
      <c r="AJ618" s="57"/>
      <c r="AK618" s="57"/>
      <c r="AL618" s="57"/>
      <c r="AM618" s="57"/>
      <c r="AN618" s="57"/>
      <c r="AO618" s="57"/>
    </row>
    <row r="619" spans="1:41" ht="14.25">
      <c r="A619" s="55" t="s">
        <v>422</v>
      </c>
      <c r="B619" s="71" t="s">
        <v>456</v>
      </c>
      <c r="C619" s="59">
        <v>983055</v>
      </c>
      <c r="D619" s="59">
        <v>1072580</v>
      </c>
      <c r="E619" s="59">
        <v>1210640</v>
      </c>
      <c r="F619" s="59">
        <v>1352769</v>
      </c>
      <c r="G619" s="59">
        <v>1303387</v>
      </c>
      <c r="H619" s="59">
        <v>1231850</v>
      </c>
      <c r="I619" s="59">
        <v>1224493</v>
      </c>
      <c r="J619" s="59">
        <v>1257720</v>
      </c>
      <c r="K619" s="59">
        <v>1311996</v>
      </c>
      <c r="L619" s="59">
        <v>1373170</v>
      </c>
      <c r="M619" s="59">
        <v>1444057</v>
      </c>
      <c r="N619" s="59">
        <v>1493859</v>
      </c>
      <c r="O619" s="59">
        <v>1422354</v>
      </c>
      <c r="P619" s="59">
        <v>1497849</v>
      </c>
      <c r="Q619" s="59">
        <v>1573784</v>
      </c>
      <c r="R619" s="59">
        <v>1638680</v>
      </c>
      <c r="S619" s="64">
        <v>1718131</v>
      </c>
      <c r="AD619" s="57"/>
      <c r="AE619" s="57"/>
      <c r="AF619" s="57"/>
      <c r="AG619" s="57"/>
      <c r="AH619" s="57"/>
      <c r="AI619" s="57"/>
      <c r="AJ619" s="57"/>
      <c r="AK619" s="57"/>
      <c r="AL619" s="57"/>
      <c r="AM619" s="57"/>
      <c r="AN619" s="57"/>
      <c r="AO619" s="57"/>
    </row>
    <row r="621" spans="1:41">
      <c r="A621" s="60" t="s">
        <v>462</v>
      </c>
    </row>
    <row r="622" spans="1:41">
      <c r="A622" s="55" t="s">
        <v>425</v>
      </c>
      <c r="B622" s="65" t="s">
        <v>423</v>
      </c>
      <c r="C622" s="82">
        <v>81.072999999999993</v>
      </c>
      <c r="D622" s="82">
        <v>85.352000000000004</v>
      </c>
      <c r="E622" s="82">
        <v>89.840999999999994</v>
      </c>
      <c r="F622" s="82">
        <v>93.748000000000005</v>
      </c>
      <c r="G622" s="82">
        <v>93.962000000000003</v>
      </c>
      <c r="H622" s="82">
        <v>94.682000000000002</v>
      </c>
      <c r="I622" s="82">
        <v>96.766000000000005</v>
      </c>
      <c r="J622" s="82">
        <v>100.349</v>
      </c>
      <c r="K622" s="82">
        <v>104.26300000000001</v>
      </c>
      <c r="L622" s="82">
        <v>106.373</v>
      </c>
      <c r="M622" s="82">
        <v>108.24299999999999</v>
      </c>
      <c r="N622" s="83">
        <v>106.38800000000001</v>
      </c>
      <c r="O622" s="83">
        <v>100</v>
      </c>
      <c r="P622" s="82">
        <v>102.99299999999999</v>
      </c>
      <c r="Q622" s="83">
        <v>104.834</v>
      </c>
      <c r="R622" s="83">
        <v>107.651</v>
      </c>
      <c r="S622" s="80">
        <v>109.89400000000001</v>
      </c>
      <c r="AD622" s="57"/>
      <c r="AE622" s="57"/>
      <c r="AF622" s="57"/>
      <c r="AG622" s="57"/>
      <c r="AH622" s="57"/>
      <c r="AI622" s="57"/>
      <c r="AJ622" s="57"/>
      <c r="AK622" s="57"/>
      <c r="AL622" s="57"/>
      <c r="AM622" s="57"/>
      <c r="AN622" s="57"/>
      <c r="AO622" s="57"/>
    </row>
    <row r="623" spans="1:41">
      <c r="A623" s="55" t="s">
        <v>425</v>
      </c>
      <c r="B623" s="65" t="s">
        <v>326</v>
      </c>
      <c r="C623" s="82">
        <v>81.581999999999994</v>
      </c>
      <c r="D623" s="82">
        <v>86.194000000000003</v>
      </c>
      <c r="E623" s="82">
        <v>91.007999999999996</v>
      </c>
      <c r="F623" s="82">
        <v>95.224999999999994</v>
      </c>
      <c r="G623" s="82">
        <v>95.093999999999994</v>
      </c>
      <c r="H623" s="82">
        <v>95.507999999999996</v>
      </c>
      <c r="I623" s="82">
        <v>97.695999999999998</v>
      </c>
      <c r="J623" s="82">
        <v>101.601</v>
      </c>
      <c r="K623" s="82">
        <v>105.965</v>
      </c>
      <c r="L623" s="82">
        <v>108.193</v>
      </c>
      <c r="M623" s="82">
        <v>110.163</v>
      </c>
      <c r="N623" s="83">
        <v>107.78100000000001</v>
      </c>
      <c r="O623" s="83">
        <v>100</v>
      </c>
      <c r="P623" s="82">
        <v>103.416</v>
      </c>
      <c r="Q623" s="83">
        <v>105.84</v>
      </c>
      <c r="R623" s="83">
        <v>109.111</v>
      </c>
      <c r="S623" s="80">
        <v>111.849</v>
      </c>
      <c r="AD623" s="57"/>
      <c r="AE623" s="57"/>
      <c r="AF623" s="57"/>
      <c r="AG623" s="57"/>
      <c r="AH623" s="57"/>
      <c r="AI623" s="57"/>
      <c r="AJ623" s="57"/>
      <c r="AK623" s="57"/>
      <c r="AL623" s="57"/>
      <c r="AM623" s="57"/>
      <c r="AN623" s="57"/>
      <c r="AO623" s="57"/>
    </row>
    <row r="624" spans="1:41">
      <c r="A624" s="55" t="s">
        <v>425</v>
      </c>
      <c r="B624" s="65" t="s">
        <v>327</v>
      </c>
      <c r="C624" s="82">
        <v>89.372</v>
      </c>
      <c r="D624" s="82">
        <v>91.207999999999998</v>
      </c>
      <c r="E624" s="82">
        <v>94.516999999999996</v>
      </c>
      <c r="F624" s="82">
        <v>93.168000000000006</v>
      </c>
      <c r="G624" s="82">
        <v>92.557000000000002</v>
      </c>
      <c r="H624" s="82">
        <v>92.725999999999999</v>
      </c>
      <c r="I624" s="82">
        <v>95.388000000000005</v>
      </c>
      <c r="J624" s="82">
        <v>98.662999999999997</v>
      </c>
      <c r="K624" s="82">
        <v>99.662999999999997</v>
      </c>
      <c r="L624" s="82">
        <v>100.226</v>
      </c>
      <c r="M624" s="82">
        <v>98.438000000000002</v>
      </c>
      <c r="N624" s="83">
        <v>97.113</v>
      </c>
      <c r="O624" s="83">
        <v>100</v>
      </c>
      <c r="P624" s="82">
        <v>101.252</v>
      </c>
      <c r="Q624" s="83">
        <v>97.902000000000001</v>
      </c>
      <c r="R624" s="83">
        <v>98.33</v>
      </c>
      <c r="S624" s="80">
        <v>101.34</v>
      </c>
      <c r="T624" s="63"/>
      <c r="AD624" s="57"/>
      <c r="AE624" s="57"/>
      <c r="AF624" s="57"/>
      <c r="AG624" s="57"/>
      <c r="AH624" s="57"/>
      <c r="AI624" s="57"/>
      <c r="AJ624" s="57"/>
      <c r="AK624" s="57"/>
      <c r="AL624" s="57"/>
      <c r="AM624" s="57"/>
      <c r="AN624" s="57"/>
      <c r="AO624" s="57"/>
    </row>
    <row r="625" spans="1:41">
      <c r="A625" s="55" t="s">
        <v>425</v>
      </c>
      <c r="B625" s="65" t="s">
        <v>328</v>
      </c>
      <c r="C625" s="82">
        <v>87.99</v>
      </c>
      <c r="D625" s="82">
        <v>88.516000000000005</v>
      </c>
      <c r="E625" s="82">
        <v>90.548000000000002</v>
      </c>
      <c r="F625" s="82">
        <v>91.694000000000003</v>
      </c>
      <c r="G625" s="82">
        <v>90.382000000000005</v>
      </c>
      <c r="H625" s="82">
        <v>90.007999999999996</v>
      </c>
      <c r="I625" s="82">
        <v>92.643000000000001</v>
      </c>
      <c r="J625" s="82">
        <v>95.33</v>
      </c>
      <c r="K625" s="82">
        <v>96.468999999999994</v>
      </c>
      <c r="L625" s="82">
        <v>97.12</v>
      </c>
      <c r="M625" s="82">
        <v>96.995000000000005</v>
      </c>
      <c r="N625" s="83">
        <v>96.41</v>
      </c>
      <c r="O625" s="83">
        <v>100</v>
      </c>
      <c r="P625" s="82">
        <v>101.114</v>
      </c>
      <c r="Q625" s="83">
        <v>97.058000000000007</v>
      </c>
      <c r="R625" s="83">
        <v>96.787999999999997</v>
      </c>
      <c r="S625" s="80">
        <v>100.06399999999999</v>
      </c>
      <c r="T625" s="63"/>
      <c r="AD625" s="57"/>
      <c r="AE625" s="57"/>
      <c r="AF625" s="57"/>
      <c r="AG625" s="57"/>
      <c r="AH625" s="57"/>
      <c r="AI625" s="57"/>
      <c r="AJ625" s="57"/>
      <c r="AK625" s="57"/>
      <c r="AL625" s="57"/>
      <c r="AM625" s="57"/>
      <c r="AN625" s="57"/>
      <c r="AO625" s="57"/>
    </row>
    <row r="626" spans="1:41">
      <c r="A626" s="55" t="s">
        <v>425</v>
      </c>
      <c r="B626" s="65" t="s">
        <v>329</v>
      </c>
      <c r="C626" s="82">
        <v>100.51</v>
      </c>
      <c r="D626" s="82">
        <v>110.721</v>
      </c>
      <c r="E626" s="82">
        <v>121.90300000000001</v>
      </c>
      <c r="F626" s="82">
        <v>105.589</v>
      </c>
      <c r="G626" s="82">
        <v>109.372</v>
      </c>
      <c r="H626" s="82">
        <v>113.08199999999999</v>
      </c>
      <c r="I626" s="82">
        <v>115.999</v>
      </c>
      <c r="J626" s="82">
        <v>123.526</v>
      </c>
      <c r="K626" s="82">
        <v>123.535</v>
      </c>
      <c r="L626" s="82">
        <v>123.497</v>
      </c>
      <c r="M626" s="82">
        <v>109.67</v>
      </c>
      <c r="N626" s="83">
        <v>102.52200000000001</v>
      </c>
      <c r="O626" s="83">
        <v>100</v>
      </c>
      <c r="P626" s="82">
        <v>102.277</v>
      </c>
      <c r="Q626" s="83">
        <v>104.627</v>
      </c>
      <c r="R626" s="83">
        <v>111.3</v>
      </c>
      <c r="S626" s="80">
        <v>111.83199999999999</v>
      </c>
      <c r="AD626" s="57"/>
      <c r="AE626" s="57"/>
      <c r="AF626" s="57"/>
      <c r="AG626" s="57"/>
      <c r="AH626" s="57"/>
      <c r="AI626" s="57"/>
      <c r="AJ626" s="57"/>
      <c r="AK626" s="57"/>
      <c r="AL626" s="57"/>
      <c r="AM626" s="57"/>
      <c r="AN626" s="57"/>
      <c r="AO626" s="57"/>
    </row>
    <row r="627" spans="1:41">
      <c r="A627" s="55" t="s">
        <v>425</v>
      </c>
      <c r="B627" s="65" t="s">
        <v>330</v>
      </c>
      <c r="C627" s="82">
        <v>95.453999999999994</v>
      </c>
      <c r="D627" s="82">
        <v>94.391999999999996</v>
      </c>
      <c r="E627" s="82">
        <v>90.748000000000005</v>
      </c>
      <c r="F627" s="82">
        <v>95.632000000000005</v>
      </c>
      <c r="G627" s="82">
        <v>100.694</v>
      </c>
      <c r="H627" s="82">
        <v>92.605000000000004</v>
      </c>
      <c r="I627" s="82">
        <v>93.709000000000003</v>
      </c>
      <c r="J627" s="82">
        <v>95.299000000000007</v>
      </c>
      <c r="K627" s="82">
        <v>98.221000000000004</v>
      </c>
      <c r="L627" s="82">
        <v>102.611</v>
      </c>
      <c r="M627" s="82">
        <v>103.28</v>
      </c>
      <c r="N627" s="83">
        <v>105.852</v>
      </c>
      <c r="O627" s="83">
        <v>100</v>
      </c>
      <c r="P627" s="82">
        <v>102.837</v>
      </c>
      <c r="Q627" s="83">
        <v>110.806</v>
      </c>
      <c r="R627" s="83">
        <v>122.72499999999999</v>
      </c>
      <c r="S627" s="80">
        <v>129.18100000000001</v>
      </c>
      <c r="T627" s="63"/>
      <c r="AD627" s="57"/>
      <c r="AE627" s="57"/>
      <c r="AF627" s="57"/>
      <c r="AG627" s="57"/>
      <c r="AH627" s="57"/>
      <c r="AI627" s="57"/>
      <c r="AJ627" s="57"/>
      <c r="AK627" s="57"/>
      <c r="AL627" s="57"/>
      <c r="AM627" s="57"/>
      <c r="AN627" s="57"/>
      <c r="AO627" s="57"/>
    </row>
    <row r="628" spans="1:41">
      <c r="A628" s="55" t="s">
        <v>425</v>
      </c>
      <c r="B628" s="65" t="s">
        <v>331</v>
      </c>
      <c r="C628" s="82">
        <v>98.100999999999999</v>
      </c>
      <c r="D628" s="82">
        <v>95.215999999999994</v>
      </c>
      <c r="E628" s="82">
        <v>94.019000000000005</v>
      </c>
      <c r="F628" s="82">
        <v>100.16</v>
      </c>
      <c r="G628" s="82">
        <v>101.819</v>
      </c>
      <c r="H628" s="82">
        <v>94.856999999999999</v>
      </c>
      <c r="I628" s="82">
        <v>94.385999999999996</v>
      </c>
      <c r="J628" s="82">
        <v>94.41</v>
      </c>
      <c r="K628" s="82">
        <v>93.275999999999996</v>
      </c>
      <c r="L628" s="82">
        <v>92.706999999999994</v>
      </c>
      <c r="M628" s="82">
        <v>94.204999999999998</v>
      </c>
      <c r="N628" s="83">
        <v>97.054000000000002</v>
      </c>
      <c r="O628" s="83">
        <v>100</v>
      </c>
      <c r="P628" s="82">
        <v>101.565</v>
      </c>
      <c r="Q628" s="83">
        <v>106.42400000000001</v>
      </c>
      <c r="R628" s="83">
        <v>120.414</v>
      </c>
      <c r="S628" s="80">
        <v>130.50399999999999</v>
      </c>
      <c r="T628" s="63"/>
      <c r="AD628" s="57"/>
      <c r="AE628" s="57"/>
      <c r="AF628" s="57"/>
      <c r="AG628" s="57"/>
      <c r="AH628" s="57"/>
      <c r="AI628" s="57"/>
      <c r="AJ628" s="57"/>
      <c r="AK628" s="57"/>
      <c r="AL628" s="57"/>
      <c r="AM628" s="57"/>
      <c r="AN628" s="57"/>
      <c r="AO628" s="57"/>
    </row>
    <row r="629" spans="1:41">
      <c r="A629" s="55" t="s">
        <v>425</v>
      </c>
      <c r="B629" s="65" t="s">
        <v>332</v>
      </c>
      <c r="C629" s="82">
        <v>107.441</v>
      </c>
      <c r="D629" s="82">
        <v>109.536</v>
      </c>
      <c r="E629" s="82">
        <v>107.083</v>
      </c>
      <c r="F629" s="82">
        <v>108.57899999999999</v>
      </c>
      <c r="G629" s="82">
        <v>107.544</v>
      </c>
      <c r="H629" s="82">
        <v>102.813</v>
      </c>
      <c r="I629" s="82">
        <v>103.146</v>
      </c>
      <c r="J629" s="82">
        <v>106.983</v>
      </c>
      <c r="K629" s="82">
        <v>113.133</v>
      </c>
      <c r="L629" s="82">
        <v>118.71599999999999</v>
      </c>
      <c r="M629" s="82">
        <v>115.09099999999999</v>
      </c>
      <c r="N629" s="83">
        <v>114.66</v>
      </c>
      <c r="O629" s="83">
        <v>100</v>
      </c>
      <c r="P629" s="82">
        <v>101.044</v>
      </c>
      <c r="Q629" s="83">
        <v>108.72799999999999</v>
      </c>
      <c r="R629" s="83">
        <v>106.211</v>
      </c>
      <c r="S629" s="80">
        <v>105.06</v>
      </c>
      <c r="T629" s="63"/>
      <c r="AD629" s="57"/>
      <c r="AE629" s="57"/>
      <c r="AF629" s="57"/>
      <c r="AG629" s="57"/>
      <c r="AH629" s="57"/>
      <c r="AI629" s="57"/>
      <c r="AJ629" s="57"/>
      <c r="AK629" s="57"/>
      <c r="AL629" s="57"/>
      <c r="AM629" s="57"/>
      <c r="AN629" s="57"/>
      <c r="AO629" s="57"/>
    </row>
    <row r="630" spans="1:41">
      <c r="A630" s="55" t="s">
        <v>425</v>
      </c>
      <c r="B630" s="65" t="s">
        <v>333</v>
      </c>
      <c r="C630" s="82">
        <v>60.127000000000002</v>
      </c>
      <c r="D630" s="82">
        <v>59.142000000000003</v>
      </c>
      <c r="E630" s="82">
        <v>48.642000000000003</v>
      </c>
      <c r="F630" s="82">
        <v>54.308</v>
      </c>
      <c r="G630" s="82">
        <v>84.07</v>
      </c>
      <c r="H630" s="82">
        <v>66.459999999999994</v>
      </c>
      <c r="I630" s="82">
        <v>75.355000000000004</v>
      </c>
      <c r="J630" s="82">
        <v>81.406000000000006</v>
      </c>
      <c r="K630" s="82">
        <v>102.15300000000001</v>
      </c>
      <c r="L630" s="82">
        <v>133.327</v>
      </c>
      <c r="M630" s="82">
        <v>136.30099999999999</v>
      </c>
      <c r="N630" s="83">
        <v>142.255</v>
      </c>
      <c r="O630" s="83">
        <v>100</v>
      </c>
      <c r="P630" s="82">
        <v>113.104</v>
      </c>
      <c r="Q630" s="83">
        <v>139.298</v>
      </c>
      <c r="R630" s="83">
        <v>172.09700000000001</v>
      </c>
      <c r="S630" s="80">
        <v>176.208</v>
      </c>
      <c r="AD630" s="57"/>
      <c r="AE630" s="57"/>
      <c r="AF630" s="57"/>
      <c r="AG630" s="57"/>
      <c r="AH630" s="57"/>
      <c r="AI630" s="57"/>
      <c r="AJ630" s="57"/>
      <c r="AK630" s="57"/>
      <c r="AL630" s="57"/>
      <c r="AM630" s="57"/>
      <c r="AN630" s="57"/>
      <c r="AO630" s="57"/>
    </row>
    <row r="631" spans="1:41">
      <c r="A631" s="55" t="s">
        <v>425</v>
      </c>
      <c r="B631" s="65" t="s">
        <v>334</v>
      </c>
      <c r="C631" s="82">
        <v>99.537999999999997</v>
      </c>
      <c r="D631" s="82">
        <v>102.967</v>
      </c>
      <c r="E631" s="82">
        <v>123.724</v>
      </c>
      <c r="F631" s="82">
        <v>136.95099999999999</v>
      </c>
      <c r="G631" s="82">
        <v>149.44</v>
      </c>
      <c r="H631" s="82">
        <v>116.444</v>
      </c>
      <c r="I631" s="82">
        <v>110.142</v>
      </c>
      <c r="J631" s="82">
        <v>106.96899999999999</v>
      </c>
      <c r="K631" s="82">
        <v>113.655</v>
      </c>
      <c r="L631" s="82">
        <v>108.422</v>
      </c>
      <c r="M631" s="82">
        <v>113.57899999999999</v>
      </c>
      <c r="N631" s="83">
        <v>117.785</v>
      </c>
      <c r="O631" s="83">
        <v>100</v>
      </c>
      <c r="P631" s="82">
        <v>106.304</v>
      </c>
      <c r="Q631" s="83">
        <v>99.006</v>
      </c>
      <c r="R631" s="83">
        <v>94.685000000000002</v>
      </c>
      <c r="S631" s="80">
        <v>95.805999999999997</v>
      </c>
      <c r="AD631" s="57"/>
      <c r="AE631" s="57"/>
      <c r="AF631" s="57"/>
      <c r="AG631" s="57"/>
      <c r="AH631" s="57"/>
      <c r="AI631" s="57"/>
      <c r="AJ631" s="57"/>
      <c r="AK631" s="57"/>
      <c r="AL631" s="57"/>
      <c r="AM631" s="57"/>
      <c r="AN631" s="57"/>
      <c r="AO631" s="57"/>
    </row>
    <row r="632" spans="1:41">
      <c r="A632" s="55" t="s">
        <v>425</v>
      </c>
      <c r="B632" s="65" t="s">
        <v>335</v>
      </c>
      <c r="C632" s="82">
        <v>107.29900000000001</v>
      </c>
      <c r="D632" s="82">
        <v>113.377</v>
      </c>
      <c r="E632" s="82">
        <v>118.173</v>
      </c>
      <c r="F632" s="82">
        <v>123.321</v>
      </c>
      <c r="G632" s="82">
        <v>124.33199999999999</v>
      </c>
      <c r="H632" s="82">
        <v>122.622</v>
      </c>
      <c r="I632" s="82">
        <v>126.58499999999999</v>
      </c>
      <c r="J632" s="82">
        <v>131.66200000000001</v>
      </c>
      <c r="K632" s="82">
        <v>135.00700000000001</v>
      </c>
      <c r="L632" s="82">
        <v>131.82499999999999</v>
      </c>
      <c r="M632" s="82">
        <v>124.625</v>
      </c>
      <c r="N632" s="83">
        <v>115.264</v>
      </c>
      <c r="O632" s="83">
        <v>100</v>
      </c>
      <c r="P632" s="82">
        <v>92.444000000000003</v>
      </c>
      <c r="Q632" s="83">
        <v>89.716999999999999</v>
      </c>
      <c r="R632" s="83">
        <v>92.798000000000002</v>
      </c>
      <c r="S632" s="80">
        <v>95.67</v>
      </c>
      <c r="AD632" s="57"/>
      <c r="AE632" s="57"/>
      <c r="AF632" s="57"/>
      <c r="AG632" s="57"/>
      <c r="AH632" s="57"/>
      <c r="AI632" s="57"/>
      <c r="AJ632" s="57"/>
      <c r="AK632" s="57"/>
      <c r="AL632" s="57"/>
      <c r="AM632" s="57"/>
      <c r="AN632" s="57"/>
      <c r="AO632" s="57"/>
    </row>
    <row r="633" spans="1:41">
      <c r="A633" s="55" t="s">
        <v>425</v>
      </c>
      <c r="B633" s="65" t="s">
        <v>336</v>
      </c>
      <c r="C633" s="82">
        <v>102.282</v>
      </c>
      <c r="D633" s="82">
        <v>107.187</v>
      </c>
      <c r="E633" s="82">
        <v>111.518</v>
      </c>
      <c r="F633" s="82">
        <v>113.935</v>
      </c>
      <c r="G633" s="82">
        <v>109.161</v>
      </c>
      <c r="H633" s="82">
        <v>108.599</v>
      </c>
      <c r="I633" s="82">
        <v>108.557</v>
      </c>
      <c r="J633" s="82">
        <v>111.621</v>
      </c>
      <c r="K633" s="82">
        <v>115.979</v>
      </c>
      <c r="L633" s="82">
        <v>117.666</v>
      </c>
      <c r="M633" s="82">
        <v>120.711</v>
      </c>
      <c r="N633" s="83">
        <v>114.136</v>
      </c>
      <c r="O633" s="83">
        <v>100</v>
      </c>
      <c r="P633" s="82">
        <v>105.553</v>
      </c>
      <c r="Q633" s="83">
        <v>108.97799999999999</v>
      </c>
      <c r="R633" s="83">
        <v>111.925</v>
      </c>
      <c r="S633" s="80">
        <v>114.515</v>
      </c>
      <c r="AD633" s="57"/>
      <c r="AE633" s="57"/>
      <c r="AF633" s="57"/>
      <c r="AG633" s="57"/>
      <c r="AH633" s="57"/>
      <c r="AI633" s="57"/>
      <c r="AJ633" s="57"/>
      <c r="AK633" s="57"/>
      <c r="AL633" s="57"/>
      <c r="AM633" s="57"/>
      <c r="AN633" s="57"/>
      <c r="AO633" s="57"/>
    </row>
    <row r="634" spans="1:41">
      <c r="A634" s="55" t="s">
        <v>425</v>
      </c>
      <c r="B634" s="65" t="s">
        <v>337</v>
      </c>
      <c r="C634" s="82">
        <v>101.41500000000001</v>
      </c>
      <c r="D634" s="82">
        <v>109.267</v>
      </c>
      <c r="E634" s="82">
        <v>116.233</v>
      </c>
      <c r="F634" s="82">
        <v>120.771</v>
      </c>
      <c r="G634" s="82">
        <v>114.29900000000001</v>
      </c>
      <c r="H634" s="82">
        <v>112.242</v>
      </c>
      <c r="I634" s="82">
        <v>113.258</v>
      </c>
      <c r="J634" s="82">
        <v>117.148</v>
      </c>
      <c r="K634" s="82">
        <v>122.961</v>
      </c>
      <c r="L634" s="82">
        <v>126.56699999999999</v>
      </c>
      <c r="M634" s="82">
        <v>130.702</v>
      </c>
      <c r="N634" s="83">
        <v>123.685</v>
      </c>
      <c r="O634" s="83">
        <v>100</v>
      </c>
      <c r="P634" s="82">
        <v>109.79</v>
      </c>
      <c r="Q634" s="83">
        <v>117.36</v>
      </c>
      <c r="R634" s="83">
        <v>124.878</v>
      </c>
      <c r="S634" s="80">
        <v>129.733</v>
      </c>
      <c r="T634" s="63"/>
      <c r="AD634" s="57"/>
      <c r="AE634" s="57"/>
      <c r="AF634" s="57"/>
      <c r="AG634" s="57"/>
      <c r="AH634" s="57"/>
      <c r="AI634" s="57"/>
      <c r="AJ634" s="57"/>
      <c r="AK634" s="57"/>
      <c r="AL634" s="57"/>
      <c r="AM634" s="57"/>
      <c r="AN634" s="57"/>
      <c r="AO634" s="57"/>
    </row>
    <row r="635" spans="1:41">
      <c r="A635" s="55" t="s">
        <v>425</v>
      </c>
      <c r="B635" s="65" t="s">
        <v>338</v>
      </c>
      <c r="C635" s="82">
        <v>138.33799999999999</v>
      </c>
      <c r="D635" s="82">
        <v>146.249</v>
      </c>
      <c r="E635" s="82">
        <v>151.00399999999999</v>
      </c>
      <c r="F635" s="82">
        <v>148.58199999999999</v>
      </c>
      <c r="G635" s="82">
        <v>139.84</v>
      </c>
      <c r="H635" s="82">
        <v>144.5</v>
      </c>
      <c r="I635" s="82">
        <v>143.589</v>
      </c>
      <c r="J635" s="82">
        <v>147.90700000000001</v>
      </c>
      <c r="K635" s="82">
        <v>159.15</v>
      </c>
      <c r="L635" s="82">
        <v>161.19999999999999</v>
      </c>
      <c r="M635" s="82">
        <v>148.733</v>
      </c>
      <c r="N635" s="83">
        <v>128.66200000000001</v>
      </c>
      <c r="O635" s="83">
        <v>100</v>
      </c>
      <c r="P635" s="82">
        <v>103.02</v>
      </c>
      <c r="Q635" s="83">
        <v>103.971</v>
      </c>
      <c r="R635" s="83">
        <v>108.91500000000001</v>
      </c>
      <c r="S635" s="80">
        <v>116.229</v>
      </c>
      <c r="T635" s="63"/>
      <c r="AD635" s="57"/>
      <c r="AE635" s="57"/>
      <c r="AF635" s="57"/>
      <c r="AG635" s="57"/>
      <c r="AH635" s="57"/>
      <c r="AI635" s="57"/>
      <c r="AJ635" s="57"/>
      <c r="AK635" s="57"/>
      <c r="AL635" s="57"/>
      <c r="AM635" s="57"/>
      <c r="AN635" s="57"/>
      <c r="AO635" s="57"/>
    </row>
    <row r="636" spans="1:41">
      <c r="A636" s="55" t="s">
        <v>425</v>
      </c>
      <c r="B636" s="65" t="s">
        <v>339</v>
      </c>
      <c r="C636" s="82">
        <v>130.131</v>
      </c>
      <c r="D636" s="82">
        <v>137.42699999999999</v>
      </c>
      <c r="E636" s="82">
        <v>139.381</v>
      </c>
      <c r="F636" s="82">
        <v>139.33799999999999</v>
      </c>
      <c r="G636" s="82">
        <v>135.05500000000001</v>
      </c>
      <c r="H636" s="82">
        <v>135.136</v>
      </c>
      <c r="I636" s="82">
        <v>136.21700000000001</v>
      </c>
      <c r="J636" s="82">
        <v>140.023</v>
      </c>
      <c r="K636" s="82">
        <v>144.64599999999999</v>
      </c>
      <c r="L636" s="82">
        <v>148.96100000000001</v>
      </c>
      <c r="M636" s="82">
        <v>148.148</v>
      </c>
      <c r="N636" s="83">
        <v>130.006</v>
      </c>
      <c r="O636" s="83">
        <v>100</v>
      </c>
      <c r="P636" s="82">
        <v>102.623</v>
      </c>
      <c r="Q636" s="83">
        <v>103.206</v>
      </c>
      <c r="R636" s="83">
        <v>104.98</v>
      </c>
      <c r="S636" s="80">
        <v>107.075</v>
      </c>
      <c r="T636" s="63"/>
      <c r="AD636" s="57"/>
      <c r="AE636" s="57"/>
      <c r="AF636" s="57"/>
      <c r="AG636" s="57"/>
      <c r="AH636" s="57"/>
      <c r="AI636" s="57"/>
      <c r="AJ636" s="57"/>
      <c r="AK636" s="57"/>
      <c r="AL636" s="57"/>
      <c r="AM636" s="57"/>
      <c r="AN636" s="57"/>
      <c r="AO636" s="57"/>
    </row>
    <row r="637" spans="1:41">
      <c r="A637" s="55" t="s">
        <v>425</v>
      </c>
      <c r="B637" s="65" t="s">
        <v>340</v>
      </c>
      <c r="C637" s="82">
        <v>134.75800000000001</v>
      </c>
      <c r="D637" s="82">
        <v>139.75899999999999</v>
      </c>
      <c r="E637" s="82">
        <v>138.726</v>
      </c>
      <c r="F637" s="82">
        <v>132.19499999999999</v>
      </c>
      <c r="G637" s="82">
        <v>121.12</v>
      </c>
      <c r="H637" s="82">
        <v>123.929</v>
      </c>
      <c r="I637" s="82">
        <v>119.306</v>
      </c>
      <c r="J637" s="82">
        <v>131.27199999999999</v>
      </c>
      <c r="K637" s="82">
        <v>131.626</v>
      </c>
      <c r="L637" s="82">
        <v>129.80699999999999</v>
      </c>
      <c r="M637" s="82">
        <v>133.958</v>
      </c>
      <c r="N637" s="83">
        <v>135.54499999999999</v>
      </c>
      <c r="O637" s="83">
        <v>100</v>
      </c>
      <c r="P637" s="82">
        <v>122.485</v>
      </c>
      <c r="Q637" s="83">
        <v>131.20099999999999</v>
      </c>
      <c r="R637" s="83">
        <v>146.17599999999999</v>
      </c>
      <c r="S637" s="80">
        <v>154.995</v>
      </c>
      <c r="T637" s="63"/>
      <c r="AD637" s="57"/>
      <c r="AE637" s="57"/>
      <c r="AF637" s="57"/>
      <c r="AG637" s="57"/>
      <c r="AH637" s="57"/>
      <c r="AI637" s="57"/>
      <c r="AJ637" s="57"/>
      <c r="AK637" s="57"/>
      <c r="AL637" s="57"/>
      <c r="AM637" s="57"/>
      <c r="AN637" s="57"/>
      <c r="AO637" s="57"/>
    </row>
    <row r="638" spans="1:41">
      <c r="A638" s="55" t="s">
        <v>425</v>
      </c>
      <c r="B638" s="65" t="s">
        <v>341</v>
      </c>
      <c r="C638" s="82">
        <v>117.714</v>
      </c>
      <c r="D638" s="82">
        <v>121.699</v>
      </c>
      <c r="E638" s="82">
        <v>122.636</v>
      </c>
      <c r="F638" s="82">
        <v>126.90300000000001</v>
      </c>
      <c r="G638" s="82">
        <v>118.65</v>
      </c>
      <c r="H638" s="82">
        <v>115.893</v>
      </c>
      <c r="I638" s="82">
        <v>113.989</v>
      </c>
      <c r="J638" s="82">
        <v>113.72799999999999</v>
      </c>
      <c r="K638" s="82">
        <v>119.101</v>
      </c>
      <c r="L638" s="82">
        <v>125.81699999999999</v>
      </c>
      <c r="M638" s="82">
        <v>130.91499999999999</v>
      </c>
      <c r="N638" s="83">
        <v>127.319</v>
      </c>
      <c r="O638" s="83">
        <v>100</v>
      </c>
      <c r="P638" s="82">
        <v>104.59399999999999</v>
      </c>
      <c r="Q638" s="83">
        <v>112.486</v>
      </c>
      <c r="R638" s="83">
        <v>116.489</v>
      </c>
      <c r="S638" s="80">
        <v>116.702</v>
      </c>
      <c r="T638" s="63"/>
      <c r="AD638" s="57"/>
      <c r="AE638" s="57"/>
      <c r="AF638" s="57"/>
      <c r="AG638" s="57"/>
      <c r="AH638" s="57"/>
      <c r="AI638" s="57"/>
      <c r="AJ638" s="57"/>
      <c r="AK638" s="57"/>
      <c r="AL638" s="57"/>
      <c r="AM638" s="57"/>
      <c r="AN638" s="57"/>
      <c r="AO638" s="57"/>
    </row>
    <row r="639" spans="1:41">
      <c r="A639" s="55" t="s">
        <v>425</v>
      </c>
      <c r="B639" s="65" t="s">
        <v>342</v>
      </c>
      <c r="C639" s="82">
        <v>118.651</v>
      </c>
      <c r="D639" s="82">
        <v>121.639</v>
      </c>
      <c r="E639" s="82">
        <v>119.46</v>
      </c>
      <c r="F639" s="82">
        <v>125.893</v>
      </c>
      <c r="G639" s="82">
        <v>112.18899999999999</v>
      </c>
      <c r="H639" s="82">
        <v>106.322</v>
      </c>
      <c r="I639" s="82">
        <v>107.298</v>
      </c>
      <c r="J639" s="82">
        <v>111.181</v>
      </c>
      <c r="K639" s="82">
        <v>119.874</v>
      </c>
      <c r="L639" s="82">
        <v>125.65300000000001</v>
      </c>
      <c r="M639" s="82">
        <v>129.298</v>
      </c>
      <c r="N639" s="83">
        <v>126.626</v>
      </c>
      <c r="O639" s="83">
        <v>100</v>
      </c>
      <c r="P639" s="82">
        <v>110.78400000000001</v>
      </c>
      <c r="Q639" s="83">
        <v>125.03400000000001</v>
      </c>
      <c r="R639" s="83">
        <v>134.95699999999999</v>
      </c>
      <c r="S639" s="80">
        <v>136.83500000000001</v>
      </c>
      <c r="T639" s="63"/>
      <c r="AD639" s="57"/>
      <c r="AE639" s="57"/>
      <c r="AF639" s="57"/>
      <c r="AG639" s="57"/>
      <c r="AH639" s="57"/>
      <c r="AI639" s="57"/>
      <c r="AJ639" s="57"/>
      <c r="AK639" s="57"/>
      <c r="AL639" s="57"/>
      <c r="AM639" s="57"/>
      <c r="AN639" s="57"/>
      <c r="AO639" s="57"/>
    </row>
    <row r="640" spans="1:41">
      <c r="A640" s="55" t="s">
        <v>425</v>
      </c>
      <c r="B640" s="65" t="s">
        <v>343</v>
      </c>
      <c r="C640" s="82">
        <v>54.526000000000003</v>
      </c>
      <c r="D640" s="82">
        <v>63.606999999999999</v>
      </c>
      <c r="E640" s="82">
        <v>76.590999999999994</v>
      </c>
      <c r="F640" s="82">
        <v>94.784999999999997</v>
      </c>
      <c r="G640" s="82">
        <v>89.965000000000003</v>
      </c>
      <c r="H640" s="82">
        <v>79.911000000000001</v>
      </c>
      <c r="I640" s="82">
        <v>84.707999999999998</v>
      </c>
      <c r="J640" s="82">
        <v>91.438999999999993</v>
      </c>
      <c r="K640" s="82">
        <v>96.350999999999999</v>
      </c>
      <c r="L640" s="82">
        <v>104.077</v>
      </c>
      <c r="M640" s="82">
        <v>114.46599999999999</v>
      </c>
      <c r="N640" s="83">
        <v>115.86499999999999</v>
      </c>
      <c r="O640" s="83">
        <v>100</v>
      </c>
      <c r="P640" s="82">
        <v>105.845</v>
      </c>
      <c r="Q640" s="83">
        <v>109.905</v>
      </c>
      <c r="R640" s="83">
        <v>108.50700000000001</v>
      </c>
      <c r="S640" s="80">
        <v>107.377</v>
      </c>
      <c r="T640" s="63"/>
      <c r="AD640" s="57"/>
      <c r="AE640" s="57"/>
      <c r="AF640" s="57"/>
      <c r="AG640" s="57"/>
      <c r="AH640" s="57"/>
      <c r="AI640" s="57"/>
      <c r="AJ640" s="57"/>
      <c r="AK640" s="57"/>
      <c r="AL640" s="57"/>
      <c r="AM640" s="57"/>
      <c r="AN640" s="57"/>
      <c r="AO640" s="57"/>
    </row>
    <row r="641" spans="1:41">
      <c r="A641" s="55" t="s">
        <v>425</v>
      </c>
      <c r="B641" s="65" t="s">
        <v>344</v>
      </c>
      <c r="C641" s="82">
        <v>137.85900000000001</v>
      </c>
      <c r="D641" s="82">
        <v>143.07</v>
      </c>
      <c r="E641" s="82">
        <v>145.64099999999999</v>
      </c>
      <c r="F641" s="82">
        <v>152.31899999999999</v>
      </c>
      <c r="G641" s="82">
        <v>137.01300000000001</v>
      </c>
      <c r="H641" s="82">
        <v>126.176</v>
      </c>
      <c r="I641" s="82">
        <v>123.46599999999999</v>
      </c>
      <c r="J641" s="82">
        <v>124.873</v>
      </c>
      <c r="K641" s="82">
        <v>126.907</v>
      </c>
      <c r="L641" s="82">
        <v>126.724</v>
      </c>
      <c r="M641" s="82">
        <v>130.874</v>
      </c>
      <c r="N641" s="83">
        <v>125.008</v>
      </c>
      <c r="O641" s="83">
        <v>100</v>
      </c>
      <c r="P641" s="82">
        <v>103.919</v>
      </c>
      <c r="Q641" s="83">
        <v>108.776</v>
      </c>
      <c r="R641" s="83">
        <v>108.496</v>
      </c>
      <c r="S641" s="80">
        <v>109.377</v>
      </c>
      <c r="T641" s="63"/>
      <c r="AD641" s="57"/>
      <c r="AE641" s="57"/>
      <c r="AF641" s="57"/>
      <c r="AG641" s="57"/>
      <c r="AH641" s="57"/>
      <c r="AI641" s="57"/>
      <c r="AJ641" s="57"/>
      <c r="AK641" s="57"/>
      <c r="AL641" s="57"/>
      <c r="AM641" s="57"/>
      <c r="AN641" s="57"/>
      <c r="AO641" s="57"/>
    </row>
    <row r="642" spans="1:41">
      <c r="A642" s="55" t="s">
        <v>425</v>
      </c>
      <c r="B642" s="65" t="s">
        <v>345</v>
      </c>
      <c r="C642" s="82">
        <v>138.601</v>
      </c>
      <c r="D642" s="82">
        <v>145.68299999999999</v>
      </c>
      <c r="E642" s="82">
        <v>163.422</v>
      </c>
      <c r="F642" s="82">
        <v>156.149</v>
      </c>
      <c r="G642" s="82">
        <v>148.16999999999999</v>
      </c>
      <c r="H642" s="82">
        <v>157.78100000000001</v>
      </c>
      <c r="I642" s="82">
        <v>161.755</v>
      </c>
      <c r="J642" s="82">
        <v>166.559</v>
      </c>
      <c r="K642" s="82">
        <v>170.733</v>
      </c>
      <c r="L642" s="82">
        <v>171.422</v>
      </c>
      <c r="M642" s="82">
        <v>165.9</v>
      </c>
      <c r="N642" s="83">
        <v>133.39599999999999</v>
      </c>
      <c r="O642" s="83">
        <v>100</v>
      </c>
      <c r="P642" s="82">
        <v>131.298</v>
      </c>
      <c r="Q642" s="83">
        <v>149.84800000000001</v>
      </c>
      <c r="R642" s="83">
        <v>162.703</v>
      </c>
      <c r="S642" s="80">
        <v>179.75399999999999</v>
      </c>
      <c r="T642" s="63"/>
      <c r="AD642" s="57"/>
      <c r="AE642" s="57"/>
      <c r="AF642" s="57"/>
      <c r="AG642" s="57"/>
      <c r="AH642" s="57"/>
      <c r="AI642" s="57"/>
      <c r="AJ642" s="57"/>
      <c r="AK642" s="57"/>
      <c r="AL642" s="57"/>
      <c r="AM642" s="57"/>
      <c r="AN642" s="57"/>
      <c r="AO642" s="57"/>
    </row>
    <row r="643" spans="1:41">
      <c r="A643" s="55" t="s">
        <v>425</v>
      </c>
      <c r="B643" s="65" t="s">
        <v>346</v>
      </c>
      <c r="C643" s="82">
        <v>81.563999999999993</v>
      </c>
      <c r="D643" s="82">
        <v>95.831999999999994</v>
      </c>
      <c r="E643" s="82">
        <v>92.789000000000001</v>
      </c>
      <c r="F643" s="82">
        <v>81.102999999999994</v>
      </c>
      <c r="G643" s="82">
        <v>88.147999999999996</v>
      </c>
      <c r="H643" s="82">
        <v>83.801000000000002</v>
      </c>
      <c r="I643" s="82">
        <v>80.224000000000004</v>
      </c>
      <c r="J643" s="82">
        <v>79.760000000000005</v>
      </c>
      <c r="K643" s="82">
        <v>88.923000000000002</v>
      </c>
      <c r="L643" s="82">
        <v>90.701999999999998</v>
      </c>
      <c r="M643" s="82">
        <v>109.066</v>
      </c>
      <c r="N643" s="83">
        <v>109.96899999999999</v>
      </c>
      <c r="O643" s="83">
        <v>100</v>
      </c>
      <c r="P643" s="82">
        <v>98.162999999999997</v>
      </c>
      <c r="Q643" s="83">
        <v>99.364999999999995</v>
      </c>
      <c r="R643" s="83">
        <v>115.533</v>
      </c>
      <c r="S643" s="80">
        <v>122.279</v>
      </c>
      <c r="T643" s="63"/>
      <c r="AD643" s="57"/>
      <c r="AE643" s="57"/>
      <c r="AF643" s="57"/>
      <c r="AG643" s="57"/>
      <c r="AH643" s="57"/>
      <c r="AI643" s="57"/>
      <c r="AJ643" s="57"/>
      <c r="AK643" s="57"/>
      <c r="AL643" s="57"/>
      <c r="AM643" s="57"/>
      <c r="AN643" s="57"/>
      <c r="AO643" s="57"/>
    </row>
    <row r="644" spans="1:41">
      <c r="A644" s="55" t="s">
        <v>425</v>
      </c>
      <c r="B644" s="65" t="s">
        <v>347</v>
      </c>
      <c r="C644" s="82">
        <v>135.81700000000001</v>
      </c>
      <c r="D644" s="82">
        <v>145.48400000000001</v>
      </c>
      <c r="E644" s="82">
        <v>149.81899999999999</v>
      </c>
      <c r="F644" s="82">
        <v>152.255</v>
      </c>
      <c r="G644" s="82">
        <v>143.29900000000001</v>
      </c>
      <c r="H644" s="82">
        <v>150.38399999999999</v>
      </c>
      <c r="I644" s="82">
        <v>146.99100000000001</v>
      </c>
      <c r="J644" s="82">
        <v>150.93</v>
      </c>
      <c r="K644" s="82">
        <v>156.93199999999999</v>
      </c>
      <c r="L644" s="82">
        <v>154.625</v>
      </c>
      <c r="M644" s="82">
        <v>147.251</v>
      </c>
      <c r="N644" s="83">
        <v>132.58099999999999</v>
      </c>
      <c r="O644" s="83">
        <v>100</v>
      </c>
      <c r="P644" s="82">
        <v>96.224999999999994</v>
      </c>
      <c r="Q644" s="83">
        <v>98.790999999999997</v>
      </c>
      <c r="R644" s="83">
        <v>102.19799999999999</v>
      </c>
      <c r="S644" s="80">
        <v>104.575</v>
      </c>
      <c r="T644" s="63"/>
      <c r="AD644" s="57"/>
      <c r="AE644" s="57"/>
      <c r="AF644" s="57"/>
      <c r="AG644" s="57"/>
      <c r="AH644" s="57"/>
      <c r="AI644" s="57"/>
      <c r="AJ644" s="57"/>
      <c r="AK644" s="57"/>
      <c r="AL644" s="57"/>
      <c r="AM644" s="57"/>
      <c r="AN644" s="57"/>
      <c r="AO644" s="57"/>
    </row>
    <row r="645" spans="1:41">
      <c r="A645" s="55" t="s">
        <v>425</v>
      </c>
      <c r="B645" s="65" t="s">
        <v>348</v>
      </c>
      <c r="C645" s="82">
        <v>79.619</v>
      </c>
      <c r="D645" s="82">
        <v>83.573999999999998</v>
      </c>
      <c r="E645" s="82">
        <v>85.043999999999997</v>
      </c>
      <c r="F645" s="82">
        <v>90.406000000000006</v>
      </c>
      <c r="G645" s="82">
        <v>87.512</v>
      </c>
      <c r="H645" s="82">
        <v>93.137</v>
      </c>
      <c r="I645" s="82">
        <v>95.745999999999995</v>
      </c>
      <c r="J645" s="82">
        <v>95.462999999999994</v>
      </c>
      <c r="K645" s="82">
        <v>103.40900000000001</v>
      </c>
      <c r="L645" s="82">
        <v>106.47799999999999</v>
      </c>
      <c r="M645" s="82">
        <v>105.35599999999999</v>
      </c>
      <c r="N645" s="83">
        <v>107.057</v>
      </c>
      <c r="O645" s="83">
        <v>100</v>
      </c>
      <c r="P645" s="82">
        <v>101.931</v>
      </c>
      <c r="Q645" s="83">
        <v>101.08199999999999</v>
      </c>
      <c r="R645" s="83">
        <v>106.145</v>
      </c>
      <c r="S645" s="80">
        <v>108.634</v>
      </c>
      <c r="AD645" s="57"/>
      <c r="AE645" s="57"/>
      <c r="AF645" s="57"/>
      <c r="AG645" s="57"/>
      <c r="AH645" s="57"/>
      <c r="AI645" s="57"/>
      <c r="AJ645" s="57"/>
      <c r="AK645" s="57"/>
      <c r="AL645" s="57"/>
      <c r="AM645" s="57"/>
      <c r="AN645" s="57"/>
      <c r="AO645" s="57"/>
    </row>
    <row r="646" spans="1:41">
      <c r="A646" s="55" t="s">
        <v>425</v>
      </c>
      <c r="B646" s="65" t="s">
        <v>349</v>
      </c>
      <c r="C646" s="82">
        <v>106.092</v>
      </c>
      <c r="D646" s="82">
        <v>107.18600000000001</v>
      </c>
      <c r="E646" s="82">
        <v>108.19799999999999</v>
      </c>
      <c r="F646" s="82">
        <v>108.07299999999999</v>
      </c>
      <c r="G646" s="82">
        <v>105.16200000000001</v>
      </c>
      <c r="H646" s="82">
        <v>106.27800000000001</v>
      </c>
      <c r="I646" s="82">
        <v>105.07</v>
      </c>
      <c r="J646" s="82">
        <v>107.304</v>
      </c>
      <c r="K646" s="82">
        <v>110.253</v>
      </c>
      <c r="L646" s="82">
        <v>110.13</v>
      </c>
      <c r="M646" s="82">
        <v>112.194</v>
      </c>
      <c r="N646" s="83">
        <v>105.996</v>
      </c>
      <c r="O646" s="83">
        <v>100</v>
      </c>
      <c r="P646" s="82">
        <v>101.89100000000001</v>
      </c>
      <c r="Q646" s="83">
        <v>102.01600000000001</v>
      </c>
      <c r="R646" s="83">
        <v>101.517</v>
      </c>
      <c r="S646" s="80">
        <v>102.393</v>
      </c>
      <c r="AD646" s="57"/>
      <c r="AE646" s="57"/>
      <c r="AF646" s="57"/>
      <c r="AG646" s="57"/>
      <c r="AH646" s="57"/>
      <c r="AI646" s="57"/>
      <c r="AJ646" s="57"/>
      <c r="AK646" s="57"/>
      <c r="AL646" s="57"/>
      <c r="AM646" s="57"/>
      <c r="AN646" s="57"/>
      <c r="AO646" s="57"/>
    </row>
    <row r="647" spans="1:41">
      <c r="A647" s="55" t="s">
        <v>425</v>
      </c>
      <c r="B647" s="65" t="s">
        <v>350</v>
      </c>
      <c r="C647" s="82">
        <v>91.674000000000007</v>
      </c>
      <c r="D647" s="82">
        <v>94.49</v>
      </c>
      <c r="E647" s="82">
        <v>93.641999999999996</v>
      </c>
      <c r="F647" s="82">
        <v>94.724999999999994</v>
      </c>
      <c r="G647" s="82">
        <v>94.682000000000002</v>
      </c>
      <c r="H647" s="82">
        <v>93.156000000000006</v>
      </c>
      <c r="I647" s="82">
        <v>94.83</v>
      </c>
      <c r="J647" s="82">
        <v>94.581000000000003</v>
      </c>
      <c r="K647" s="82">
        <v>98.373000000000005</v>
      </c>
      <c r="L647" s="82">
        <v>98.873000000000005</v>
      </c>
      <c r="M647" s="82">
        <v>99.131</v>
      </c>
      <c r="N647" s="83">
        <v>98.316999999999993</v>
      </c>
      <c r="O647" s="83">
        <v>100</v>
      </c>
      <c r="P647" s="82">
        <v>99.771000000000001</v>
      </c>
      <c r="Q647" s="83">
        <v>98.921000000000006</v>
      </c>
      <c r="R647" s="83">
        <v>97.51</v>
      </c>
      <c r="S647" s="80">
        <v>98.629000000000005</v>
      </c>
      <c r="T647" s="63"/>
      <c r="AD647" s="57"/>
      <c r="AE647" s="57"/>
      <c r="AF647" s="57"/>
      <c r="AG647" s="57"/>
      <c r="AH647" s="57"/>
      <c r="AI647" s="57"/>
      <c r="AJ647" s="57"/>
      <c r="AK647" s="57"/>
      <c r="AL647" s="57"/>
      <c r="AM647" s="57"/>
      <c r="AN647" s="57"/>
      <c r="AO647" s="57"/>
    </row>
    <row r="648" spans="1:41">
      <c r="A648" s="55" t="s">
        <v>425</v>
      </c>
      <c r="B648" s="65" t="s">
        <v>351</v>
      </c>
      <c r="C648" s="82">
        <v>217.178</v>
      </c>
      <c r="D648" s="82">
        <v>214.631</v>
      </c>
      <c r="E648" s="82">
        <v>216.14400000000001</v>
      </c>
      <c r="F648" s="82">
        <v>211.017</v>
      </c>
      <c r="G648" s="82">
        <v>190.798</v>
      </c>
      <c r="H648" s="82">
        <v>189.48500000000001</v>
      </c>
      <c r="I648" s="82">
        <v>181.59399999999999</v>
      </c>
      <c r="J648" s="82">
        <v>178.935</v>
      </c>
      <c r="K648" s="82">
        <v>180.44900000000001</v>
      </c>
      <c r="L648" s="82">
        <v>162.57599999999999</v>
      </c>
      <c r="M648" s="82">
        <v>142.56200000000001</v>
      </c>
      <c r="N648" s="83">
        <v>125.51600000000001</v>
      </c>
      <c r="O648" s="83">
        <v>100</v>
      </c>
      <c r="P648" s="82">
        <v>105.66</v>
      </c>
      <c r="Q648" s="83">
        <v>102.29</v>
      </c>
      <c r="R648" s="83">
        <v>106.03700000000001</v>
      </c>
      <c r="S648" s="80">
        <v>108.32899999999999</v>
      </c>
      <c r="T648" s="63"/>
      <c r="AD648" s="57"/>
      <c r="AE648" s="57"/>
      <c r="AF648" s="57"/>
      <c r="AG648" s="57"/>
      <c r="AH648" s="57"/>
      <c r="AI648" s="57"/>
      <c r="AJ648" s="57"/>
      <c r="AK648" s="57"/>
      <c r="AL648" s="57"/>
      <c r="AM648" s="57"/>
      <c r="AN648" s="57"/>
      <c r="AO648" s="57"/>
    </row>
    <row r="649" spans="1:41">
      <c r="A649" s="55" t="s">
        <v>425</v>
      </c>
      <c r="B649" s="65" t="s">
        <v>352</v>
      </c>
      <c r="C649" s="82">
        <v>486.17700000000002</v>
      </c>
      <c r="D649" s="82">
        <v>438.57499999999999</v>
      </c>
      <c r="E649" s="82">
        <v>422.94600000000003</v>
      </c>
      <c r="F649" s="82">
        <v>401.00599999999997</v>
      </c>
      <c r="G649" s="82">
        <v>338.14699999999999</v>
      </c>
      <c r="H649" s="82">
        <v>294.82400000000001</v>
      </c>
      <c r="I649" s="82">
        <v>257.43299999999999</v>
      </c>
      <c r="J649" s="82">
        <v>222.54300000000001</v>
      </c>
      <c r="K649" s="82">
        <v>214.14699999999999</v>
      </c>
      <c r="L649" s="82">
        <v>199.364</v>
      </c>
      <c r="M649" s="82">
        <v>152.74799999999999</v>
      </c>
      <c r="N649" s="83">
        <v>122.803</v>
      </c>
      <c r="O649" s="83">
        <v>100</v>
      </c>
      <c r="P649" s="82">
        <v>104.42</v>
      </c>
      <c r="Q649" s="83">
        <v>140.53899999999999</v>
      </c>
      <c r="R649" s="83">
        <v>179.005</v>
      </c>
      <c r="S649" s="80">
        <v>157.13300000000001</v>
      </c>
      <c r="T649" s="63"/>
      <c r="AD649" s="57"/>
      <c r="AE649" s="57"/>
      <c r="AF649" s="57"/>
      <c r="AG649" s="57"/>
      <c r="AH649" s="57"/>
      <c r="AI649" s="57"/>
      <c r="AJ649" s="57"/>
      <c r="AK649" s="57"/>
      <c r="AL649" s="57"/>
      <c r="AM649" s="57"/>
      <c r="AN649" s="57"/>
      <c r="AO649" s="57"/>
    </row>
    <row r="650" spans="1:41">
      <c r="A650" s="55" t="s">
        <v>425</v>
      </c>
      <c r="B650" s="65" t="s">
        <v>353</v>
      </c>
      <c r="C650" s="82">
        <v>127.27200000000001</v>
      </c>
      <c r="D650" s="82">
        <v>127.55200000000001</v>
      </c>
      <c r="E650" s="82">
        <v>129.17500000000001</v>
      </c>
      <c r="F650" s="82">
        <v>125.551</v>
      </c>
      <c r="G650" s="82">
        <v>119.206</v>
      </c>
      <c r="H650" s="82">
        <v>119.849</v>
      </c>
      <c r="I650" s="82">
        <v>116.441</v>
      </c>
      <c r="J650" s="82">
        <v>116.589</v>
      </c>
      <c r="K650" s="82">
        <v>116.33</v>
      </c>
      <c r="L650" s="82">
        <v>115.035</v>
      </c>
      <c r="M650" s="82">
        <v>116.202</v>
      </c>
      <c r="N650" s="83">
        <v>110.76600000000001</v>
      </c>
      <c r="O650" s="83">
        <v>100</v>
      </c>
      <c r="P650" s="82">
        <v>101.49</v>
      </c>
      <c r="Q650" s="83">
        <v>101.417</v>
      </c>
      <c r="R650" s="83">
        <v>99.965000000000003</v>
      </c>
      <c r="S650" s="80">
        <v>96.257999999999996</v>
      </c>
      <c r="T650" s="63"/>
      <c r="AD650" s="57"/>
      <c r="AE650" s="57"/>
      <c r="AF650" s="57"/>
      <c r="AG650" s="57"/>
      <c r="AH650" s="57"/>
      <c r="AI650" s="57"/>
      <c r="AJ650" s="57"/>
      <c r="AK650" s="57"/>
      <c r="AL650" s="57"/>
      <c r="AM650" s="57"/>
      <c r="AN650" s="57"/>
      <c r="AO650" s="57"/>
    </row>
    <row r="651" spans="1:41">
      <c r="A651" s="55" t="s">
        <v>425</v>
      </c>
      <c r="B651" s="65" t="s">
        <v>354</v>
      </c>
      <c r="C651" s="82">
        <v>134.27000000000001</v>
      </c>
      <c r="D651" s="82">
        <v>136.86199999999999</v>
      </c>
      <c r="E651" s="82">
        <v>138.221</v>
      </c>
      <c r="F651" s="82">
        <v>140.09100000000001</v>
      </c>
      <c r="G651" s="82">
        <v>136.99100000000001</v>
      </c>
      <c r="H651" s="82">
        <v>134.46299999999999</v>
      </c>
      <c r="I651" s="82">
        <v>128.08600000000001</v>
      </c>
      <c r="J651" s="82">
        <v>127.54300000000001</v>
      </c>
      <c r="K651" s="82">
        <v>126.285</v>
      </c>
      <c r="L651" s="82">
        <v>123.79600000000001</v>
      </c>
      <c r="M651" s="82">
        <v>125.639</v>
      </c>
      <c r="N651" s="83">
        <v>118.157</v>
      </c>
      <c r="O651" s="83">
        <v>100</v>
      </c>
      <c r="P651" s="82">
        <v>99.537000000000006</v>
      </c>
      <c r="Q651" s="83">
        <v>98.180999999999997</v>
      </c>
      <c r="R651" s="83">
        <v>95.245000000000005</v>
      </c>
      <c r="S651" s="80">
        <v>92.486999999999995</v>
      </c>
      <c r="T651" s="63"/>
      <c r="AD651" s="57"/>
      <c r="AE651" s="57"/>
      <c r="AF651" s="57"/>
      <c r="AG651" s="57"/>
      <c r="AH651" s="57"/>
      <c r="AI651" s="57"/>
      <c r="AJ651" s="57"/>
      <c r="AK651" s="57"/>
      <c r="AL651" s="57"/>
      <c r="AM651" s="57"/>
      <c r="AN651" s="57"/>
      <c r="AO651" s="57"/>
    </row>
    <row r="652" spans="1:41">
      <c r="A652" s="55" t="s">
        <v>425</v>
      </c>
      <c r="B652" s="65" t="s">
        <v>355</v>
      </c>
      <c r="C652" s="82">
        <v>90.269000000000005</v>
      </c>
      <c r="D652" s="82">
        <v>88.480999999999995</v>
      </c>
      <c r="E652" s="82">
        <v>90.921000000000006</v>
      </c>
      <c r="F652" s="82">
        <v>90.504000000000005</v>
      </c>
      <c r="G652" s="82">
        <v>91.162999999999997</v>
      </c>
      <c r="H652" s="82">
        <v>94.106999999999999</v>
      </c>
      <c r="I652" s="82">
        <v>89.451999999999998</v>
      </c>
      <c r="J652" s="82">
        <v>97.355000000000004</v>
      </c>
      <c r="K652" s="82">
        <v>103.01600000000001</v>
      </c>
      <c r="L652" s="82">
        <v>102.241</v>
      </c>
      <c r="M652" s="82">
        <v>104.94199999999999</v>
      </c>
      <c r="N652" s="83">
        <v>100.95699999999999</v>
      </c>
      <c r="O652" s="83">
        <v>100</v>
      </c>
      <c r="P652" s="82">
        <v>97.286000000000001</v>
      </c>
      <c r="Q652" s="83">
        <v>99.69</v>
      </c>
      <c r="R652" s="83">
        <v>99.063000000000002</v>
      </c>
      <c r="S652" s="80">
        <v>100.672</v>
      </c>
      <c r="T652" s="63"/>
      <c r="AD652" s="57"/>
      <c r="AE652" s="57"/>
      <c r="AF652" s="57"/>
      <c r="AG652" s="57"/>
      <c r="AH652" s="57"/>
      <c r="AI652" s="57"/>
      <c r="AJ652" s="57"/>
      <c r="AK652" s="57"/>
      <c r="AL652" s="57"/>
      <c r="AM652" s="57"/>
      <c r="AN652" s="57"/>
      <c r="AO652" s="57"/>
    </row>
    <row r="653" spans="1:41">
      <c r="A653" s="55" t="s">
        <v>425</v>
      </c>
      <c r="B653" s="65" t="s">
        <v>356</v>
      </c>
      <c r="C653" s="82">
        <v>99.804000000000002</v>
      </c>
      <c r="D653" s="82">
        <v>101.099</v>
      </c>
      <c r="E653" s="82">
        <v>102.925</v>
      </c>
      <c r="F653" s="82">
        <v>102.94799999999999</v>
      </c>
      <c r="G653" s="82">
        <v>100.196</v>
      </c>
      <c r="H653" s="82">
        <v>106.28700000000001</v>
      </c>
      <c r="I653" s="82">
        <v>106.199</v>
      </c>
      <c r="J653" s="82">
        <v>111.28700000000001</v>
      </c>
      <c r="K653" s="82">
        <v>113.511</v>
      </c>
      <c r="L653" s="82">
        <v>115.81399999999999</v>
      </c>
      <c r="M653" s="82">
        <v>124.07599999999999</v>
      </c>
      <c r="N653" s="83">
        <v>112.289</v>
      </c>
      <c r="O653" s="83">
        <v>100</v>
      </c>
      <c r="P653" s="82">
        <v>106.788</v>
      </c>
      <c r="Q653" s="83">
        <v>105.02</v>
      </c>
      <c r="R653" s="83">
        <v>104.124</v>
      </c>
      <c r="S653" s="80">
        <v>105.63800000000001</v>
      </c>
      <c r="T653" s="63"/>
      <c r="AD653" s="57"/>
      <c r="AE653" s="57"/>
      <c r="AF653" s="57"/>
      <c r="AG653" s="57"/>
      <c r="AH653" s="57"/>
      <c r="AI653" s="57"/>
      <c r="AJ653" s="57"/>
      <c r="AK653" s="57"/>
      <c r="AL653" s="57"/>
      <c r="AM653" s="57"/>
      <c r="AN653" s="57"/>
      <c r="AO653" s="57"/>
    </row>
    <row r="654" spans="1:41">
      <c r="A654" s="55" t="s">
        <v>425</v>
      </c>
      <c r="B654" s="65" t="s">
        <v>357</v>
      </c>
      <c r="C654" s="82">
        <v>124.39700000000001</v>
      </c>
      <c r="D654" s="82">
        <v>128.99199999999999</v>
      </c>
      <c r="E654" s="82">
        <v>135.40199999999999</v>
      </c>
      <c r="F654" s="82">
        <v>136.48599999999999</v>
      </c>
      <c r="G654" s="82">
        <v>129.261</v>
      </c>
      <c r="H654" s="82">
        <v>131.869</v>
      </c>
      <c r="I654" s="82">
        <v>131.30199999999999</v>
      </c>
      <c r="J654" s="82">
        <v>132.71799999999999</v>
      </c>
      <c r="K654" s="82">
        <v>134.24</v>
      </c>
      <c r="L654" s="82">
        <v>133.584</v>
      </c>
      <c r="M654" s="82">
        <v>131.19300000000001</v>
      </c>
      <c r="N654" s="83">
        <v>118.093</v>
      </c>
      <c r="O654" s="83">
        <v>100</v>
      </c>
      <c r="P654" s="82">
        <v>108.363</v>
      </c>
      <c r="Q654" s="83">
        <v>109.71</v>
      </c>
      <c r="R654" s="83">
        <v>112.727</v>
      </c>
      <c r="S654" s="80">
        <v>114.523</v>
      </c>
      <c r="AD654" s="57"/>
      <c r="AE654" s="57"/>
      <c r="AF654" s="57"/>
      <c r="AG654" s="57"/>
      <c r="AH654" s="57"/>
      <c r="AI654" s="57"/>
      <c r="AJ654" s="57"/>
      <c r="AK654" s="57"/>
      <c r="AL654" s="57"/>
      <c r="AM654" s="57"/>
      <c r="AN654" s="57"/>
      <c r="AO654" s="57"/>
    </row>
    <row r="655" spans="1:41">
      <c r="A655" s="55" t="s">
        <v>425</v>
      </c>
      <c r="B655" s="65" t="s">
        <v>358</v>
      </c>
      <c r="C655" s="82">
        <v>81.445999999999998</v>
      </c>
      <c r="D655" s="82">
        <v>85.152000000000001</v>
      </c>
      <c r="E655" s="82">
        <v>90.962999999999994</v>
      </c>
      <c r="F655" s="82">
        <v>96.114999999999995</v>
      </c>
      <c r="G655" s="82">
        <v>95.655000000000001</v>
      </c>
      <c r="H655" s="82">
        <v>99.299000000000007</v>
      </c>
      <c r="I655" s="82">
        <v>103.041</v>
      </c>
      <c r="J655" s="82">
        <v>110.428</v>
      </c>
      <c r="K655" s="82">
        <v>117.319</v>
      </c>
      <c r="L655" s="82">
        <v>121.419</v>
      </c>
      <c r="M655" s="82">
        <v>125.89100000000001</v>
      </c>
      <c r="N655" s="83">
        <v>125.922</v>
      </c>
      <c r="O655" s="83">
        <v>100</v>
      </c>
      <c r="P655" s="82">
        <v>112.176</v>
      </c>
      <c r="Q655" s="83">
        <v>118.77</v>
      </c>
      <c r="R655" s="83">
        <v>122.68899999999999</v>
      </c>
      <c r="S655" s="80">
        <v>125.636</v>
      </c>
      <c r="AD655" s="57"/>
      <c r="AE655" s="57"/>
      <c r="AF655" s="57"/>
      <c r="AG655" s="57"/>
      <c r="AH655" s="57"/>
      <c r="AI655" s="57"/>
      <c r="AJ655" s="57"/>
      <c r="AK655" s="57"/>
      <c r="AL655" s="57"/>
      <c r="AM655" s="57"/>
      <c r="AN655" s="57"/>
      <c r="AO655" s="57"/>
    </row>
    <row r="656" spans="1:41">
      <c r="A656" s="55" t="s">
        <v>425</v>
      </c>
      <c r="B656" s="65" t="s">
        <v>359</v>
      </c>
      <c r="C656" s="82">
        <v>81.841999999999999</v>
      </c>
      <c r="D656" s="82">
        <v>85.674999999999997</v>
      </c>
      <c r="E656" s="82">
        <v>90.665999999999997</v>
      </c>
      <c r="F656" s="82">
        <v>92.948999999999998</v>
      </c>
      <c r="G656" s="82">
        <v>92.414000000000001</v>
      </c>
      <c r="H656" s="82">
        <v>97.144999999999996</v>
      </c>
      <c r="I656" s="82">
        <v>103</v>
      </c>
      <c r="J656" s="82">
        <v>108.15300000000001</v>
      </c>
      <c r="K656" s="82">
        <v>109.748</v>
      </c>
      <c r="L656" s="82">
        <v>111.736</v>
      </c>
      <c r="M656" s="82">
        <v>111.03100000000001</v>
      </c>
      <c r="N656" s="83">
        <v>105.173</v>
      </c>
      <c r="O656" s="83">
        <v>100</v>
      </c>
      <c r="P656" s="82">
        <v>107.495</v>
      </c>
      <c r="Q656" s="83">
        <v>108.61499999999999</v>
      </c>
      <c r="R656" s="83">
        <v>112.776</v>
      </c>
      <c r="S656" s="80">
        <v>116.08199999999999</v>
      </c>
      <c r="T656" s="63"/>
      <c r="AD656" s="57"/>
      <c r="AE656" s="57"/>
      <c r="AF656" s="57"/>
      <c r="AG656" s="57"/>
      <c r="AH656" s="57"/>
      <c r="AI656" s="57"/>
      <c r="AJ656" s="57"/>
      <c r="AK656" s="57"/>
      <c r="AL656" s="57"/>
      <c r="AM656" s="57"/>
      <c r="AN656" s="57"/>
      <c r="AO656" s="57"/>
    </row>
    <row r="657" spans="1:41">
      <c r="A657" s="55" t="s">
        <v>425</v>
      </c>
      <c r="B657" s="68" t="s">
        <v>438</v>
      </c>
      <c r="C657" s="82">
        <v>137.59200000000001</v>
      </c>
      <c r="D657" s="82">
        <v>136.74299999999999</v>
      </c>
      <c r="E657" s="82">
        <v>148.346</v>
      </c>
      <c r="F657" s="82">
        <v>144.291</v>
      </c>
      <c r="G657" s="82">
        <v>133.285</v>
      </c>
      <c r="H657" s="82">
        <v>147.33699999999999</v>
      </c>
      <c r="I657" s="82">
        <v>147.92699999999999</v>
      </c>
      <c r="J657" s="82">
        <v>152.041</v>
      </c>
      <c r="K657" s="82">
        <v>144.47999999999999</v>
      </c>
      <c r="L657" s="82">
        <v>140.495</v>
      </c>
      <c r="M657" s="82">
        <v>139.50899999999999</v>
      </c>
      <c r="N657" s="83">
        <v>123.557</v>
      </c>
      <c r="O657" s="83">
        <v>100</v>
      </c>
      <c r="P657" s="82">
        <v>130.613</v>
      </c>
      <c r="Q657" s="83">
        <v>130.40199999999999</v>
      </c>
      <c r="R657" s="83">
        <v>150.50800000000001</v>
      </c>
      <c r="S657" s="80">
        <v>159.29499999999999</v>
      </c>
      <c r="T657" s="63"/>
      <c r="AD657" s="57"/>
      <c r="AE657" s="57"/>
      <c r="AF657" s="57"/>
      <c r="AG657" s="57"/>
      <c r="AH657" s="57"/>
      <c r="AI657" s="57"/>
      <c r="AJ657" s="57"/>
      <c r="AK657" s="57"/>
      <c r="AL657" s="57"/>
      <c r="AM657" s="57"/>
      <c r="AN657" s="57"/>
      <c r="AO657" s="57"/>
    </row>
    <row r="658" spans="1:41">
      <c r="A658" s="55" t="s">
        <v>425</v>
      </c>
      <c r="B658" s="68" t="s">
        <v>439</v>
      </c>
      <c r="C658" s="82">
        <v>101.08499999999999</v>
      </c>
      <c r="D658" s="82">
        <v>102.726</v>
      </c>
      <c r="E658" s="82">
        <v>105.94499999999999</v>
      </c>
      <c r="F658" s="82">
        <v>104.08499999999999</v>
      </c>
      <c r="G658" s="82">
        <v>107.02200000000001</v>
      </c>
      <c r="H658" s="82">
        <v>105.792</v>
      </c>
      <c r="I658" s="82">
        <v>105.41500000000001</v>
      </c>
      <c r="J658" s="82">
        <v>106.58</v>
      </c>
      <c r="K658" s="82">
        <v>104.407</v>
      </c>
      <c r="L658" s="82">
        <v>106.90600000000001</v>
      </c>
      <c r="M658" s="82">
        <v>105.40900000000001</v>
      </c>
      <c r="N658" s="83">
        <v>103.179</v>
      </c>
      <c r="O658" s="83">
        <v>100</v>
      </c>
      <c r="P658" s="82">
        <v>106.117</v>
      </c>
      <c r="Q658" s="83">
        <v>104.96299999999999</v>
      </c>
      <c r="R658" s="83">
        <v>103.11499999999999</v>
      </c>
      <c r="S658" s="80">
        <v>104.151</v>
      </c>
      <c r="T658" s="63"/>
      <c r="AD658" s="57"/>
      <c r="AE658" s="57"/>
      <c r="AF658" s="57"/>
      <c r="AG658" s="57"/>
      <c r="AH658" s="57"/>
      <c r="AI658" s="57"/>
      <c r="AJ658" s="57"/>
      <c r="AK658" s="57"/>
      <c r="AL658" s="57"/>
      <c r="AM658" s="57"/>
      <c r="AN658" s="57"/>
      <c r="AO658" s="57"/>
    </row>
    <row r="659" spans="1:41">
      <c r="A659" s="55" t="s">
        <v>425</v>
      </c>
      <c r="B659" s="68" t="s">
        <v>440</v>
      </c>
      <c r="C659" s="82">
        <v>55.765000000000001</v>
      </c>
      <c r="D659" s="82">
        <v>59.226999999999997</v>
      </c>
      <c r="E659" s="82">
        <v>63.317999999999998</v>
      </c>
      <c r="F659" s="82">
        <v>65.430000000000007</v>
      </c>
      <c r="G659" s="82">
        <v>66.498999999999995</v>
      </c>
      <c r="H659" s="82">
        <v>68.283000000000001</v>
      </c>
      <c r="I659" s="82">
        <v>79.415999999999997</v>
      </c>
      <c r="J659" s="82">
        <v>85.116</v>
      </c>
      <c r="K659" s="82">
        <v>88.918000000000006</v>
      </c>
      <c r="L659" s="82">
        <v>89.945999999999998</v>
      </c>
      <c r="M659" s="82">
        <v>93.6</v>
      </c>
      <c r="N659" s="83">
        <v>93.218999999999994</v>
      </c>
      <c r="O659" s="83">
        <v>100</v>
      </c>
      <c r="P659" s="82">
        <v>97.274000000000001</v>
      </c>
      <c r="Q659" s="83">
        <v>95.117000000000004</v>
      </c>
      <c r="R659" s="83">
        <v>86.846000000000004</v>
      </c>
      <c r="S659" s="80">
        <v>88.418999999999997</v>
      </c>
      <c r="T659" s="63"/>
      <c r="AD659" s="57"/>
      <c r="AE659" s="57"/>
      <c r="AF659" s="57"/>
      <c r="AG659" s="57"/>
      <c r="AH659" s="57"/>
      <c r="AI659" s="57"/>
      <c r="AJ659" s="57"/>
      <c r="AK659" s="57"/>
      <c r="AL659" s="57"/>
      <c r="AM659" s="57"/>
      <c r="AN659" s="57"/>
      <c r="AO659" s="57"/>
    </row>
    <row r="660" spans="1:41">
      <c r="A660" s="55" t="s">
        <v>425</v>
      </c>
      <c r="B660" s="68" t="s">
        <v>441</v>
      </c>
      <c r="C660" s="82">
        <v>72.972999999999999</v>
      </c>
      <c r="D660" s="82">
        <v>78.334000000000003</v>
      </c>
      <c r="E660" s="82">
        <v>82.481999999999999</v>
      </c>
      <c r="F660" s="82">
        <v>87.149000000000001</v>
      </c>
      <c r="G660" s="82">
        <v>87.594999999999999</v>
      </c>
      <c r="H660" s="82">
        <v>92.596000000000004</v>
      </c>
      <c r="I660" s="82">
        <v>99.503</v>
      </c>
      <c r="J660" s="82">
        <v>105.76600000000001</v>
      </c>
      <c r="K660" s="82">
        <v>109.833</v>
      </c>
      <c r="L660" s="82">
        <v>113.441</v>
      </c>
      <c r="M660" s="82">
        <v>111.622</v>
      </c>
      <c r="N660" s="83">
        <v>105.33799999999999</v>
      </c>
      <c r="O660" s="83">
        <v>100</v>
      </c>
      <c r="P660" s="82">
        <v>105.807</v>
      </c>
      <c r="Q660" s="83">
        <v>108.99</v>
      </c>
      <c r="R660" s="83">
        <v>115.404</v>
      </c>
      <c r="S660" s="80">
        <v>118.711</v>
      </c>
      <c r="AD660" s="57"/>
      <c r="AE660" s="57"/>
      <c r="AF660" s="57"/>
      <c r="AG660" s="57"/>
      <c r="AH660" s="57"/>
      <c r="AI660" s="57"/>
      <c r="AJ660" s="57"/>
      <c r="AK660" s="57"/>
      <c r="AL660" s="57"/>
      <c r="AM660" s="57"/>
      <c r="AN660" s="57"/>
      <c r="AO660" s="57"/>
    </row>
    <row r="661" spans="1:41">
      <c r="A661" s="55" t="s">
        <v>425</v>
      </c>
      <c r="B661" s="65" t="s">
        <v>360</v>
      </c>
      <c r="C661" s="82">
        <v>92.38</v>
      </c>
      <c r="D661" s="82">
        <v>96.058000000000007</v>
      </c>
      <c r="E661" s="82">
        <v>98.453000000000003</v>
      </c>
      <c r="F661" s="82">
        <v>98.581999999999994</v>
      </c>
      <c r="G661" s="82">
        <v>93.691000000000003</v>
      </c>
      <c r="H661" s="82">
        <v>92.947999999999993</v>
      </c>
      <c r="I661" s="82">
        <v>95.546000000000006</v>
      </c>
      <c r="J661" s="82">
        <v>102.477</v>
      </c>
      <c r="K661" s="82">
        <v>106.54</v>
      </c>
      <c r="L661" s="82">
        <v>111.48099999999999</v>
      </c>
      <c r="M661" s="82">
        <v>114.79300000000001</v>
      </c>
      <c r="N661" s="83">
        <v>112.283</v>
      </c>
      <c r="O661" s="83">
        <v>100</v>
      </c>
      <c r="P661" s="82">
        <v>105</v>
      </c>
      <c r="Q661" s="83">
        <v>108.836</v>
      </c>
      <c r="R661" s="83">
        <v>110.65</v>
      </c>
      <c r="S661" s="80">
        <v>112.23399999999999</v>
      </c>
      <c r="T661" s="63"/>
      <c r="AD661" s="57"/>
      <c r="AE661" s="57"/>
      <c r="AF661" s="57"/>
      <c r="AG661" s="57"/>
      <c r="AH661" s="57"/>
      <c r="AI661" s="57"/>
      <c r="AJ661" s="57"/>
      <c r="AK661" s="57"/>
      <c r="AL661" s="57"/>
      <c r="AM661" s="57"/>
      <c r="AN661" s="57"/>
      <c r="AO661" s="57"/>
    </row>
    <row r="662" spans="1:41">
      <c r="A662" s="55" t="s">
        <v>425</v>
      </c>
      <c r="B662" s="65" t="s">
        <v>361</v>
      </c>
      <c r="C662" s="82">
        <v>133.572</v>
      </c>
      <c r="D662" s="82">
        <v>130.09800000000001</v>
      </c>
      <c r="E662" s="82">
        <v>127.813</v>
      </c>
      <c r="F662" s="82">
        <v>119.227</v>
      </c>
      <c r="G662" s="82">
        <v>96.013000000000005</v>
      </c>
      <c r="H662" s="82">
        <v>88.558999999999997</v>
      </c>
      <c r="I662" s="82">
        <v>94.673000000000002</v>
      </c>
      <c r="J662" s="82">
        <v>103.01600000000001</v>
      </c>
      <c r="K662" s="82">
        <v>107.39</v>
      </c>
      <c r="L662" s="82">
        <v>110.29900000000001</v>
      </c>
      <c r="M662" s="82">
        <v>115.837</v>
      </c>
      <c r="N662" s="83">
        <v>111.22199999999999</v>
      </c>
      <c r="O662" s="83">
        <v>100</v>
      </c>
      <c r="P662" s="82">
        <v>104.896</v>
      </c>
      <c r="Q662" s="83">
        <v>106.51</v>
      </c>
      <c r="R662" s="83">
        <v>102.709</v>
      </c>
      <c r="S662" s="80">
        <v>103.729</v>
      </c>
      <c r="T662" s="63"/>
      <c r="AD662" s="57"/>
      <c r="AE662" s="57"/>
      <c r="AF662" s="57"/>
      <c r="AG662" s="57"/>
      <c r="AH662" s="57"/>
      <c r="AI662" s="57"/>
      <c r="AJ662" s="57"/>
      <c r="AK662" s="57"/>
      <c r="AL662" s="57"/>
      <c r="AM662" s="57"/>
      <c r="AN662" s="57"/>
      <c r="AO662" s="57"/>
    </row>
    <row r="663" spans="1:41">
      <c r="A663" s="55" t="s">
        <v>425</v>
      </c>
      <c r="B663" s="65" t="s">
        <v>362</v>
      </c>
      <c r="C663" s="82">
        <v>103.81399999999999</v>
      </c>
      <c r="D663" s="82">
        <v>102.38800000000001</v>
      </c>
      <c r="E663" s="82">
        <v>103.755</v>
      </c>
      <c r="F663" s="82">
        <v>103.911</v>
      </c>
      <c r="G663" s="82">
        <v>103.378</v>
      </c>
      <c r="H663" s="82">
        <v>102.819</v>
      </c>
      <c r="I663" s="82">
        <v>103.77</v>
      </c>
      <c r="J663" s="82">
        <v>110.265</v>
      </c>
      <c r="K663" s="82">
        <v>113.212</v>
      </c>
      <c r="L663" s="82">
        <v>117.66500000000001</v>
      </c>
      <c r="M663" s="82">
        <v>118.399</v>
      </c>
      <c r="N663" s="83">
        <v>119.313</v>
      </c>
      <c r="O663" s="83">
        <v>100</v>
      </c>
      <c r="P663" s="82">
        <v>115.45</v>
      </c>
      <c r="Q663" s="83">
        <v>121.392</v>
      </c>
      <c r="R663" s="83">
        <v>120.991</v>
      </c>
      <c r="S663" s="80">
        <v>120.965</v>
      </c>
      <c r="T663" s="63"/>
      <c r="AD663" s="57"/>
      <c r="AE663" s="57"/>
      <c r="AF663" s="57"/>
      <c r="AG663" s="57"/>
      <c r="AH663" s="57"/>
      <c r="AI663" s="57"/>
      <c r="AJ663" s="57"/>
      <c r="AK663" s="57"/>
      <c r="AL663" s="57"/>
      <c r="AM663" s="57"/>
      <c r="AN663" s="57"/>
      <c r="AO663" s="57"/>
    </row>
    <row r="664" spans="1:41">
      <c r="A664" s="55" t="s">
        <v>425</v>
      </c>
      <c r="B664" s="65" t="s">
        <v>363</v>
      </c>
      <c r="C664" s="82">
        <v>69.099999999999994</v>
      </c>
      <c r="D664" s="82">
        <v>67.537000000000006</v>
      </c>
      <c r="E664" s="82">
        <v>64.912000000000006</v>
      </c>
      <c r="F664" s="82">
        <v>63.363</v>
      </c>
      <c r="G664" s="82">
        <v>61.406999999999996</v>
      </c>
      <c r="H664" s="82">
        <v>57.482999999999997</v>
      </c>
      <c r="I664" s="82">
        <v>61.304000000000002</v>
      </c>
      <c r="J664" s="82">
        <v>72.197999999999993</v>
      </c>
      <c r="K664" s="82">
        <v>74.289000000000001</v>
      </c>
      <c r="L664" s="82">
        <v>79.478999999999999</v>
      </c>
      <c r="M664" s="82">
        <v>91.948999999999998</v>
      </c>
      <c r="N664" s="83">
        <v>96.198999999999998</v>
      </c>
      <c r="O664" s="83">
        <v>100</v>
      </c>
      <c r="P664" s="82">
        <v>100.77500000000001</v>
      </c>
      <c r="Q664" s="83">
        <v>102.919</v>
      </c>
      <c r="R664" s="83">
        <v>104.997</v>
      </c>
      <c r="S664" s="80">
        <v>108.482</v>
      </c>
      <c r="T664" s="63"/>
      <c r="AD664" s="57"/>
      <c r="AE664" s="57"/>
      <c r="AF664" s="57"/>
      <c r="AG664" s="57"/>
      <c r="AH664" s="57"/>
      <c r="AI664" s="57"/>
      <c r="AJ664" s="57"/>
      <c r="AK664" s="57"/>
      <c r="AL664" s="57"/>
      <c r="AM664" s="57"/>
      <c r="AN664" s="57"/>
      <c r="AO664" s="57"/>
    </row>
    <row r="665" spans="1:41">
      <c r="A665" s="55" t="s">
        <v>425</v>
      </c>
      <c r="B665" s="65" t="s">
        <v>364</v>
      </c>
      <c r="C665" s="82">
        <v>97.542000000000002</v>
      </c>
      <c r="D665" s="82">
        <v>102.60899999999999</v>
      </c>
      <c r="E665" s="82">
        <v>106.627</v>
      </c>
      <c r="F665" s="82">
        <v>109.387</v>
      </c>
      <c r="G665" s="82">
        <v>106.843</v>
      </c>
      <c r="H665" s="82">
        <v>107.414</v>
      </c>
      <c r="I665" s="82">
        <v>107.485</v>
      </c>
      <c r="J665" s="82">
        <v>114.46299999999999</v>
      </c>
      <c r="K665" s="82">
        <v>120.054</v>
      </c>
      <c r="L665" s="82">
        <v>123.202</v>
      </c>
      <c r="M665" s="82">
        <v>123.556</v>
      </c>
      <c r="N665" s="83">
        <v>117.79300000000001</v>
      </c>
      <c r="O665" s="83">
        <v>100</v>
      </c>
      <c r="P665" s="82">
        <v>106.81100000000001</v>
      </c>
      <c r="Q665" s="83">
        <v>112.23</v>
      </c>
      <c r="R665" s="83">
        <v>116.387</v>
      </c>
      <c r="S665" s="80">
        <v>117.928</v>
      </c>
      <c r="T665" s="63"/>
      <c r="AD665" s="57"/>
      <c r="AE665" s="57"/>
      <c r="AF665" s="57"/>
      <c r="AG665" s="57"/>
      <c r="AH665" s="57"/>
      <c r="AI665" s="57"/>
      <c r="AJ665" s="57"/>
      <c r="AK665" s="57"/>
      <c r="AL665" s="57"/>
      <c r="AM665" s="57"/>
      <c r="AN665" s="57"/>
      <c r="AO665" s="57"/>
    </row>
    <row r="666" spans="1:41">
      <c r="A666" s="55" t="s">
        <v>425</v>
      </c>
      <c r="B666" s="65" t="s">
        <v>365</v>
      </c>
      <c r="C666" s="82">
        <v>79.331000000000003</v>
      </c>
      <c r="D666" s="82">
        <v>85.825000000000003</v>
      </c>
      <c r="E666" s="82">
        <v>85.129000000000005</v>
      </c>
      <c r="F666" s="82">
        <v>81.930999999999997</v>
      </c>
      <c r="G666" s="82">
        <v>81.983999999999995</v>
      </c>
      <c r="H666" s="82">
        <v>81.88</v>
      </c>
      <c r="I666" s="82">
        <v>79.158000000000001</v>
      </c>
      <c r="J666" s="82">
        <v>89.576999999999998</v>
      </c>
      <c r="K666" s="82">
        <v>95.462999999999994</v>
      </c>
      <c r="L666" s="82">
        <v>104.044</v>
      </c>
      <c r="M666" s="82">
        <v>108.682</v>
      </c>
      <c r="N666" s="83">
        <v>104.735</v>
      </c>
      <c r="O666" s="83">
        <v>100</v>
      </c>
      <c r="P666" s="82">
        <v>97.343000000000004</v>
      </c>
      <c r="Q666" s="83">
        <v>98.876000000000005</v>
      </c>
      <c r="R666" s="83">
        <v>101.321</v>
      </c>
      <c r="S666" s="80">
        <v>101.911</v>
      </c>
      <c r="T666" s="63"/>
      <c r="AD666" s="57"/>
      <c r="AE666" s="57"/>
      <c r="AF666" s="57"/>
      <c r="AG666" s="57"/>
      <c r="AH666" s="57"/>
      <c r="AI666" s="57"/>
      <c r="AJ666" s="57"/>
      <c r="AK666" s="57"/>
      <c r="AL666" s="57"/>
      <c r="AM666" s="57"/>
      <c r="AN666" s="57"/>
      <c r="AO666" s="57"/>
    </row>
    <row r="667" spans="1:41">
      <c r="A667" s="55" t="s">
        <v>425</v>
      </c>
      <c r="B667" s="65" t="s">
        <v>366</v>
      </c>
      <c r="C667" s="82">
        <v>136.15</v>
      </c>
      <c r="D667" s="82">
        <v>141.12</v>
      </c>
      <c r="E667" s="82">
        <v>142.43</v>
      </c>
      <c r="F667" s="82">
        <v>131.99700000000001</v>
      </c>
      <c r="G667" s="82">
        <v>125.477</v>
      </c>
      <c r="H667" s="82">
        <v>121.374</v>
      </c>
      <c r="I667" s="82">
        <v>120.089</v>
      </c>
      <c r="J667" s="82">
        <v>118.619</v>
      </c>
      <c r="K667" s="82">
        <v>113.13</v>
      </c>
      <c r="L667" s="82">
        <v>111.65</v>
      </c>
      <c r="M667" s="82">
        <v>112.872</v>
      </c>
      <c r="N667" s="83">
        <v>121.17400000000001</v>
      </c>
      <c r="O667" s="83">
        <v>100</v>
      </c>
      <c r="P667" s="82">
        <v>99.596000000000004</v>
      </c>
      <c r="Q667" s="83">
        <v>101.254</v>
      </c>
      <c r="R667" s="83">
        <v>100.79600000000001</v>
      </c>
      <c r="S667" s="80">
        <v>101.238</v>
      </c>
      <c r="T667" s="63"/>
      <c r="AD667" s="57"/>
      <c r="AE667" s="57"/>
      <c r="AF667" s="57"/>
      <c r="AG667" s="57"/>
      <c r="AH667" s="57"/>
      <c r="AI667" s="57"/>
      <c r="AJ667" s="57"/>
      <c r="AK667" s="57"/>
      <c r="AL667" s="57"/>
      <c r="AM667" s="57"/>
      <c r="AN667" s="57"/>
      <c r="AO667" s="57"/>
    </row>
    <row r="668" spans="1:41">
      <c r="A668" s="55" t="s">
        <v>425</v>
      </c>
      <c r="B668" s="65" t="s">
        <v>367</v>
      </c>
      <c r="C668" s="82">
        <v>74.259</v>
      </c>
      <c r="D668" s="82">
        <v>83.701999999999998</v>
      </c>
      <c r="E668" s="82">
        <v>89.83</v>
      </c>
      <c r="F668" s="82">
        <v>94.286000000000001</v>
      </c>
      <c r="G668" s="82">
        <v>94.504999999999995</v>
      </c>
      <c r="H668" s="82">
        <v>96.584000000000003</v>
      </c>
      <c r="I668" s="82">
        <v>99.209000000000003</v>
      </c>
      <c r="J668" s="82">
        <v>103.789</v>
      </c>
      <c r="K668" s="82">
        <v>106.705</v>
      </c>
      <c r="L668" s="82">
        <v>112.953</v>
      </c>
      <c r="M668" s="82">
        <v>114.958</v>
      </c>
      <c r="N668" s="83">
        <v>112.566</v>
      </c>
      <c r="O668" s="83">
        <v>100</v>
      </c>
      <c r="P668" s="82">
        <v>101.40900000000001</v>
      </c>
      <c r="Q668" s="83">
        <v>104.101</v>
      </c>
      <c r="R668" s="83">
        <v>105.997</v>
      </c>
      <c r="S668" s="80">
        <v>107.303</v>
      </c>
      <c r="T668" s="63"/>
      <c r="AD668" s="57"/>
      <c r="AE668" s="57"/>
      <c r="AF668" s="57"/>
      <c r="AG668" s="57"/>
      <c r="AH668" s="57"/>
      <c r="AI668" s="57"/>
      <c r="AJ668" s="57"/>
      <c r="AK668" s="57"/>
      <c r="AL668" s="57"/>
      <c r="AM668" s="57"/>
      <c r="AN668" s="57"/>
      <c r="AO668" s="57"/>
    </row>
    <row r="669" spans="1:41">
      <c r="A669" s="55" t="s">
        <v>425</v>
      </c>
      <c r="B669" s="65" t="s">
        <v>368</v>
      </c>
      <c r="C669" s="82">
        <v>45.869</v>
      </c>
      <c r="D669" s="82">
        <v>49.283000000000001</v>
      </c>
      <c r="E669" s="82">
        <v>52.332000000000001</v>
      </c>
      <c r="F669" s="82">
        <v>55.932000000000002</v>
      </c>
      <c r="G669" s="82">
        <v>58.878999999999998</v>
      </c>
      <c r="H669" s="82">
        <v>63.432000000000002</v>
      </c>
      <c r="I669" s="82">
        <v>71.402000000000001</v>
      </c>
      <c r="J669" s="82">
        <v>77.828000000000003</v>
      </c>
      <c r="K669" s="82">
        <v>82.915999999999997</v>
      </c>
      <c r="L669" s="82">
        <v>95.05</v>
      </c>
      <c r="M669" s="82">
        <v>101.55800000000001</v>
      </c>
      <c r="N669" s="83">
        <v>103.31399999999999</v>
      </c>
      <c r="O669" s="83">
        <v>100</v>
      </c>
      <c r="P669" s="82">
        <v>109.05500000000001</v>
      </c>
      <c r="Q669" s="83">
        <v>116.974</v>
      </c>
      <c r="R669" s="83">
        <v>125.583</v>
      </c>
      <c r="S669" s="80">
        <v>130.81800000000001</v>
      </c>
      <c r="AD669" s="57"/>
      <c r="AE669" s="57"/>
      <c r="AF669" s="57"/>
      <c r="AG669" s="57"/>
      <c r="AH669" s="57"/>
      <c r="AI669" s="57"/>
      <c r="AJ669" s="57"/>
      <c r="AK669" s="57"/>
      <c r="AL669" s="57"/>
      <c r="AM669" s="57"/>
      <c r="AN669" s="57"/>
      <c r="AO669" s="57"/>
    </row>
    <row r="670" spans="1:41">
      <c r="A670" s="55" t="s">
        <v>425</v>
      </c>
      <c r="B670" s="65" t="s">
        <v>369</v>
      </c>
      <c r="C670" s="82">
        <v>61.557000000000002</v>
      </c>
      <c r="D670" s="82">
        <v>67.83</v>
      </c>
      <c r="E670" s="82">
        <v>76.069999999999993</v>
      </c>
      <c r="F670" s="82">
        <v>83.608000000000004</v>
      </c>
      <c r="G670" s="82">
        <v>85.48</v>
      </c>
      <c r="H670" s="82">
        <v>86.817999999999998</v>
      </c>
      <c r="I670" s="82">
        <v>86.747</v>
      </c>
      <c r="J670" s="82">
        <v>89.625</v>
      </c>
      <c r="K670" s="82">
        <v>93.539000000000001</v>
      </c>
      <c r="L670" s="82">
        <v>96.619</v>
      </c>
      <c r="M670" s="82">
        <v>100.66200000000001</v>
      </c>
      <c r="N670" s="83">
        <v>103.137</v>
      </c>
      <c r="O670" s="83">
        <v>100</v>
      </c>
      <c r="P670" s="82">
        <v>104.286</v>
      </c>
      <c r="Q670" s="83">
        <v>108.464</v>
      </c>
      <c r="R670" s="83">
        <v>112.999</v>
      </c>
      <c r="S670" s="80">
        <v>118.21</v>
      </c>
      <c r="T670" s="63"/>
      <c r="AD670" s="57"/>
      <c r="AE670" s="57"/>
      <c r="AF670" s="57"/>
      <c r="AG670" s="57"/>
      <c r="AH670" s="57"/>
      <c r="AI670" s="57"/>
      <c r="AJ670" s="57"/>
      <c r="AK670" s="57"/>
      <c r="AL670" s="57"/>
      <c r="AM670" s="57"/>
      <c r="AN670" s="57"/>
      <c r="AO670" s="57"/>
    </row>
    <row r="671" spans="1:41">
      <c r="A671" s="55" t="s">
        <v>425</v>
      </c>
      <c r="B671" s="65" t="s">
        <v>442</v>
      </c>
      <c r="C671" s="82">
        <v>79.480999999999995</v>
      </c>
      <c r="D671" s="82">
        <v>87.248999999999995</v>
      </c>
      <c r="E671" s="82">
        <v>94.82</v>
      </c>
      <c r="F671" s="82">
        <v>98.8</v>
      </c>
      <c r="G671" s="82">
        <v>98.686999999999998</v>
      </c>
      <c r="H671" s="82">
        <v>99.033000000000001</v>
      </c>
      <c r="I671" s="82">
        <v>96.852000000000004</v>
      </c>
      <c r="J671" s="82">
        <v>102.619</v>
      </c>
      <c r="K671" s="82">
        <v>104.548</v>
      </c>
      <c r="L671" s="82">
        <v>105.273</v>
      </c>
      <c r="M671" s="82">
        <v>108.715</v>
      </c>
      <c r="N671" s="83">
        <v>108.157</v>
      </c>
      <c r="O671" s="83">
        <v>100</v>
      </c>
      <c r="P671" s="82">
        <v>101.253</v>
      </c>
      <c r="Q671" s="83">
        <v>104.273</v>
      </c>
      <c r="R671" s="83">
        <v>105.13800000000001</v>
      </c>
      <c r="S671" s="80">
        <v>108.652</v>
      </c>
      <c r="T671" s="63"/>
      <c r="AD671" s="57"/>
      <c r="AE671" s="57"/>
      <c r="AF671" s="57"/>
      <c r="AG671" s="57"/>
      <c r="AH671" s="57"/>
      <c r="AI671" s="57"/>
      <c r="AJ671" s="57"/>
      <c r="AK671" s="57"/>
      <c r="AL671" s="57"/>
      <c r="AM671" s="57"/>
      <c r="AN671" s="57"/>
      <c r="AO671" s="57"/>
    </row>
    <row r="672" spans="1:41">
      <c r="A672" s="55" t="s">
        <v>425</v>
      </c>
      <c r="B672" s="65" t="s">
        <v>371</v>
      </c>
      <c r="C672" s="82">
        <v>87.540999999999997</v>
      </c>
      <c r="D672" s="82">
        <v>93.968999999999994</v>
      </c>
      <c r="E672" s="82">
        <v>97.106999999999999</v>
      </c>
      <c r="F672" s="82">
        <v>101.36</v>
      </c>
      <c r="G672" s="82">
        <v>99.724000000000004</v>
      </c>
      <c r="H672" s="82">
        <v>104.60599999999999</v>
      </c>
      <c r="I672" s="82">
        <v>111.748</v>
      </c>
      <c r="J672" s="82">
        <v>109.39</v>
      </c>
      <c r="K672" s="82">
        <v>110.371</v>
      </c>
      <c r="L672" s="82">
        <v>110.46899999999999</v>
      </c>
      <c r="M672" s="82">
        <v>109.81399999999999</v>
      </c>
      <c r="N672" s="83">
        <v>105.49</v>
      </c>
      <c r="O672" s="83">
        <v>100</v>
      </c>
      <c r="P672" s="82">
        <v>107.771</v>
      </c>
      <c r="Q672" s="83">
        <v>108.956</v>
      </c>
      <c r="R672" s="83">
        <v>112.96299999999999</v>
      </c>
      <c r="S672" s="80">
        <v>118.072</v>
      </c>
      <c r="T672" s="63"/>
      <c r="AD672" s="57"/>
      <c r="AE672" s="57"/>
      <c r="AF672" s="57"/>
      <c r="AG672" s="57"/>
      <c r="AH672" s="57"/>
      <c r="AI672" s="57"/>
      <c r="AJ672" s="57"/>
      <c r="AK672" s="57"/>
      <c r="AL672" s="57"/>
      <c r="AM672" s="57"/>
      <c r="AN672" s="57"/>
      <c r="AO672" s="57"/>
    </row>
    <row r="673" spans="1:41">
      <c r="A673" s="55" t="s">
        <v>425</v>
      </c>
      <c r="B673" s="65" t="s">
        <v>372</v>
      </c>
      <c r="C673" s="82">
        <v>54.816000000000003</v>
      </c>
      <c r="D673" s="82">
        <v>61.046999999999997</v>
      </c>
      <c r="E673" s="82">
        <v>70.227999999999994</v>
      </c>
      <c r="F673" s="82">
        <v>79.225999999999999</v>
      </c>
      <c r="G673" s="82">
        <v>82.391000000000005</v>
      </c>
      <c r="H673" s="82">
        <v>82.944999999999993</v>
      </c>
      <c r="I673" s="82">
        <v>82.227000000000004</v>
      </c>
      <c r="J673" s="82">
        <v>84.195999999999998</v>
      </c>
      <c r="K673" s="82">
        <v>89.347999999999999</v>
      </c>
      <c r="L673" s="82">
        <v>92.893000000000001</v>
      </c>
      <c r="M673" s="82">
        <v>97.290999999999997</v>
      </c>
      <c r="N673" s="83">
        <v>101.02</v>
      </c>
      <c r="O673" s="83">
        <v>100</v>
      </c>
      <c r="P673" s="82">
        <v>104.45399999999999</v>
      </c>
      <c r="Q673" s="83">
        <v>108.48699999999999</v>
      </c>
      <c r="R673" s="83">
        <v>113.059</v>
      </c>
      <c r="S673" s="80">
        <v>117.56</v>
      </c>
      <c r="T673" s="63"/>
      <c r="AD673" s="57"/>
      <c r="AE673" s="57"/>
      <c r="AF673" s="57"/>
      <c r="AG673" s="57"/>
      <c r="AH673" s="57"/>
      <c r="AI673" s="57"/>
      <c r="AJ673" s="57"/>
      <c r="AK673" s="57"/>
      <c r="AL673" s="57"/>
      <c r="AM673" s="57"/>
      <c r="AN673" s="57"/>
      <c r="AO673" s="57"/>
    </row>
    <row r="674" spans="1:41">
      <c r="A674" s="55" t="s">
        <v>425</v>
      </c>
      <c r="B674" s="65" t="s">
        <v>443</v>
      </c>
      <c r="C674" s="82">
        <v>38.548000000000002</v>
      </c>
      <c r="D674" s="82">
        <v>41.286999999999999</v>
      </c>
      <c r="E674" s="82">
        <v>48.838999999999999</v>
      </c>
      <c r="F674" s="82">
        <v>57.539000000000001</v>
      </c>
      <c r="G674" s="82">
        <v>59.234000000000002</v>
      </c>
      <c r="H674" s="82">
        <v>63.668999999999997</v>
      </c>
      <c r="I674" s="82">
        <v>65.061000000000007</v>
      </c>
      <c r="J674" s="82">
        <v>71.444999999999993</v>
      </c>
      <c r="K674" s="82">
        <v>75.430999999999997</v>
      </c>
      <c r="L674" s="82">
        <v>83.706000000000003</v>
      </c>
      <c r="M674" s="82">
        <v>91.54</v>
      </c>
      <c r="N674" s="83">
        <v>100.63800000000001</v>
      </c>
      <c r="O674" s="83">
        <v>100</v>
      </c>
      <c r="P674" s="82">
        <v>106.67700000000001</v>
      </c>
      <c r="Q674" s="83">
        <v>116.925</v>
      </c>
      <c r="R674" s="83">
        <v>129.71899999999999</v>
      </c>
      <c r="S674" s="80">
        <v>142.26</v>
      </c>
      <c r="AD674" s="57"/>
      <c r="AE674" s="57"/>
      <c r="AF674" s="57"/>
      <c r="AG674" s="57"/>
      <c r="AH674" s="57"/>
      <c r="AI674" s="57"/>
      <c r="AJ674" s="57"/>
      <c r="AK674" s="57"/>
      <c r="AL674" s="57"/>
      <c r="AM674" s="57"/>
      <c r="AN674" s="57"/>
      <c r="AO674" s="57"/>
    </row>
    <row r="675" spans="1:41">
      <c r="A675" s="55" t="s">
        <v>425</v>
      </c>
      <c r="B675" s="65" t="s">
        <v>374</v>
      </c>
      <c r="C675" s="82">
        <v>66.978999999999999</v>
      </c>
      <c r="D675" s="82">
        <v>71.734999999999999</v>
      </c>
      <c r="E675" s="82">
        <v>77.492000000000004</v>
      </c>
      <c r="F675" s="82">
        <v>83.914000000000001</v>
      </c>
      <c r="G675" s="82">
        <v>85.507999999999996</v>
      </c>
      <c r="H675" s="82">
        <v>86.831999999999994</v>
      </c>
      <c r="I675" s="82">
        <v>90.152000000000001</v>
      </c>
      <c r="J675" s="82">
        <v>95.320999999999998</v>
      </c>
      <c r="K675" s="82">
        <v>102.001</v>
      </c>
      <c r="L675" s="82">
        <v>104.72799999999999</v>
      </c>
      <c r="M675" s="82">
        <v>106.30500000000001</v>
      </c>
      <c r="N675" s="83">
        <v>102.605</v>
      </c>
      <c r="O675" s="83">
        <v>100</v>
      </c>
      <c r="P675" s="82">
        <v>101.07299999999999</v>
      </c>
      <c r="Q675" s="83">
        <v>101.76</v>
      </c>
      <c r="R675" s="83">
        <v>104.309</v>
      </c>
      <c r="S675" s="80">
        <v>107.059</v>
      </c>
      <c r="AD675" s="57"/>
      <c r="AE675" s="57"/>
      <c r="AF675" s="57"/>
      <c r="AG675" s="57"/>
      <c r="AH675" s="57"/>
      <c r="AI675" s="57"/>
      <c r="AJ675" s="57"/>
      <c r="AK675" s="57"/>
      <c r="AL675" s="57"/>
      <c r="AM675" s="57"/>
      <c r="AN675" s="57"/>
      <c r="AO675" s="57"/>
    </row>
    <row r="676" spans="1:41">
      <c r="A676" s="55" t="s">
        <v>425</v>
      </c>
      <c r="B676" s="65" t="s">
        <v>375</v>
      </c>
      <c r="C676" s="82">
        <v>60.994999999999997</v>
      </c>
      <c r="D676" s="82">
        <v>67.558000000000007</v>
      </c>
      <c r="E676" s="82">
        <v>76.331000000000003</v>
      </c>
      <c r="F676" s="82">
        <v>85.66</v>
      </c>
      <c r="G676" s="82">
        <v>86.638999999999996</v>
      </c>
      <c r="H676" s="82">
        <v>86.650999999999996</v>
      </c>
      <c r="I676" s="82">
        <v>89.248999999999995</v>
      </c>
      <c r="J676" s="82">
        <v>92.980999999999995</v>
      </c>
      <c r="K676" s="82">
        <v>98.215999999999994</v>
      </c>
      <c r="L676" s="82">
        <v>103.06</v>
      </c>
      <c r="M676" s="82">
        <v>107.238</v>
      </c>
      <c r="N676" s="83">
        <v>101.66200000000001</v>
      </c>
      <c r="O676" s="83">
        <v>100</v>
      </c>
      <c r="P676" s="82">
        <v>98.915999999999997</v>
      </c>
      <c r="Q676" s="83">
        <v>98.063999999999993</v>
      </c>
      <c r="R676" s="83">
        <v>98.153000000000006</v>
      </c>
      <c r="S676" s="80">
        <v>101.137</v>
      </c>
      <c r="T676" s="63"/>
      <c r="AD676" s="57"/>
      <c r="AE676" s="57"/>
      <c r="AF676" s="57"/>
      <c r="AG676" s="57"/>
      <c r="AH676" s="57"/>
      <c r="AI676" s="57"/>
      <c r="AJ676" s="57"/>
      <c r="AK676" s="57"/>
      <c r="AL676" s="57"/>
      <c r="AM676" s="57"/>
      <c r="AN676" s="57"/>
      <c r="AO676" s="57"/>
    </row>
    <row r="677" spans="1:41">
      <c r="A677" s="55" t="s">
        <v>425</v>
      </c>
      <c r="B677" s="65" t="s">
        <v>376</v>
      </c>
      <c r="C677" s="82">
        <v>65.510999999999996</v>
      </c>
      <c r="D677" s="82">
        <v>71.444999999999993</v>
      </c>
      <c r="E677" s="82">
        <v>80.843000000000004</v>
      </c>
      <c r="F677" s="82">
        <v>84.811000000000007</v>
      </c>
      <c r="G677" s="82">
        <v>90.331999999999994</v>
      </c>
      <c r="H677" s="82">
        <v>94.751000000000005</v>
      </c>
      <c r="I677" s="82">
        <v>95.622</v>
      </c>
      <c r="J677" s="82">
        <v>94.88</v>
      </c>
      <c r="K677" s="82">
        <v>97.683000000000007</v>
      </c>
      <c r="L677" s="82">
        <v>97.831999999999994</v>
      </c>
      <c r="M677" s="82">
        <v>97.12</v>
      </c>
      <c r="N677" s="83">
        <v>93.356999999999999</v>
      </c>
      <c r="O677" s="83">
        <v>100</v>
      </c>
      <c r="P677" s="82">
        <v>92.123999999999995</v>
      </c>
      <c r="Q677" s="83">
        <v>87.844999999999999</v>
      </c>
      <c r="R677" s="83">
        <v>87.528999999999996</v>
      </c>
      <c r="S677" s="80">
        <v>86.962000000000003</v>
      </c>
      <c r="T677" s="63"/>
      <c r="AD677" s="57"/>
      <c r="AE677" s="57"/>
      <c r="AF677" s="57"/>
      <c r="AG677" s="57"/>
      <c r="AH677" s="57"/>
      <c r="AI677" s="57"/>
      <c r="AJ677" s="57"/>
      <c r="AK677" s="57"/>
      <c r="AL677" s="57"/>
      <c r="AM677" s="57"/>
      <c r="AN677" s="57"/>
      <c r="AO677" s="57"/>
    </row>
    <row r="678" spans="1:41">
      <c r="A678" s="55" t="s">
        <v>425</v>
      </c>
      <c r="B678" s="65" t="s">
        <v>377</v>
      </c>
      <c r="C678" s="82">
        <v>46.686</v>
      </c>
      <c r="D678" s="82">
        <v>57.058999999999997</v>
      </c>
      <c r="E678" s="82">
        <v>72.067999999999998</v>
      </c>
      <c r="F678" s="82">
        <v>95.114999999999995</v>
      </c>
      <c r="G678" s="82">
        <v>89.448999999999998</v>
      </c>
      <c r="H678" s="82">
        <v>82.606999999999999</v>
      </c>
      <c r="I678" s="82">
        <v>87.722999999999999</v>
      </c>
      <c r="J678" s="82">
        <v>94.533000000000001</v>
      </c>
      <c r="K678" s="82">
        <v>101.471</v>
      </c>
      <c r="L678" s="82">
        <v>116.39</v>
      </c>
      <c r="M678" s="82">
        <v>123.92700000000001</v>
      </c>
      <c r="N678" s="83">
        <v>102.553</v>
      </c>
      <c r="O678" s="83">
        <v>100</v>
      </c>
      <c r="P678" s="82">
        <v>101.086</v>
      </c>
      <c r="Q678" s="83">
        <v>95.88</v>
      </c>
      <c r="R678" s="83">
        <v>99.066000000000003</v>
      </c>
      <c r="S678" s="80">
        <v>103.996</v>
      </c>
      <c r="T678" s="63"/>
      <c r="AD678" s="57"/>
      <c r="AE678" s="57"/>
      <c r="AF678" s="57"/>
      <c r="AG678" s="57"/>
      <c r="AH678" s="57"/>
      <c r="AI678" s="57"/>
      <c r="AJ678" s="57"/>
      <c r="AK678" s="57"/>
      <c r="AL678" s="57"/>
      <c r="AM678" s="57"/>
      <c r="AN678" s="57"/>
      <c r="AO678" s="57"/>
    </row>
    <row r="679" spans="1:41">
      <c r="A679" s="55" t="s">
        <v>425</v>
      </c>
      <c r="B679" s="65" t="s">
        <v>378</v>
      </c>
      <c r="C679" s="82">
        <v>66.066000000000003</v>
      </c>
      <c r="D679" s="82">
        <v>69.834000000000003</v>
      </c>
      <c r="E679" s="82">
        <v>72.777000000000001</v>
      </c>
      <c r="F679" s="82">
        <v>77.802000000000007</v>
      </c>
      <c r="G679" s="82">
        <v>79.424000000000007</v>
      </c>
      <c r="H679" s="82">
        <v>80.537000000000006</v>
      </c>
      <c r="I679" s="82">
        <v>84.5</v>
      </c>
      <c r="J679" s="82">
        <v>90.626999999999995</v>
      </c>
      <c r="K679" s="82">
        <v>97.570999999999998</v>
      </c>
      <c r="L679" s="82">
        <v>101.417</v>
      </c>
      <c r="M679" s="82">
        <v>107.71599999999999</v>
      </c>
      <c r="N679" s="83">
        <v>108.694</v>
      </c>
      <c r="O679" s="83">
        <v>100</v>
      </c>
      <c r="P679" s="82">
        <v>104.09399999999999</v>
      </c>
      <c r="Q679" s="83">
        <v>108.956</v>
      </c>
      <c r="R679" s="83">
        <v>108.318</v>
      </c>
      <c r="S679" s="80">
        <v>113.164</v>
      </c>
      <c r="T679" s="63"/>
      <c r="AD679" s="57"/>
      <c r="AE679" s="57"/>
      <c r="AF679" s="57"/>
      <c r="AG679" s="57"/>
      <c r="AH679" s="57"/>
      <c r="AI679" s="57"/>
      <c r="AJ679" s="57"/>
      <c r="AK679" s="57"/>
      <c r="AL679" s="57"/>
      <c r="AM679" s="57"/>
      <c r="AN679" s="57"/>
      <c r="AO679" s="57"/>
    </row>
    <row r="680" spans="1:41">
      <c r="A680" s="55" t="s">
        <v>425</v>
      </c>
      <c r="B680" s="65" t="s">
        <v>379</v>
      </c>
      <c r="C680" s="82">
        <v>64.647000000000006</v>
      </c>
      <c r="D680" s="82">
        <v>74.138999999999996</v>
      </c>
      <c r="E680" s="82">
        <v>85.165000000000006</v>
      </c>
      <c r="F680" s="82">
        <v>100.369</v>
      </c>
      <c r="G680" s="82">
        <v>90.631</v>
      </c>
      <c r="H680" s="82">
        <v>77.570999999999998</v>
      </c>
      <c r="I680" s="82">
        <v>74.537000000000006</v>
      </c>
      <c r="J680" s="82">
        <v>83.753</v>
      </c>
      <c r="K680" s="82">
        <v>89.007999999999996</v>
      </c>
      <c r="L680" s="82">
        <v>96.058000000000007</v>
      </c>
      <c r="M680" s="82">
        <v>109.264</v>
      </c>
      <c r="N680" s="83">
        <v>112.119</v>
      </c>
      <c r="O680" s="83">
        <v>100</v>
      </c>
      <c r="P680" s="82">
        <v>103.36199999999999</v>
      </c>
      <c r="Q680" s="83">
        <v>106.812</v>
      </c>
      <c r="R680" s="83">
        <v>102.05500000000001</v>
      </c>
      <c r="S680" s="80">
        <v>110.49299999999999</v>
      </c>
      <c r="AD680" s="57"/>
      <c r="AE680" s="57"/>
      <c r="AF680" s="57"/>
      <c r="AG680" s="57"/>
      <c r="AH680" s="57"/>
      <c r="AI680" s="57"/>
      <c r="AJ680" s="57"/>
      <c r="AK680" s="57"/>
      <c r="AL680" s="57"/>
      <c r="AM680" s="57"/>
      <c r="AN680" s="57"/>
      <c r="AO680" s="57"/>
    </row>
    <row r="681" spans="1:41">
      <c r="A681" s="55" t="s">
        <v>425</v>
      </c>
      <c r="B681" s="65" t="s">
        <v>380</v>
      </c>
      <c r="C681" s="82">
        <v>72.171999999999997</v>
      </c>
      <c r="D681" s="82">
        <v>75.319000000000003</v>
      </c>
      <c r="E681" s="82">
        <v>78.486999999999995</v>
      </c>
      <c r="F681" s="82">
        <v>82.504999999999995</v>
      </c>
      <c r="G681" s="82">
        <v>84.588999999999999</v>
      </c>
      <c r="H681" s="82">
        <v>86.935000000000002</v>
      </c>
      <c r="I681" s="82">
        <v>90.811000000000007</v>
      </c>
      <c r="J681" s="82">
        <v>97.093000000000004</v>
      </c>
      <c r="K681" s="82">
        <v>104.892</v>
      </c>
      <c r="L681" s="82">
        <v>105.99</v>
      </c>
      <c r="M681" s="82">
        <v>105.571</v>
      </c>
      <c r="N681" s="83">
        <v>103.31</v>
      </c>
      <c r="O681" s="83">
        <v>100</v>
      </c>
      <c r="P681" s="82">
        <v>102.655</v>
      </c>
      <c r="Q681" s="83">
        <v>104.492</v>
      </c>
      <c r="R681" s="83">
        <v>108.892</v>
      </c>
      <c r="S681" s="80">
        <v>111.46299999999999</v>
      </c>
      <c r="T681" s="63"/>
      <c r="AD681" s="57"/>
      <c r="AE681" s="57"/>
      <c r="AF681" s="57"/>
      <c r="AG681" s="57"/>
      <c r="AH681" s="57"/>
      <c r="AI681" s="57"/>
      <c r="AJ681" s="57"/>
      <c r="AK681" s="57"/>
      <c r="AL681" s="57"/>
      <c r="AM681" s="57"/>
      <c r="AN681" s="57"/>
      <c r="AO681" s="57"/>
    </row>
    <row r="682" spans="1:41">
      <c r="A682" s="55" t="s">
        <v>425</v>
      </c>
      <c r="B682" s="65" t="s">
        <v>381</v>
      </c>
      <c r="C682" s="82">
        <v>71.796000000000006</v>
      </c>
      <c r="D682" s="82">
        <v>73.956999999999994</v>
      </c>
      <c r="E682" s="82">
        <v>76.623999999999995</v>
      </c>
      <c r="F682" s="82">
        <v>80.415999999999997</v>
      </c>
      <c r="G682" s="82">
        <v>82.834000000000003</v>
      </c>
      <c r="H682" s="82">
        <v>85.873999999999995</v>
      </c>
      <c r="I682" s="82">
        <v>89.623999999999995</v>
      </c>
      <c r="J682" s="82">
        <v>96.304000000000002</v>
      </c>
      <c r="K682" s="82">
        <v>104.364</v>
      </c>
      <c r="L682" s="82">
        <v>105.399</v>
      </c>
      <c r="M682" s="82">
        <v>104.82599999999999</v>
      </c>
      <c r="N682" s="83">
        <v>101.83499999999999</v>
      </c>
      <c r="O682" s="83">
        <v>100</v>
      </c>
      <c r="P682" s="82">
        <v>102.26300000000001</v>
      </c>
      <c r="Q682" s="83">
        <v>103.70399999999999</v>
      </c>
      <c r="R682" s="83">
        <v>108.092</v>
      </c>
      <c r="S682" s="80">
        <v>110.679</v>
      </c>
      <c r="T682" s="63"/>
      <c r="AD682" s="57"/>
      <c r="AE682" s="57"/>
      <c r="AF682" s="57"/>
      <c r="AG682" s="57"/>
      <c r="AH682" s="57"/>
      <c r="AI682" s="57"/>
      <c r="AJ682" s="57"/>
      <c r="AK682" s="57"/>
      <c r="AL682" s="57"/>
      <c r="AM682" s="57"/>
      <c r="AN682" s="57"/>
      <c r="AO682" s="57"/>
    </row>
    <row r="683" spans="1:41">
      <c r="A683" s="55" t="s">
        <v>425</v>
      </c>
      <c r="B683" s="68" t="s">
        <v>444</v>
      </c>
      <c r="C683" s="82">
        <v>76.37</v>
      </c>
      <c r="D683" s="82">
        <v>78.677999999999997</v>
      </c>
      <c r="E683" s="82">
        <v>81.28</v>
      </c>
      <c r="F683" s="82">
        <v>83.724999999999994</v>
      </c>
      <c r="G683" s="82">
        <v>86.411000000000001</v>
      </c>
      <c r="H683" s="82">
        <v>86.823999999999998</v>
      </c>
      <c r="I683" s="82">
        <v>87.831999999999994</v>
      </c>
      <c r="J683" s="82">
        <v>90.626000000000005</v>
      </c>
      <c r="K683" s="82">
        <v>94.629000000000005</v>
      </c>
      <c r="L683" s="82">
        <v>97.228999999999999</v>
      </c>
      <c r="M683" s="82">
        <v>97.727999999999994</v>
      </c>
      <c r="N683" s="83">
        <v>99.284000000000006</v>
      </c>
      <c r="O683" s="83">
        <v>100</v>
      </c>
      <c r="P683" s="82">
        <v>100.821</v>
      </c>
      <c r="Q683" s="83">
        <v>102.593</v>
      </c>
      <c r="R683" s="83">
        <v>103.88500000000001</v>
      </c>
      <c r="S683" s="80">
        <v>105.092</v>
      </c>
      <c r="T683" s="63"/>
      <c r="AD683" s="57"/>
      <c r="AE683" s="57"/>
      <c r="AF683" s="57"/>
      <c r="AG683" s="57"/>
      <c r="AH683" s="57"/>
      <c r="AI683" s="57"/>
      <c r="AJ683" s="57"/>
      <c r="AK683" s="57"/>
      <c r="AL683" s="57"/>
      <c r="AM683" s="57"/>
      <c r="AN683" s="57"/>
      <c r="AO683" s="57"/>
    </row>
    <row r="684" spans="1:41">
      <c r="A684" s="55" t="s">
        <v>425</v>
      </c>
      <c r="B684" s="68" t="s">
        <v>445</v>
      </c>
      <c r="C684" s="82">
        <v>63.695</v>
      </c>
      <c r="D684" s="82">
        <v>65.593000000000004</v>
      </c>
      <c r="E684" s="82">
        <v>68.400000000000006</v>
      </c>
      <c r="F684" s="82">
        <v>74.753</v>
      </c>
      <c r="G684" s="82">
        <v>76.680000000000007</v>
      </c>
      <c r="H684" s="82">
        <v>84.855999999999995</v>
      </c>
      <c r="I684" s="82">
        <v>94.055000000000007</v>
      </c>
      <c r="J684" s="82">
        <v>108.536</v>
      </c>
      <c r="K684" s="82">
        <v>124.758</v>
      </c>
      <c r="L684" s="82">
        <v>122.669</v>
      </c>
      <c r="M684" s="82">
        <v>119.892</v>
      </c>
      <c r="N684" s="83">
        <v>107.327</v>
      </c>
      <c r="O684" s="83">
        <v>100</v>
      </c>
      <c r="P684" s="82">
        <v>105.432</v>
      </c>
      <c r="Q684" s="83">
        <v>106.139</v>
      </c>
      <c r="R684" s="83">
        <v>117.449</v>
      </c>
      <c r="S684" s="80">
        <v>123.143</v>
      </c>
      <c r="T684" s="63"/>
      <c r="AD684" s="57"/>
      <c r="AE684" s="57"/>
      <c r="AF684" s="57"/>
      <c r="AG684" s="57"/>
      <c r="AH684" s="57"/>
      <c r="AI684" s="57"/>
      <c r="AJ684" s="57"/>
      <c r="AK684" s="57"/>
      <c r="AL684" s="57"/>
      <c r="AM684" s="57"/>
      <c r="AN684" s="57"/>
      <c r="AO684" s="57"/>
    </row>
    <row r="685" spans="1:41">
      <c r="A685" s="55" t="s">
        <v>425</v>
      </c>
      <c r="B685" s="65" t="s">
        <v>382</v>
      </c>
      <c r="C685" s="82">
        <v>76.111000000000004</v>
      </c>
      <c r="D685" s="82">
        <v>88.188999999999993</v>
      </c>
      <c r="E685" s="82">
        <v>96.028999999999996</v>
      </c>
      <c r="F685" s="82">
        <v>102.161</v>
      </c>
      <c r="G685" s="82">
        <v>101.14</v>
      </c>
      <c r="H685" s="82">
        <v>96.847999999999999</v>
      </c>
      <c r="I685" s="82">
        <v>101.932</v>
      </c>
      <c r="J685" s="82">
        <v>104.396</v>
      </c>
      <c r="K685" s="82">
        <v>109.69199999999999</v>
      </c>
      <c r="L685" s="82">
        <v>111.389</v>
      </c>
      <c r="M685" s="82">
        <v>112.435</v>
      </c>
      <c r="N685" s="83">
        <v>117.068</v>
      </c>
      <c r="O685" s="83">
        <v>100</v>
      </c>
      <c r="P685" s="82">
        <v>106.28700000000001</v>
      </c>
      <c r="Q685" s="83">
        <v>111.773</v>
      </c>
      <c r="R685" s="83">
        <v>116.28400000000001</v>
      </c>
      <c r="S685" s="80">
        <v>118.708</v>
      </c>
      <c r="AD685" s="57"/>
      <c r="AE685" s="57"/>
      <c r="AF685" s="57"/>
      <c r="AG685" s="57"/>
      <c r="AH685" s="57"/>
      <c r="AI685" s="57"/>
      <c r="AJ685" s="57"/>
      <c r="AK685" s="57"/>
      <c r="AL685" s="57"/>
      <c r="AM685" s="57"/>
      <c r="AN685" s="57"/>
      <c r="AO685" s="57"/>
    </row>
    <row r="686" spans="1:41">
      <c r="A686" s="55" t="s">
        <v>425</v>
      </c>
      <c r="B686" s="65" t="s">
        <v>383</v>
      </c>
      <c r="C686" s="82">
        <v>71.564999999999998</v>
      </c>
      <c r="D686" s="82">
        <v>78.09</v>
      </c>
      <c r="E686" s="82">
        <v>82.537999999999997</v>
      </c>
      <c r="F686" s="82">
        <v>86.587000000000003</v>
      </c>
      <c r="G686" s="82">
        <v>86.775999999999996</v>
      </c>
      <c r="H686" s="82">
        <v>86.087999999999994</v>
      </c>
      <c r="I686" s="82">
        <v>88.700999999999993</v>
      </c>
      <c r="J686" s="82">
        <v>92.072000000000003</v>
      </c>
      <c r="K686" s="82">
        <v>96.822000000000003</v>
      </c>
      <c r="L686" s="82">
        <v>99.894999999999996</v>
      </c>
      <c r="M686" s="82">
        <v>104.254</v>
      </c>
      <c r="N686" s="83">
        <v>106.07899999999999</v>
      </c>
      <c r="O686" s="83">
        <v>100</v>
      </c>
      <c r="P686" s="82">
        <v>104.03400000000001</v>
      </c>
      <c r="Q686" s="83">
        <v>108.554</v>
      </c>
      <c r="R686" s="83">
        <v>113.264</v>
      </c>
      <c r="S686" s="80">
        <v>114.89</v>
      </c>
      <c r="AD686" s="57"/>
      <c r="AE686" s="57"/>
      <c r="AF686" s="57"/>
      <c r="AG686" s="57"/>
      <c r="AH686" s="57"/>
      <c r="AI686" s="57"/>
      <c r="AJ686" s="57"/>
      <c r="AK686" s="57"/>
      <c r="AL686" s="57"/>
      <c r="AM686" s="57"/>
      <c r="AN686" s="57"/>
      <c r="AO686" s="57"/>
    </row>
    <row r="687" spans="1:41">
      <c r="A687" s="55" t="s">
        <v>425</v>
      </c>
      <c r="B687" s="65" t="s">
        <v>384</v>
      </c>
      <c r="C687" s="82">
        <v>69.894000000000005</v>
      </c>
      <c r="D687" s="82">
        <v>76.070999999999998</v>
      </c>
      <c r="E687" s="82">
        <v>80.703000000000003</v>
      </c>
      <c r="F687" s="82">
        <v>85.366</v>
      </c>
      <c r="G687" s="82">
        <v>86.533000000000001</v>
      </c>
      <c r="H687" s="82">
        <v>86.272999999999996</v>
      </c>
      <c r="I687" s="82">
        <v>87.944999999999993</v>
      </c>
      <c r="J687" s="82">
        <v>91.15</v>
      </c>
      <c r="K687" s="82">
        <v>94.837999999999994</v>
      </c>
      <c r="L687" s="82">
        <v>97.516000000000005</v>
      </c>
      <c r="M687" s="82">
        <v>102.023</v>
      </c>
      <c r="N687" s="83">
        <v>104.916</v>
      </c>
      <c r="O687" s="83">
        <v>100</v>
      </c>
      <c r="P687" s="82">
        <v>102.59</v>
      </c>
      <c r="Q687" s="83">
        <v>105.89</v>
      </c>
      <c r="R687" s="83">
        <v>109.501</v>
      </c>
      <c r="S687" s="80">
        <v>109.765</v>
      </c>
      <c r="T687" s="63"/>
      <c r="AD687" s="57"/>
      <c r="AE687" s="57"/>
      <c r="AF687" s="57"/>
      <c r="AG687" s="57"/>
      <c r="AH687" s="57"/>
      <c r="AI687" s="57"/>
      <c r="AJ687" s="57"/>
      <c r="AK687" s="57"/>
      <c r="AL687" s="57"/>
      <c r="AM687" s="57"/>
      <c r="AN687" s="57"/>
      <c r="AO687" s="57"/>
    </row>
    <row r="688" spans="1:41">
      <c r="A688" s="55" t="s">
        <v>425</v>
      </c>
      <c r="B688" s="65" t="s">
        <v>385</v>
      </c>
      <c r="C688" s="82">
        <v>91.965999999999994</v>
      </c>
      <c r="D688" s="82">
        <v>96.697999999999993</v>
      </c>
      <c r="E688" s="82">
        <v>100.26600000000001</v>
      </c>
      <c r="F688" s="82">
        <v>100.575</v>
      </c>
      <c r="G688" s="82">
        <v>102.905</v>
      </c>
      <c r="H688" s="82">
        <v>104.236</v>
      </c>
      <c r="I688" s="82">
        <v>111.2</v>
      </c>
      <c r="J688" s="82">
        <v>110.01900000000001</v>
      </c>
      <c r="K688" s="82">
        <v>109.834</v>
      </c>
      <c r="L688" s="82">
        <v>109.97199999999999</v>
      </c>
      <c r="M688" s="82">
        <v>109.042</v>
      </c>
      <c r="N688" s="83">
        <v>105.53700000000001</v>
      </c>
      <c r="O688" s="83">
        <v>100</v>
      </c>
      <c r="P688" s="82">
        <v>97.997</v>
      </c>
      <c r="Q688" s="83">
        <v>97.57</v>
      </c>
      <c r="R688" s="83">
        <v>97.25</v>
      </c>
      <c r="S688" s="80">
        <v>94.844999999999999</v>
      </c>
      <c r="T688" s="63"/>
      <c r="AD688" s="57"/>
      <c r="AE688" s="57"/>
      <c r="AF688" s="57"/>
      <c r="AG688" s="57"/>
      <c r="AH688" s="57"/>
      <c r="AI688" s="57"/>
      <c r="AJ688" s="57"/>
      <c r="AK688" s="57"/>
      <c r="AL688" s="57"/>
      <c r="AM688" s="57"/>
      <c r="AN688" s="57"/>
      <c r="AO688" s="57"/>
    </row>
    <row r="689" spans="1:41">
      <c r="A689" s="55" t="s">
        <v>425</v>
      </c>
      <c r="B689" s="65" t="s">
        <v>386</v>
      </c>
      <c r="C689" s="82">
        <v>48.688000000000002</v>
      </c>
      <c r="D689" s="82">
        <v>61.576999999999998</v>
      </c>
      <c r="E689" s="82">
        <v>72.397999999999996</v>
      </c>
      <c r="F689" s="82">
        <v>78.944000000000003</v>
      </c>
      <c r="G689" s="82">
        <v>77.412999999999997</v>
      </c>
      <c r="H689" s="82">
        <v>74.209999999999994</v>
      </c>
      <c r="I689" s="82">
        <v>73.992999999999995</v>
      </c>
      <c r="J689" s="82">
        <v>76.015000000000001</v>
      </c>
      <c r="K689" s="82">
        <v>80.866</v>
      </c>
      <c r="L689" s="82">
        <v>84.596999999999994</v>
      </c>
      <c r="M689" s="82">
        <v>94.185000000000002</v>
      </c>
      <c r="N689" s="83">
        <v>101.361</v>
      </c>
      <c r="O689" s="83">
        <v>100</v>
      </c>
      <c r="P689" s="82">
        <v>109.628</v>
      </c>
      <c r="Q689" s="83">
        <v>117.212</v>
      </c>
      <c r="R689" s="83">
        <v>124.986</v>
      </c>
      <c r="S689" s="80">
        <v>127.919</v>
      </c>
      <c r="T689" s="63"/>
      <c r="AD689" s="57"/>
      <c r="AE689" s="57"/>
      <c r="AF689" s="57"/>
      <c r="AG689" s="57"/>
      <c r="AH689" s="57"/>
      <c r="AI689" s="57"/>
      <c r="AJ689" s="57"/>
      <c r="AK689" s="57"/>
      <c r="AL689" s="57"/>
      <c r="AM689" s="57"/>
      <c r="AN689" s="57"/>
      <c r="AO689" s="57"/>
    </row>
    <row r="690" spans="1:41">
      <c r="A690" s="55" t="s">
        <v>425</v>
      </c>
      <c r="B690" s="65" t="s">
        <v>387</v>
      </c>
      <c r="C690" s="82">
        <v>70.608000000000004</v>
      </c>
      <c r="D690" s="82">
        <v>74.816000000000003</v>
      </c>
      <c r="E690" s="82">
        <v>77.647000000000006</v>
      </c>
      <c r="F690" s="82">
        <v>82.653999999999996</v>
      </c>
      <c r="G690" s="82">
        <v>84.382999999999996</v>
      </c>
      <c r="H690" s="82">
        <v>84.662000000000006</v>
      </c>
      <c r="I690" s="82">
        <v>85.587000000000003</v>
      </c>
      <c r="J690" s="82">
        <v>90.227000000000004</v>
      </c>
      <c r="K690" s="82">
        <v>94.582999999999998</v>
      </c>
      <c r="L690" s="82">
        <v>97.641999999999996</v>
      </c>
      <c r="M690" s="82">
        <v>102.218</v>
      </c>
      <c r="N690" s="83">
        <v>105.69199999999999</v>
      </c>
      <c r="O690" s="83">
        <v>100</v>
      </c>
      <c r="P690" s="82">
        <v>102.021</v>
      </c>
      <c r="Q690" s="83">
        <v>105.27</v>
      </c>
      <c r="R690" s="83">
        <v>108.95399999999999</v>
      </c>
      <c r="S690" s="80">
        <v>109.33199999999999</v>
      </c>
      <c r="AD690" s="57"/>
      <c r="AE690" s="57"/>
      <c r="AF690" s="57"/>
      <c r="AG690" s="57"/>
      <c r="AH690" s="57"/>
      <c r="AI690" s="57"/>
      <c r="AJ690" s="57"/>
      <c r="AK690" s="57"/>
      <c r="AL690" s="57"/>
      <c r="AM690" s="57"/>
      <c r="AN690" s="57"/>
      <c r="AO690" s="57"/>
    </row>
    <row r="691" spans="1:41">
      <c r="A691" s="55" t="s">
        <v>425</v>
      </c>
      <c r="B691" s="65" t="s">
        <v>388</v>
      </c>
      <c r="C691" s="82">
        <v>77.960999999999999</v>
      </c>
      <c r="D691" s="82">
        <v>83.549000000000007</v>
      </c>
      <c r="E691" s="82">
        <v>86.373000000000005</v>
      </c>
      <c r="F691" s="82">
        <v>87.632999999999996</v>
      </c>
      <c r="G691" s="82">
        <v>88.506</v>
      </c>
      <c r="H691" s="82">
        <v>88.3</v>
      </c>
      <c r="I691" s="82">
        <v>92.46</v>
      </c>
      <c r="J691" s="82">
        <v>94.715000000000003</v>
      </c>
      <c r="K691" s="82">
        <v>100.36799999999999</v>
      </c>
      <c r="L691" s="82">
        <v>103.11</v>
      </c>
      <c r="M691" s="82">
        <v>107.38800000000001</v>
      </c>
      <c r="N691" s="83">
        <v>107.30500000000001</v>
      </c>
      <c r="O691" s="83">
        <v>100</v>
      </c>
      <c r="P691" s="82">
        <v>106.477</v>
      </c>
      <c r="Q691" s="83">
        <v>114.197</v>
      </c>
      <c r="R691" s="83">
        <v>124.268</v>
      </c>
      <c r="S691" s="80">
        <v>129.55500000000001</v>
      </c>
      <c r="AD691" s="57"/>
      <c r="AE691" s="57"/>
      <c r="AF691" s="57"/>
      <c r="AG691" s="57"/>
      <c r="AH691" s="57"/>
      <c r="AI691" s="57"/>
      <c r="AJ691" s="57"/>
      <c r="AK691" s="57"/>
      <c r="AL691" s="57"/>
      <c r="AM691" s="57"/>
      <c r="AN691" s="57"/>
      <c r="AO691" s="57"/>
    </row>
    <row r="692" spans="1:41">
      <c r="A692" s="55" t="s">
        <v>425</v>
      </c>
      <c r="B692" s="65" t="s">
        <v>389</v>
      </c>
      <c r="C692" s="82">
        <v>71.887</v>
      </c>
      <c r="D692" s="82">
        <v>79.697000000000003</v>
      </c>
      <c r="E692" s="82">
        <v>84.561999999999998</v>
      </c>
      <c r="F692" s="82">
        <v>88.671000000000006</v>
      </c>
      <c r="G692" s="82">
        <v>86.177000000000007</v>
      </c>
      <c r="H692" s="82">
        <v>84.221999999999994</v>
      </c>
      <c r="I692" s="82">
        <v>88.225999999999999</v>
      </c>
      <c r="J692" s="82">
        <v>92.623000000000005</v>
      </c>
      <c r="K692" s="82">
        <v>99.39</v>
      </c>
      <c r="L692" s="82">
        <v>103.623</v>
      </c>
      <c r="M692" s="82">
        <v>107.669</v>
      </c>
      <c r="N692" s="83">
        <v>108.122</v>
      </c>
      <c r="O692" s="83">
        <v>100</v>
      </c>
      <c r="P692" s="82">
        <v>105.979</v>
      </c>
      <c r="Q692" s="83">
        <v>111.408</v>
      </c>
      <c r="R692" s="83">
        <v>115.31100000000001</v>
      </c>
      <c r="S692" s="80">
        <v>117.93</v>
      </c>
      <c r="T692" s="63"/>
      <c r="AD692" s="57"/>
      <c r="AE692" s="57"/>
      <c r="AF692" s="57"/>
      <c r="AG692" s="57"/>
      <c r="AH692" s="57"/>
      <c r="AI692" s="57"/>
      <c r="AJ692" s="57"/>
      <c r="AK692" s="57"/>
      <c r="AL692" s="57"/>
      <c r="AM692" s="57"/>
      <c r="AN692" s="57"/>
      <c r="AO692" s="57"/>
    </row>
    <row r="693" spans="1:41">
      <c r="A693" s="55" t="s">
        <v>425</v>
      </c>
      <c r="B693" s="65" t="s">
        <v>390</v>
      </c>
      <c r="C693" s="82">
        <v>71.081000000000003</v>
      </c>
      <c r="D693" s="82">
        <v>78.81</v>
      </c>
      <c r="E693" s="82">
        <v>83.647000000000006</v>
      </c>
      <c r="F693" s="82">
        <v>88.385000000000005</v>
      </c>
      <c r="G693" s="82">
        <v>85.894999999999996</v>
      </c>
      <c r="H693" s="82">
        <v>83.983999999999995</v>
      </c>
      <c r="I693" s="82">
        <v>88.058000000000007</v>
      </c>
      <c r="J693" s="82">
        <v>92.364999999999995</v>
      </c>
      <c r="K693" s="82">
        <v>99.289000000000001</v>
      </c>
      <c r="L693" s="82">
        <v>103.17100000000001</v>
      </c>
      <c r="M693" s="82">
        <v>107.646</v>
      </c>
      <c r="N693" s="83">
        <v>108.071</v>
      </c>
      <c r="O693" s="83">
        <v>100</v>
      </c>
      <c r="P693" s="82">
        <v>105.569</v>
      </c>
      <c r="Q693" s="83">
        <v>111.672</v>
      </c>
      <c r="R693" s="83">
        <v>116.20699999999999</v>
      </c>
      <c r="S693" s="80">
        <v>118.759</v>
      </c>
      <c r="T693" s="63"/>
      <c r="AD693" s="57"/>
      <c r="AE693" s="57"/>
      <c r="AF693" s="57"/>
      <c r="AG693" s="57"/>
      <c r="AH693" s="57"/>
      <c r="AI693" s="57"/>
      <c r="AJ693" s="57"/>
      <c r="AK693" s="57"/>
      <c r="AL693" s="57"/>
      <c r="AM693" s="57"/>
      <c r="AN693" s="57"/>
      <c r="AO693" s="57"/>
    </row>
    <row r="694" spans="1:41">
      <c r="A694" s="55" t="s">
        <v>425</v>
      </c>
      <c r="B694" s="65" t="s">
        <v>391</v>
      </c>
      <c r="C694" s="82">
        <v>78.512</v>
      </c>
      <c r="D694" s="82">
        <v>86.986999999999995</v>
      </c>
      <c r="E694" s="82">
        <v>92.072999999999993</v>
      </c>
      <c r="F694" s="82">
        <v>90.912999999999997</v>
      </c>
      <c r="G694" s="82">
        <v>88.394000000000005</v>
      </c>
      <c r="H694" s="82">
        <v>86.078999999999994</v>
      </c>
      <c r="I694" s="82">
        <v>89.533000000000001</v>
      </c>
      <c r="J694" s="82">
        <v>94.635000000000005</v>
      </c>
      <c r="K694" s="82">
        <v>100.169</v>
      </c>
      <c r="L694" s="82">
        <v>107.146</v>
      </c>
      <c r="M694" s="82">
        <v>107.84399999999999</v>
      </c>
      <c r="N694" s="83">
        <v>108.51</v>
      </c>
      <c r="O694" s="83">
        <v>100</v>
      </c>
      <c r="P694" s="82">
        <v>109.036</v>
      </c>
      <c r="Q694" s="83">
        <v>109.559</v>
      </c>
      <c r="R694" s="83">
        <v>108.901</v>
      </c>
      <c r="S694" s="80">
        <v>111.997</v>
      </c>
      <c r="AD694" s="57"/>
      <c r="AE694" s="57"/>
      <c r="AF694" s="57"/>
      <c r="AG694" s="57"/>
      <c r="AH694" s="57"/>
      <c r="AI694" s="57"/>
      <c r="AJ694" s="57"/>
      <c r="AK694" s="57"/>
      <c r="AL694" s="57"/>
      <c r="AM694" s="57"/>
      <c r="AN694" s="57"/>
      <c r="AO694" s="57"/>
    </row>
    <row r="695" spans="1:41">
      <c r="A695" s="55" t="s">
        <v>425</v>
      </c>
      <c r="B695" s="65" t="s">
        <v>392</v>
      </c>
      <c r="C695" s="82">
        <v>66.888000000000005</v>
      </c>
      <c r="D695" s="82">
        <v>69.186000000000007</v>
      </c>
      <c r="E695" s="82">
        <v>70.933000000000007</v>
      </c>
      <c r="F695" s="82">
        <v>73.349999999999994</v>
      </c>
      <c r="G695" s="82">
        <v>77.024000000000001</v>
      </c>
      <c r="H695" s="82">
        <v>81.09</v>
      </c>
      <c r="I695" s="82">
        <v>84.102000000000004</v>
      </c>
      <c r="J695" s="82">
        <v>86.524000000000001</v>
      </c>
      <c r="K695" s="82">
        <v>89.275999999999996</v>
      </c>
      <c r="L695" s="82">
        <v>91.936999999999998</v>
      </c>
      <c r="M695" s="82">
        <v>94.254999999999995</v>
      </c>
      <c r="N695" s="83">
        <v>97.513999999999996</v>
      </c>
      <c r="O695" s="83">
        <v>100</v>
      </c>
      <c r="P695" s="82">
        <v>102.14100000000001</v>
      </c>
      <c r="Q695" s="83">
        <v>104.59699999999999</v>
      </c>
      <c r="R695" s="83">
        <v>107.789</v>
      </c>
      <c r="S695" s="80">
        <v>110.94499999999999</v>
      </c>
      <c r="AD695" s="57"/>
      <c r="AE695" s="57"/>
      <c r="AF695" s="57"/>
      <c r="AG695" s="57"/>
      <c r="AH695" s="57"/>
      <c r="AI695" s="57"/>
      <c r="AJ695" s="57"/>
      <c r="AK695" s="57"/>
      <c r="AL695" s="57"/>
      <c r="AM695" s="57"/>
      <c r="AN695" s="57"/>
      <c r="AO695" s="57"/>
    </row>
    <row r="696" spans="1:41">
      <c r="A696" s="55" t="s">
        <v>425</v>
      </c>
      <c r="B696" s="65" t="s">
        <v>393</v>
      </c>
      <c r="C696" s="82">
        <v>67.483999999999995</v>
      </c>
      <c r="D696" s="82">
        <v>70.183000000000007</v>
      </c>
      <c r="E696" s="82">
        <v>72.814999999999998</v>
      </c>
      <c r="F696" s="82">
        <v>75.727999999999994</v>
      </c>
      <c r="G696" s="82">
        <v>80.076999999999998</v>
      </c>
      <c r="H696" s="82">
        <v>82.608999999999995</v>
      </c>
      <c r="I696" s="82">
        <v>83.942999999999998</v>
      </c>
      <c r="J696" s="82">
        <v>83.685000000000002</v>
      </c>
      <c r="K696" s="82">
        <v>84.766999999999996</v>
      </c>
      <c r="L696" s="82">
        <v>88.427000000000007</v>
      </c>
      <c r="M696" s="82">
        <v>92.697000000000003</v>
      </c>
      <c r="N696" s="83">
        <v>96.245999999999995</v>
      </c>
      <c r="O696" s="83">
        <v>100</v>
      </c>
      <c r="P696" s="82">
        <v>105.45699999999999</v>
      </c>
      <c r="Q696" s="83">
        <v>107.527</v>
      </c>
      <c r="R696" s="83">
        <v>108.76</v>
      </c>
      <c r="S696" s="80">
        <v>111.343</v>
      </c>
      <c r="AD696" s="57"/>
      <c r="AE696" s="57"/>
      <c r="AF696" s="57"/>
      <c r="AG696" s="57"/>
      <c r="AH696" s="57"/>
      <c r="AI696" s="57"/>
      <c r="AJ696" s="57"/>
      <c r="AK696" s="57"/>
      <c r="AL696" s="57"/>
      <c r="AM696" s="57"/>
      <c r="AN696" s="57"/>
      <c r="AO696" s="57"/>
    </row>
    <row r="697" spans="1:41">
      <c r="A697" s="55" t="s">
        <v>425</v>
      </c>
      <c r="B697" s="65" t="s">
        <v>394</v>
      </c>
      <c r="C697" s="82">
        <v>66.813000000000002</v>
      </c>
      <c r="D697" s="82">
        <v>69.055000000000007</v>
      </c>
      <c r="E697" s="82">
        <v>70.677999999999997</v>
      </c>
      <c r="F697" s="82">
        <v>73.025000000000006</v>
      </c>
      <c r="G697" s="82">
        <v>76.602000000000004</v>
      </c>
      <c r="H697" s="82">
        <v>80.888999999999996</v>
      </c>
      <c r="I697" s="82">
        <v>84.141999999999996</v>
      </c>
      <c r="J697" s="82">
        <v>86.953999999999994</v>
      </c>
      <c r="K697" s="82">
        <v>89.950999999999993</v>
      </c>
      <c r="L697" s="82">
        <v>92.463999999999999</v>
      </c>
      <c r="M697" s="82">
        <v>94.49</v>
      </c>
      <c r="N697" s="83">
        <v>97.706000000000003</v>
      </c>
      <c r="O697" s="83">
        <v>100</v>
      </c>
      <c r="P697" s="82">
        <v>101.64</v>
      </c>
      <c r="Q697" s="83">
        <v>104.155</v>
      </c>
      <c r="R697" s="83">
        <v>107.648</v>
      </c>
      <c r="S697" s="80">
        <v>110.893</v>
      </c>
      <c r="T697" s="63"/>
      <c r="AD697" s="57"/>
      <c r="AE697" s="57"/>
      <c r="AF697" s="57"/>
      <c r="AG697" s="57"/>
      <c r="AH697" s="57"/>
      <c r="AI697" s="57"/>
      <c r="AJ697" s="57"/>
      <c r="AK697" s="57"/>
      <c r="AL697" s="57"/>
      <c r="AM697" s="57"/>
      <c r="AN697" s="57"/>
      <c r="AO697" s="57"/>
    </row>
    <row r="698" spans="1:41">
      <c r="A698" s="55" t="s">
        <v>425</v>
      </c>
      <c r="B698" s="65" t="s">
        <v>395</v>
      </c>
      <c r="C698" s="82">
        <v>66.379000000000005</v>
      </c>
      <c r="D698" s="82">
        <v>68.241</v>
      </c>
      <c r="E698" s="82">
        <v>69.638000000000005</v>
      </c>
      <c r="F698" s="82">
        <v>72.367999999999995</v>
      </c>
      <c r="G698" s="82">
        <v>76.462999999999994</v>
      </c>
      <c r="H698" s="82">
        <v>81.132999999999996</v>
      </c>
      <c r="I698" s="82">
        <v>85.001999999999995</v>
      </c>
      <c r="J698" s="82">
        <v>88.9</v>
      </c>
      <c r="K698" s="82">
        <v>91.567999999999998</v>
      </c>
      <c r="L698" s="82">
        <v>93.912000000000006</v>
      </c>
      <c r="M698" s="82">
        <v>95.512</v>
      </c>
      <c r="N698" s="83">
        <v>98.754000000000005</v>
      </c>
      <c r="O698" s="83">
        <v>100</v>
      </c>
      <c r="P698" s="82">
        <v>101.42100000000001</v>
      </c>
      <c r="Q698" s="83">
        <v>104.254</v>
      </c>
      <c r="R698" s="83">
        <v>108.035</v>
      </c>
      <c r="S698" s="80">
        <v>111.075</v>
      </c>
      <c r="T698" s="63"/>
      <c r="AD698" s="57"/>
      <c r="AE698" s="57"/>
      <c r="AF698" s="57"/>
      <c r="AG698" s="57"/>
      <c r="AH698" s="57"/>
      <c r="AI698" s="57"/>
      <c r="AJ698" s="57"/>
      <c r="AK698" s="57"/>
      <c r="AL698" s="57"/>
      <c r="AM698" s="57"/>
      <c r="AN698" s="57"/>
      <c r="AO698" s="57"/>
    </row>
    <row r="699" spans="1:41">
      <c r="A699" s="55" t="s">
        <v>425</v>
      </c>
      <c r="B699" s="65" t="s">
        <v>446</v>
      </c>
      <c r="C699" s="82">
        <v>65.965999999999994</v>
      </c>
      <c r="D699" s="82">
        <v>68.619</v>
      </c>
      <c r="E699" s="82">
        <v>70.138000000000005</v>
      </c>
      <c r="F699" s="82">
        <v>71.581999999999994</v>
      </c>
      <c r="G699" s="82">
        <v>74.114999999999995</v>
      </c>
      <c r="H699" s="82">
        <v>78.906999999999996</v>
      </c>
      <c r="I699" s="82">
        <v>81.539000000000001</v>
      </c>
      <c r="J699" s="82">
        <v>83.828999999999994</v>
      </c>
      <c r="K699" s="82">
        <v>87.453000000000003</v>
      </c>
      <c r="L699" s="82">
        <v>90.266999999999996</v>
      </c>
      <c r="M699" s="82">
        <v>92.507000000000005</v>
      </c>
      <c r="N699" s="83">
        <v>95.927999999999997</v>
      </c>
      <c r="O699" s="83">
        <v>100</v>
      </c>
      <c r="P699" s="82">
        <v>101.471</v>
      </c>
      <c r="Q699" s="83">
        <v>104.504</v>
      </c>
      <c r="R699" s="83">
        <v>109.07899999999999</v>
      </c>
      <c r="S699" s="80">
        <v>114.148</v>
      </c>
      <c r="T699" s="63"/>
      <c r="AD699" s="57"/>
      <c r="AE699" s="57"/>
      <c r="AF699" s="57"/>
      <c r="AG699" s="57"/>
      <c r="AH699" s="57"/>
      <c r="AI699" s="57"/>
      <c r="AJ699" s="57"/>
      <c r="AK699" s="57"/>
      <c r="AL699" s="57"/>
      <c r="AM699" s="57"/>
      <c r="AN699" s="57"/>
      <c r="AO699" s="57"/>
    </row>
    <row r="700" spans="1:41">
      <c r="A700" s="55" t="s">
        <v>425</v>
      </c>
      <c r="B700" s="65" t="s">
        <v>447</v>
      </c>
      <c r="C700" s="82">
        <v>77.546999999999997</v>
      </c>
      <c r="D700" s="82">
        <v>80.09</v>
      </c>
      <c r="E700" s="82">
        <v>80.463999999999999</v>
      </c>
      <c r="F700" s="82">
        <v>81.668999999999997</v>
      </c>
      <c r="G700" s="82">
        <v>83.674999999999997</v>
      </c>
      <c r="H700" s="82">
        <v>85.566000000000003</v>
      </c>
      <c r="I700" s="82">
        <v>88.778999999999996</v>
      </c>
      <c r="J700" s="82">
        <v>90.322999999999993</v>
      </c>
      <c r="K700" s="82">
        <v>93.481999999999999</v>
      </c>
      <c r="L700" s="82">
        <v>95.778000000000006</v>
      </c>
      <c r="M700" s="82">
        <v>97.552000000000007</v>
      </c>
      <c r="N700" s="83">
        <v>99.394000000000005</v>
      </c>
      <c r="O700" s="83">
        <v>100</v>
      </c>
      <c r="P700" s="82">
        <v>102.319</v>
      </c>
      <c r="Q700" s="83">
        <v>104.285</v>
      </c>
      <c r="R700" s="83">
        <v>105.625</v>
      </c>
      <c r="S700" s="80">
        <v>106.794</v>
      </c>
      <c r="T700" s="63"/>
      <c r="AD700" s="57"/>
      <c r="AE700" s="57"/>
      <c r="AF700" s="57"/>
      <c r="AG700" s="57"/>
      <c r="AH700" s="57"/>
      <c r="AI700" s="57"/>
      <c r="AJ700" s="57"/>
      <c r="AK700" s="57"/>
      <c r="AL700" s="57"/>
      <c r="AM700" s="57"/>
      <c r="AN700" s="57"/>
      <c r="AO700" s="57"/>
    </row>
    <row r="701" spans="1:41">
      <c r="A701" s="55" t="s">
        <v>425</v>
      </c>
      <c r="B701" s="65" t="s">
        <v>397</v>
      </c>
      <c r="C701" s="82">
        <v>59.917999999999999</v>
      </c>
      <c r="D701" s="82">
        <v>62.313000000000002</v>
      </c>
      <c r="E701" s="82">
        <v>67.05</v>
      </c>
      <c r="F701" s="82">
        <v>72.152000000000001</v>
      </c>
      <c r="G701" s="82">
        <v>78.87</v>
      </c>
      <c r="H701" s="82">
        <v>82.010999999999996</v>
      </c>
      <c r="I701" s="82">
        <v>84.513000000000005</v>
      </c>
      <c r="J701" s="82">
        <v>85.228999999999999</v>
      </c>
      <c r="K701" s="82">
        <v>87.253</v>
      </c>
      <c r="L701" s="82">
        <v>89.701999999999998</v>
      </c>
      <c r="M701" s="82">
        <v>93.378</v>
      </c>
      <c r="N701" s="83">
        <v>97.325999999999993</v>
      </c>
      <c r="O701" s="83">
        <v>100</v>
      </c>
      <c r="P701" s="82">
        <v>102.61</v>
      </c>
      <c r="Q701" s="83">
        <v>102.07599999999999</v>
      </c>
      <c r="R701" s="83">
        <v>102.42400000000001</v>
      </c>
      <c r="S701" s="80">
        <v>101.956</v>
      </c>
      <c r="AD701" s="57"/>
      <c r="AE701" s="57"/>
      <c r="AF701" s="57"/>
      <c r="AG701" s="57"/>
      <c r="AH701" s="57"/>
      <c r="AI701" s="57"/>
      <c r="AJ701" s="57"/>
      <c r="AK701" s="57"/>
      <c r="AL701" s="57"/>
      <c r="AM701" s="57"/>
      <c r="AN701" s="57"/>
      <c r="AO701" s="57"/>
    </row>
    <row r="702" spans="1:41">
      <c r="A702" s="55" t="s">
        <v>425</v>
      </c>
      <c r="B702" s="65" t="s">
        <v>398</v>
      </c>
      <c r="C702" s="82">
        <v>83.001999999999995</v>
      </c>
      <c r="D702" s="82">
        <v>85.460999999999999</v>
      </c>
      <c r="E702" s="82">
        <v>87.888999999999996</v>
      </c>
      <c r="F702" s="82">
        <v>92.111000000000004</v>
      </c>
      <c r="G702" s="82">
        <v>91.543000000000006</v>
      </c>
      <c r="H702" s="82">
        <v>93.975999999999999</v>
      </c>
      <c r="I702" s="82">
        <v>96.875</v>
      </c>
      <c r="J702" s="82">
        <v>100.23399999999999</v>
      </c>
      <c r="K702" s="82">
        <v>102.18</v>
      </c>
      <c r="L702" s="82">
        <v>105.336</v>
      </c>
      <c r="M702" s="82">
        <v>106.54900000000001</v>
      </c>
      <c r="N702" s="83">
        <v>104.863</v>
      </c>
      <c r="O702" s="83">
        <v>100</v>
      </c>
      <c r="P702" s="82">
        <v>101.312</v>
      </c>
      <c r="Q702" s="83">
        <v>105.111</v>
      </c>
      <c r="R702" s="83">
        <v>108.22499999999999</v>
      </c>
      <c r="S702" s="80">
        <v>111.102</v>
      </c>
      <c r="AD702" s="57"/>
      <c r="AE702" s="57"/>
      <c r="AF702" s="57"/>
      <c r="AG702" s="57"/>
      <c r="AH702" s="57"/>
      <c r="AI702" s="57"/>
      <c r="AJ702" s="57"/>
      <c r="AK702" s="57"/>
      <c r="AL702" s="57"/>
      <c r="AM702" s="57"/>
      <c r="AN702" s="57"/>
      <c r="AO702" s="57"/>
    </row>
    <row r="703" spans="1:41">
      <c r="A703" s="55" t="s">
        <v>425</v>
      </c>
      <c r="B703" s="65" t="s">
        <v>399</v>
      </c>
      <c r="C703" s="82">
        <v>74.460999999999999</v>
      </c>
      <c r="D703" s="82">
        <v>76.358999999999995</v>
      </c>
      <c r="E703" s="82">
        <v>78.072000000000003</v>
      </c>
      <c r="F703" s="82">
        <v>79.088999999999999</v>
      </c>
      <c r="G703" s="82">
        <v>80.010999999999996</v>
      </c>
      <c r="H703" s="82">
        <v>83.031999999999996</v>
      </c>
      <c r="I703" s="82">
        <v>87.137</v>
      </c>
      <c r="J703" s="82">
        <v>90.051000000000002</v>
      </c>
      <c r="K703" s="82">
        <v>91.582999999999998</v>
      </c>
      <c r="L703" s="82">
        <v>97.358000000000004</v>
      </c>
      <c r="M703" s="82">
        <v>102.271</v>
      </c>
      <c r="N703" s="83">
        <v>102.655</v>
      </c>
      <c r="O703" s="83">
        <v>100</v>
      </c>
      <c r="P703" s="82">
        <v>100.251</v>
      </c>
      <c r="Q703" s="83">
        <v>103.47</v>
      </c>
      <c r="R703" s="83">
        <v>106.492</v>
      </c>
      <c r="S703" s="80">
        <v>109.32899999999999</v>
      </c>
      <c r="T703" s="63"/>
      <c r="AD703" s="57"/>
      <c r="AE703" s="57"/>
      <c r="AF703" s="57"/>
      <c r="AG703" s="57"/>
      <c r="AH703" s="57"/>
      <c r="AI703" s="57"/>
      <c r="AJ703" s="57"/>
      <c r="AK703" s="57"/>
      <c r="AL703" s="57"/>
      <c r="AM703" s="57"/>
      <c r="AN703" s="57"/>
      <c r="AO703" s="57"/>
    </row>
    <row r="704" spans="1:41">
      <c r="A704" s="55" t="s">
        <v>425</v>
      </c>
      <c r="B704" s="65" t="s">
        <v>400</v>
      </c>
      <c r="C704" s="82">
        <v>68.349000000000004</v>
      </c>
      <c r="D704" s="82">
        <v>72.448999999999998</v>
      </c>
      <c r="E704" s="82">
        <v>73.445999999999998</v>
      </c>
      <c r="F704" s="82">
        <v>76.227000000000004</v>
      </c>
      <c r="G704" s="82">
        <v>80.591999999999999</v>
      </c>
      <c r="H704" s="82">
        <v>86.376999999999995</v>
      </c>
      <c r="I704" s="82">
        <v>90.01</v>
      </c>
      <c r="J704" s="82">
        <v>90.06</v>
      </c>
      <c r="K704" s="82">
        <v>90.655000000000001</v>
      </c>
      <c r="L704" s="82">
        <v>95.608999999999995</v>
      </c>
      <c r="M704" s="82">
        <v>100.25700000000001</v>
      </c>
      <c r="N704" s="83">
        <v>101.29600000000001</v>
      </c>
      <c r="O704" s="83">
        <v>100</v>
      </c>
      <c r="P704" s="82">
        <v>98.909000000000006</v>
      </c>
      <c r="Q704" s="83">
        <v>101.33499999999999</v>
      </c>
      <c r="R704" s="83">
        <v>104.331</v>
      </c>
      <c r="S704" s="80">
        <v>107.726</v>
      </c>
      <c r="T704" s="63"/>
      <c r="AD704" s="57"/>
      <c r="AE704" s="57"/>
      <c r="AF704" s="57"/>
      <c r="AG704" s="57"/>
      <c r="AH704" s="57"/>
      <c r="AI704" s="57"/>
      <c r="AJ704" s="57"/>
      <c r="AK704" s="57"/>
      <c r="AL704" s="57"/>
      <c r="AM704" s="57"/>
      <c r="AN704" s="57"/>
      <c r="AO704" s="57"/>
    </row>
    <row r="705" spans="1:41">
      <c r="A705" s="55" t="s">
        <v>425</v>
      </c>
      <c r="B705" s="65" t="s">
        <v>401</v>
      </c>
      <c r="C705" s="82">
        <v>81.039000000000001</v>
      </c>
      <c r="D705" s="82">
        <v>80.643000000000001</v>
      </c>
      <c r="E705" s="82">
        <v>83.117000000000004</v>
      </c>
      <c r="F705" s="82">
        <v>82.228999999999999</v>
      </c>
      <c r="G705" s="82">
        <v>79.375</v>
      </c>
      <c r="H705" s="82">
        <v>79.337999999999994</v>
      </c>
      <c r="I705" s="82">
        <v>83.968999999999994</v>
      </c>
      <c r="J705" s="82">
        <v>90.099000000000004</v>
      </c>
      <c r="K705" s="82">
        <v>92.703000000000003</v>
      </c>
      <c r="L705" s="82">
        <v>99.43</v>
      </c>
      <c r="M705" s="82">
        <v>104.655</v>
      </c>
      <c r="N705" s="83">
        <v>104.26900000000001</v>
      </c>
      <c r="O705" s="83">
        <v>100</v>
      </c>
      <c r="P705" s="82">
        <v>101.858</v>
      </c>
      <c r="Q705" s="83">
        <v>106.032</v>
      </c>
      <c r="R705" s="83">
        <v>109.08499999999999</v>
      </c>
      <c r="S705" s="80">
        <v>111.254</v>
      </c>
      <c r="AD705" s="57"/>
      <c r="AE705" s="57"/>
      <c r="AF705" s="57"/>
      <c r="AG705" s="57"/>
      <c r="AH705" s="57"/>
      <c r="AI705" s="57"/>
      <c r="AJ705" s="57"/>
      <c r="AK705" s="57"/>
      <c r="AL705" s="57"/>
      <c r="AM705" s="57"/>
      <c r="AN705" s="57"/>
      <c r="AO705" s="57"/>
    </row>
    <row r="706" spans="1:41">
      <c r="A706" s="55" t="s">
        <v>425</v>
      </c>
      <c r="B706" s="65" t="s">
        <v>402</v>
      </c>
      <c r="C706" s="82">
        <v>86.046999999999997</v>
      </c>
      <c r="D706" s="82">
        <v>88.701999999999998</v>
      </c>
      <c r="E706" s="82">
        <v>91.382000000000005</v>
      </c>
      <c r="F706" s="82">
        <v>96.736000000000004</v>
      </c>
      <c r="G706" s="82">
        <v>95.638999999999996</v>
      </c>
      <c r="H706" s="82">
        <v>97.863</v>
      </c>
      <c r="I706" s="82">
        <v>100.33</v>
      </c>
      <c r="J706" s="82">
        <v>103.84699999999999</v>
      </c>
      <c r="K706" s="82">
        <v>105.941</v>
      </c>
      <c r="L706" s="82">
        <v>108.16</v>
      </c>
      <c r="M706" s="82">
        <v>108.05200000000001</v>
      </c>
      <c r="N706" s="83">
        <v>105.634</v>
      </c>
      <c r="O706" s="83">
        <v>100</v>
      </c>
      <c r="P706" s="82">
        <v>101.679</v>
      </c>
      <c r="Q706" s="83">
        <v>105.678</v>
      </c>
      <c r="R706" s="83">
        <v>108.824</v>
      </c>
      <c r="S706" s="80">
        <v>111.715</v>
      </c>
      <c r="T706" s="63"/>
      <c r="AD706" s="57"/>
      <c r="AE706" s="57"/>
      <c r="AF706" s="57"/>
      <c r="AG706" s="57"/>
      <c r="AH706" s="57"/>
      <c r="AI706" s="57"/>
      <c r="AJ706" s="57"/>
      <c r="AK706" s="57"/>
      <c r="AL706" s="57"/>
      <c r="AM706" s="57"/>
      <c r="AN706" s="57"/>
      <c r="AO706" s="57"/>
    </row>
    <row r="707" spans="1:41">
      <c r="A707" s="55" t="s">
        <v>425</v>
      </c>
      <c r="B707" s="65" t="s">
        <v>403</v>
      </c>
      <c r="C707" s="82">
        <v>91.885999999999996</v>
      </c>
      <c r="D707" s="82">
        <v>93.99</v>
      </c>
      <c r="E707" s="82">
        <v>97.915999999999997</v>
      </c>
      <c r="F707" s="82">
        <v>106.759</v>
      </c>
      <c r="G707" s="82">
        <v>99.244</v>
      </c>
      <c r="H707" s="82">
        <v>100.669</v>
      </c>
      <c r="I707" s="82">
        <v>103.009</v>
      </c>
      <c r="J707" s="82">
        <v>108.46299999999999</v>
      </c>
      <c r="K707" s="82">
        <v>111.071</v>
      </c>
      <c r="L707" s="82">
        <v>113.04</v>
      </c>
      <c r="M707" s="82">
        <v>111.82599999999999</v>
      </c>
      <c r="N707" s="83">
        <v>109.02200000000001</v>
      </c>
      <c r="O707" s="83">
        <v>100</v>
      </c>
      <c r="P707" s="82">
        <v>100.157</v>
      </c>
      <c r="Q707" s="83">
        <v>103.85599999999999</v>
      </c>
      <c r="R707" s="83">
        <v>106.958</v>
      </c>
      <c r="S707" s="80">
        <v>111.557</v>
      </c>
      <c r="T707" s="63"/>
      <c r="AD707" s="57"/>
      <c r="AE707" s="57"/>
      <c r="AF707" s="57"/>
      <c r="AG707" s="57"/>
      <c r="AH707" s="57"/>
      <c r="AI707" s="57"/>
      <c r="AJ707" s="57"/>
      <c r="AK707" s="57"/>
      <c r="AL707" s="57"/>
      <c r="AM707" s="57"/>
      <c r="AN707" s="57"/>
      <c r="AO707" s="57"/>
    </row>
    <row r="708" spans="1:41">
      <c r="A708" s="55" t="s">
        <v>425</v>
      </c>
      <c r="B708" s="65" t="s">
        <v>404</v>
      </c>
      <c r="C708" s="82">
        <v>83.938999999999993</v>
      </c>
      <c r="D708" s="82">
        <v>86.789000000000001</v>
      </c>
      <c r="E708" s="82">
        <v>89.021000000000001</v>
      </c>
      <c r="F708" s="82">
        <v>93.111000000000004</v>
      </c>
      <c r="G708" s="82">
        <v>94.352999999999994</v>
      </c>
      <c r="H708" s="82">
        <v>96.866</v>
      </c>
      <c r="I708" s="82">
        <v>99.379000000000005</v>
      </c>
      <c r="J708" s="82">
        <v>102.209</v>
      </c>
      <c r="K708" s="82">
        <v>104.12</v>
      </c>
      <c r="L708" s="82">
        <v>106.429</v>
      </c>
      <c r="M708" s="82">
        <v>106.723</v>
      </c>
      <c r="N708" s="83">
        <v>104.444</v>
      </c>
      <c r="O708" s="83">
        <v>100</v>
      </c>
      <c r="P708" s="82">
        <v>102.197</v>
      </c>
      <c r="Q708" s="83">
        <v>106.297</v>
      </c>
      <c r="R708" s="83">
        <v>109.458</v>
      </c>
      <c r="S708" s="80">
        <v>111.77</v>
      </c>
      <c r="AD708" s="57"/>
      <c r="AE708" s="57"/>
      <c r="AF708" s="57"/>
      <c r="AG708" s="57"/>
      <c r="AH708" s="57"/>
      <c r="AI708" s="57"/>
      <c r="AJ708" s="57"/>
      <c r="AK708" s="57"/>
      <c r="AL708" s="57"/>
      <c r="AM708" s="57"/>
      <c r="AN708" s="57"/>
      <c r="AO708" s="57"/>
    </row>
    <row r="709" spans="1:41">
      <c r="A709" s="55" t="s">
        <v>425</v>
      </c>
      <c r="B709" s="65" t="s">
        <v>415</v>
      </c>
      <c r="C709" s="82">
        <v>97.245999999999995</v>
      </c>
      <c r="D709" s="82">
        <v>103.44</v>
      </c>
      <c r="E709" s="82">
        <v>105.42400000000001</v>
      </c>
      <c r="F709" s="82">
        <v>107.462</v>
      </c>
      <c r="G709" s="82">
        <v>107.77200000000001</v>
      </c>
      <c r="H709" s="82">
        <v>108.459</v>
      </c>
      <c r="I709" s="82">
        <v>108.348</v>
      </c>
      <c r="J709" s="82">
        <v>109.398</v>
      </c>
      <c r="K709" s="82">
        <v>107.611</v>
      </c>
      <c r="L709" s="82">
        <v>109.15300000000001</v>
      </c>
      <c r="M709" s="82">
        <v>107.82</v>
      </c>
      <c r="N709" s="83">
        <v>107.48699999999999</v>
      </c>
      <c r="O709" s="83">
        <v>100</v>
      </c>
      <c r="P709" s="82">
        <v>100.41800000000001</v>
      </c>
      <c r="Q709" s="83">
        <v>100.89700000000001</v>
      </c>
      <c r="R709" s="83">
        <v>103.462</v>
      </c>
      <c r="S709" s="80">
        <v>103.215</v>
      </c>
      <c r="AD709" s="57"/>
      <c r="AE709" s="57"/>
      <c r="AF709" s="57"/>
      <c r="AG709" s="57"/>
      <c r="AH709" s="57"/>
      <c r="AI709" s="57"/>
      <c r="AJ709" s="57"/>
      <c r="AK709" s="57"/>
      <c r="AL709" s="57"/>
      <c r="AM709" s="57"/>
      <c r="AN709" s="57"/>
      <c r="AO709" s="57"/>
    </row>
    <row r="710" spans="1:41">
      <c r="A710" s="55" t="s">
        <v>425</v>
      </c>
      <c r="B710" s="65" t="s">
        <v>174</v>
      </c>
      <c r="C710" s="82">
        <v>78.203000000000003</v>
      </c>
      <c r="D710" s="82">
        <v>79.935000000000002</v>
      </c>
      <c r="E710" s="82">
        <v>81.986000000000004</v>
      </c>
      <c r="F710" s="82">
        <v>83.606999999999999</v>
      </c>
      <c r="G710" s="82">
        <v>86.370999999999995</v>
      </c>
      <c r="H710" s="82">
        <v>89.31</v>
      </c>
      <c r="I710" s="82">
        <v>90.667000000000002</v>
      </c>
      <c r="J710" s="82">
        <v>92.012</v>
      </c>
      <c r="K710" s="82">
        <v>92.808999999999997</v>
      </c>
      <c r="L710" s="82">
        <v>94.113</v>
      </c>
      <c r="M710" s="82">
        <v>95.3</v>
      </c>
      <c r="N710" s="83">
        <v>97.027000000000001</v>
      </c>
      <c r="O710" s="83">
        <v>100</v>
      </c>
      <c r="P710" s="82">
        <v>100.191</v>
      </c>
      <c r="Q710" s="83">
        <v>98.174999999999997</v>
      </c>
      <c r="R710" s="83">
        <v>97.971999999999994</v>
      </c>
      <c r="S710" s="80">
        <v>96.923000000000002</v>
      </c>
      <c r="AD710" s="57"/>
      <c r="AE710" s="57"/>
      <c r="AF710" s="57"/>
      <c r="AG710" s="57"/>
      <c r="AH710" s="57"/>
      <c r="AI710" s="57"/>
      <c r="AJ710" s="57"/>
      <c r="AK710" s="57"/>
      <c r="AL710" s="57"/>
      <c r="AM710" s="57"/>
      <c r="AN710" s="57"/>
      <c r="AO710" s="57"/>
    </row>
    <row r="711" spans="1:41">
      <c r="A711" s="55" t="s">
        <v>425</v>
      </c>
      <c r="B711" s="65" t="s">
        <v>219</v>
      </c>
      <c r="C711" s="82">
        <v>72.706999999999994</v>
      </c>
      <c r="D711" s="82">
        <v>72.031000000000006</v>
      </c>
      <c r="E711" s="82">
        <v>72.784000000000006</v>
      </c>
      <c r="F711" s="82">
        <v>73.492999999999995</v>
      </c>
      <c r="G711" s="82">
        <v>75.498000000000005</v>
      </c>
      <c r="H711" s="82">
        <v>79.308000000000007</v>
      </c>
      <c r="I711" s="82">
        <v>83.542000000000002</v>
      </c>
      <c r="J711" s="82">
        <v>86.683000000000007</v>
      </c>
      <c r="K711" s="82">
        <v>87.918999999999997</v>
      </c>
      <c r="L711" s="82">
        <v>89.363</v>
      </c>
      <c r="M711" s="82">
        <v>90.052999999999997</v>
      </c>
      <c r="N711" s="83">
        <v>95.227999999999994</v>
      </c>
      <c r="O711" s="83">
        <v>100</v>
      </c>
      <c r="P711" s="82">
        <v>103.637</v>
      </c>
      <c r="Q711" s="83">
        <v>101.208</v>
      </c>
      <c r="R711" s="83">
        <v>100.185</v>
      </c>
      <c r="S711" s="80">
        <v>94.679000000000002</v>
      </c>
      <c r="T711" s="63"/>
      <c r="AD711" s="57"/>
      <c r="AE711" s="57"/>
      <c r="AF711" s="57"/>
      <c r="AG711" s="57"/>
      <c r="AH711" s="57"/>
      <c r="AI711" s="57"/>
      <c r="AJ711" s="57"/>
      <c r="AK711" s="57"/>
      <c r="AL711" s="57"/>
      <c r="AM711" s="57"/>
      <c r="AN711" s="57"/>
      <c r="AO711" s="57"/>
    </row>
    <row r="712" spans="1:41">
      <c r="A712" s="55" t="s">
        <v>425</v>
      </c>
      <c r="B712" s="55" t="s">
        <v>448</v>
      </c>
      <c r="C712" s="83">
        <v>69.519000000000005</v>
      </c>
      <c r="D712" s="83">
        <v>68.363</v>
      </c>
      <c r="E712" s="83">
        <v>69.075000000000003</v>
      </c>
      <c r="F712" s="83">
        <v>69.614999999999995</v>
      </c>
      <c r="G712" s="83">
        <v>72.260000000000005</v>
      </c>
      <c r="H712" s="83">
        <v>76.613</v>
      </c>
      <c r="I712" s="83">
        <v>81.495999999999995</v>
      </c>
      <c r="J712" s="83">
        <v>84.745999999999995</v>
      </c>
      <c r="K712" s="83">
        <v>86.105000000000004</v>
      </c>
      <c r="L712" s="83">
        <v>87.509</v>
      </c>
      <c r="M712" s="83">
        <v>88.277000000000001</v>
      </c>
      <c r="N712" s="83">
        <v>94.034999999999997</v>
      </c>
      <c r="O712" s="83">
        <v>100</v>
      </c>
      <c r="P712" s="83">
        <v>104.333</v>
      </c>
      <c r="Q712" s="83">
        <v>101.988</v>
      </c>
      <c r="R712" s="83">
        <v>100.652</v>
      </c>
      <c r="S712" s="80">
        <v>95.358999999999995</v>
      </c>
      <c r="T712" s="63"/>
      <c r="AD712" s="57"/>
      <c r="AE712" s="57"/>
      <c r="AF712" s="57"/>
      <c r="AG712" s="57"/>
      <c r="AH712" s="57"/>
      <c r="AI712" s="57"/>
      <c r="AJ712" s="57"/>
      <c r="AK712" s="57"/>
      <c r="AL712" s="57"/>
      <c r="AM712" s="57"/>
      <c r="AN712" s="57"/>
      <c r="AO712" s="57"/>
    </row>
    <row r="713" spans="1:41">
      <c r="A713" s="55" t="s">
        <v>425</v>
      </c>
      <c r="B713" s="69" t="s">
        <v>449</v>
      </c>
      <c r="C713" s="83">
        <v>70.551000000000002</v>
      </c>
      <c r="D713" s="83">
        <v>68.59</v>
      </c>
      <c r="E713" s="83">
        <v>69.665999999999997</v>
      </c>
      <c r="F713" s="83">
        <v>68.850999999999999</v>
      </c>
      <c r="G713" s="83">
        <v>71.075000000000003</v>
      </c>
      <c r="H713" s="83">
        <v>75.046999999999997</v>
      </c>
      <c r="I713" s="83">
        <v>80.766999999999996</v>
      </c>
      <c r="J713" s="83">
        <v>84.709000000000003</v>
      </c>
      <c r="K713" s="83">
        <v>85.846000000000004</v>
      </c>
      <c r="L713" s="83">
        <v>86.959000000000003</v>
      </c>
      <c r="M713" s="83">
        <v>88.316999999999993</v>
      </c>
      <c r="N713" s="83">
        <v>94.27</v>
      </c>
      <c r="O713" s="83">
        <v>100</v>
      </c>
      <c r="P713" s="83">
        <v>103.533</v>
      </c>
      <c r="Q713" s="83">
        <v>102.26</v>
      </c>
      <c r="R713" s="83">
        <v>99.751999999999995</v>
      </c>
      <c r="S713" s="80">
        <v>93.748000000000005</v>
      </c>
      <c r="T713" s="63"/>
      <c r="AD713" s="57"/>
      <c r="AE713" s="57"/>
      <c r="AF713" s="57"/>
      <c r="AG713" s="57"/>
      <c r="AH713" s="57"/>
      <c r="AI713" s="57"/>
      <c r="AJ713" s="57"/>
      <c r="AK713" s="57"/>
      <c r="AL713" s="57"/>
      <c r="AM713" s="57"/>
      <c r="AN713" s="57"/>
      <c r="AO713" s="57"/>
    </row>
    <row r="714" spans="1:41">
      <c r="A714" s="55" t="s">
        <v>425</v>
      </c>
      <c r="B714" s="69" t="s">
        <v>450</v>
      </c>
      <c r="C714" s="83">
        <v>67.69</v>
      </c>
      <c r="D714" s="83">
        <v>68.001000000000005</v>
      </c>
      <c r="E714" s="83">
        <v>68.051000000000002</v>
      </c>
      <c r="F714" s="83">
        <v>71.049000000000007</v>
      </c>
      <c r="G714" s="83">
        <v>74.459999999999994</v>
      </c>
      <c r="H714" s="83">
        <v>79.507999999999996</v>
      </c>
      <c r="I714" s="83">
        <v>82.855000000000004</v>
      </c>
      <c r="J714" s="83">
        <v>84.825999999999993</v>
      </c>
      <c r="K714" s="83">
        <v>86.594999999999999</v>
      </c>
      <c r="L714" s="83">
        <v>88.545000000000002</v>
      </c>
      <c r="M714" s="83">
        <v>88.200999999999993</v>
      </c>
      <c r="N714" s="83">
        <v>93.591999999999999</v>
      </c>
      <c r="O714" s="83">
        <v>100</v>
      </c>
      <c r="P714" s="83">
        <v>105.81699999999999</v>
      </c>
      <c r="Q714" s="83">
        <v>101.48699999999999</v>
      </c>
      <c r="R714" s="83">
        <v>102.33</v>
      </c>
      <c r="S714" s="80">
        <v>98.353999999999999</v>
      </c>
      <c r="T714" s="63"/>
      <c r="AD714" s="57"/>
      <c r="AE714" s="57"/>
      <c r="AF714" s="57"/>
      <c r="AG714" s="57"/>
      <c r="AH714" s="57"/>
      <c r="AI714" s="57"/>
      <c r="AJ714" s="57"/>
      <c r="AK714" s="57"/>
      <c r="AL714" s="57"/>
      <c r="AM714" s="57"/>
      <c r="AN714" s="57"/>
      <c r="AO714" s="57"/>
    </row>
    <row r="715" spans="1:41" ht="15">
      <c r="A715" s="55" t="s">
        <v>425</v>
      </c>
      <c r="B715" s="70" t="s">
        <v>451</v>
      </c>
      <c r="C715" s="82">
        <v>105.807</v>
      </c>
      <c r="D715" s="82">
        <v>109.806</v>
      </c>
      <c r="E715" s="82">
        <v>110.98699999999999</v>
      </c>
      <c r="F715" s="82">
        <v>113.398</v>
      </c>
      <c r="G715" s="82">
        <v>108.995</v>
      </c>
      <c r="H715" s="82">
        <v>107.45099999999999</v>
      </c>
      <c r="I715" s="82">
        <v>105.184</v>
      </c>
      <c r="J715" s="82">
        <v>107.193</v>
      </c>
      <c r="K715" s="82">
        <v>107.111</v>
      </c>
      <c r="L715" s="82">
        <v>108.97799999999999</v>
      </c>
      <c r="M715" s="82">
        <v>108.82</v>
      </c>
      <c r="N715" s="83">
        <v>107.718</v>
      </c>
      <c r="O715" s="83">
        <v>100</v>
      </c>
      <c r="P715" s="83">
        <v>96.58</v>
      </c>
      <c r="Q715" s="83">
        <v>93.293999999999997</v>
      </c>
      <c r="R715" s="83">
        <v>95.457999999999998</v>
      </c>
      <c r="S715" s="80">
        <v>87.772000000000006</v>
      </c>
      <c r="AD715" s="57"/>
      <c r="AE715" s="57"/>
      <c r="AF715" s="57"/>
      <c r="AG715" s="57"/>
      <c r="AH715" s="57"/>
      <c r="AI715" s="57"/>
      <c r="AJ715" s="57"/>
      <c r="AK715" s="57"/>
      <c r="AL715" s="57"/>
      <c r="AM715" s="57"/>
      <c r="AN715" s="57"/>
      <c r="AO715" s="57"/>
    </row>
    <row r="716" spans="1:41">
      <c r="A716" s="55" t="s">
        <v>425</v>
      </c>
      <c r="B716" s="65" t="s">
        <v>221</v>
      </c>
      <c r="C716" s="82">
        <v>80.959999999999994</v>
      </c>
      <c r="D716" s="82">
        <v>83.960999999999999</v>
      </c>
      <c r="E716" s="82">
        <v>86.688000000000002</v>
      </c>
      <c r="F716" s="82">
        <v>88.781000000000006</v>
      </c>
      <c r="G716" s="82">
        <v>91.933000000000007</v>
      </c>
      <c r="H716" s="82">
        <v>94.421999999999997</v>
      </c>
      <c r="I716" s="82">
        <v>94.274000000000001</v>
      </c>
      <c r="J716" s="82">
        <v>94.680999999999997</v>
      </c>
      <c r="K716" s="82">
        <v>95.251999999999995</v>
      </c>
      <c r="L716" s="82">
        <v>96.481999999999999</v>
      </c>
      <c r="M716" s="82">
        <v>97.921000000000006</v>
      </c>
      <c r="N716" s="83">
        <v>97.921000000000006</v>
      </c>
      <c r="O716" s="83">
        <v>100</v>
      </c>
      <c r="P716" s="83">
        <v>98.477000000000004</v>
      </c>
      <c r="Q716" s="83">
        <v>96.665999999999997</v>
      </c>
      <c r="R716" s="83">
        <v>96.867000000000004</v>
      </c>
      <c r="S716" s="80">
        <v>98.004000000000005</v>
      </c>
      <c r="T716" s="63"/>
      <c r="AD716" s="57"/>
      <c r="AE716" s="57"/>
      <c r="AF716" s="57"/>
      <c r="AG716" s="57"/>
      <c r="AH716" s="57"/>
      <c r="AI716" s="57"/>
      <c r="AJ716" s="57"/>
      <c r="AK716" s="57"/>
      <c r="AL716" s="57"/>
      <c r="AM716" s="57"/>
      <c r="AN716" s="57"/>
      <c r="AO716" s="57"/>
    </row>
    <row r="717" spans="1:41">
      <c r="A717" s="55" t="s">
        <v>425</v>
      </c>
      <c r="B717" s="65" t="s">
        <v>452</v>
      </c>
      <c r="C717" s="82">
        <v>81.162000000000006</v>
      </c>
      <c r="D717" s="82">
        <v>84.289000000000001</v>
      </c>
      <c r="E717" s="82">
        <v>87.04</v>
      </c>
      <c r="F717" s="82">
        <v>89.394999999999996</v>
      </c>
      <c r="G717" s="82">
        <v>92.849000000000004</v>
      </c>
      <c r="H717" s="82">
        <v>95.25</v>
      </c>
      <c r="I717" s="82">
        <v>94.853999999999999</v>
      </c>
      <c r="J717" s="82">
        <v>95.100999999999999</v>
      </c>
      <c r="K717" s="82">
        <v>95.676000000000002</v>
      </c>
      <c r="L717" s="82">
        <v>96.709000000000003</v>
      </c>
      <c r="M717" s="82">
        <v>98.09</v>
      </c>
      <c r="N717" s="83">
        <v>98.168999999999997</v>
      </c>
      <c r="O717" s="83">
        <v>100</v>
      </c>
      <c r="P717" s="83">
        <v>98.316000000000003</v>
      </c>
      <c r="Q717" s="83">
        <v>96.313000000000002</v>
      </c>
      <c r="R717" s="83">
        <v>96.284999999999997</v>
      </c>
      <c r="S717" s="80">
        <v>97.522000000000006</v>
      </c>
      <c r="T717" s="63"/>
      <c r="AD717" s="57"/>
      <c r="AE717" s="57"/>
      <c r="AF717" s="57"/>
      <c r="AG717" s="57"/>
      <c r="AH717" s="57"/>
      <c r="AI717" s="57"/>
      <c r="AJ717" s="57"/>
      <c r="AK717" s="57"/>
      <c r="AL717" s="57"/>
      <c r="AM717" s="57"/>
      <c r="AN717" s="57"/>
      <c r="AO717" s="57"/>
    </row>
    <row r="718" spans="1:41" ht="14.25" customHeight="1">
      <c r="A718" s="55" t="s">
        <v>425</v>
      </c>
      <c r="B718" s="65" t="s">
        <v>453</v>
      </c>
      <c r="C718" s="82">
        <v>79.302999999999997</v>
      </c>
      <c r="D718" s="82">
        <v>81.346999999999994</v>
      </c>
      <c r="E718" s="82">
        <v>83.887</v>
      </c>
      <c r="F718" s="82">
        <v>83.936000000000007</v>
      </c>
      <c r="G718" s="82">
        <v>84.728999999999999</v>
      </c>
      <c r="H718" s="82">
        <v>87.908000000000001</v>
      </c>
      <c r="I718" s="82">
        <v>89.721999999999994</v>
      </c>
      <c r="J718" s="82">
        <v>91.397000000000006</v>
      </c>
      <c r="K718" s="82">
        <v>91.936000000000007</v>
      </c>
      <c r="L718" s="82">
        <v>94.698999999999998</v>
      </c>
      <c r="M718" s="82">
        <v>96.596999999999994</v>
      </c>
      <c r="N718" s="83">
        <v>95.980999999999995</v>
      </c>
      <c r="O718" s="83">
        <v>100</v>
      </c>
      <c r="P718" s="83">
        <v>99.748000000000005</v>
      </c>
      <c r="Q718" s="83">
        <v>99.433999999999997</v>
      </c>
      <c r="R718" s="83">
        <v>101.434</v>
      </c>
      <c r="S718" s="80">
        <v>101.785</v>
      </c>
      <c r="AD718" s="57"/>
      <c r="AE718" s="57"/>
      <c r="AF718" s="57"/>
      <c r="AG718" s="57"/>
      <c r="AH718" s="57"/>
      <c r="AI718" s="57"/>
      <c r="AJ718" s="57"/>
      <c r="AK718" s="57"/>
      <c r="AL718" s="57"/>
      <c r="AM718" s="57"/>
      <c r="AN718" s="57"/>
      <c r="AO718" s="57"/>
    </row>
    <row r="719" spans="1:41" ht="14.25" customHeight="1">
      <c r="B719" s="55" t="s">
        <v>198</v>
      </c>
      <c r="AD719" s="57"/>
      <c r="AE719" s="57"/>
      <c r="AF719" s="57"/>
      <c r="AG719" s="57"/>
      <c r="AH719" s="57"/>
      <c r="AI719" s="57"/>
      <c r="AJ719" s="57"/>
      <c r="AK719" s="57"/>
      <c r="AL719" s="57"/>
      <c r="AM719" s="57"/>
      <c r="AN719" s="57"/>
      <c r="AO719" s="57"/>
    </row>
    <row r="720" spans="1:41" ht="14.25">
      <c r="A720" s="55" t="s">
        <v>425</v>
      </c>
      <c r="B720" s="69" t="s">
        <v>454</v>
      </c>
      <c r="C720" s="55">
        <v>101.64100000000001</v>
      </c>
      <c r="D720" s="55">
        <v>106.30500000000001</v>
      </c>
      <c r="E720" s="55">
        <v>110.357</v>
      </c>
      <c r="F720" s="55">
        <v>113.068</v>
      </c>
      <c r="G720" s="55">
        <v>109.86</v>
      </c>
      <c r="H720" s="55">
        <v>108.828</v>
      </c>
      <c r="I720" s="55">
        <v>109.629</v>
      </c>
      <c r="J720" s="55">
        <v>112.941</v>
      </c>
      <c r="K720" s="55">
        <v>116.849</v>
      </c>
      <c r="L720" s="55">
        <v>117.855</v>
      </c>
      <c r="M720" s="55">
        <v>118.744</v>
      </c>
      <c r="N720" s="55">
        <v>112.712</v>
      </c>
      <c r="O720" s="55">
        <v>100</v>
      </c>
      <c r="P720" s="55">
        <v>102.925</v>
      </c>
      <c r="Q720" s="55">
        <v>105.27800000000001</v>
      </c>
      <c r="R720" s="55">
        <v>108.688</v>
      </c>
      <c r="S720" s="80">
        <v>111.604</v>
      </c>
      <c r="AD720" s="57"/>
      <c r="AE720" s="57"/>
      <c r="AF720" s="57"/>
      <c r="AG720" s="57"/>
      <c r="AH720" s="57"/>
      <c r="AI720" s="57"/>
      <c r="AJ720" s="57"/>
      <c r="AK720" s="57"/>
      <c r="AL720" s="57"/>
      <c r="AM720" s="57"/>
      <c r="AN720" s="57"/>
      <c r="AO720" s="57"/>
    </row>
    <row r="721" spans="1:41" ht="14.25">
      <c r="A721" s="55" t="s">
        <v>425</v>
      </c>
      <c r="B721" s="69" t="s">
        <v>455</v>
      </c>
      <c r="C721" s="83">
        <v>73.376000000000005</v>
      </c>
      <c r="D721" s="83">
        <v>77.962000000000003</v>
      </c>
      <c r="E721" s="83">
        <v>83.063999999999993</v>
      </c>
      <c r="F721" s="83">
        <v>87.86</v>
      </c>
      <c r="G721" s="83">
        <v>88.932000000000002</v>
      </c>
      <c r="H721" s="83">
        <v>89.899000000000001</v>
      </c>
      <c r="I721" s="83">
        <v>92.606999999999999</v>
      </c>
      <c r="J721" s="83">
        <v>96.727999999999994</v>
      </c>
      <c r="K721" s="83">
        <v>101.26600000000001</v>
      </c>
      <c r="L721" s="83">
        <v>104.001</v>
      </c>
      <c r="M721" s="83">
        <v>106.429</v>
      </c>
      <c r="N721" s="83">
        <v>105.65</v>
      </c>
      <c r="O721" s="83">
        <v>100</v>
      </c>
      <c r="P721" s="83">
        <v>103.626</v>
      </c>
      <c r="Q721" s="83">
        <v>106.08199999999999</v>
      </c>
      <c r="R721" s="83">
        <v>109.28700000000001</v>
      </c>
      <c r="S721" s="80">
        <v>111.944</v>
      </c>
      <c r="T721" s="63"/>
      <c r="AD721" s="57"/>
      <c r="AE721" s="57"/>
      <c r="AF721" s="57"/>
      <c r="AG721" s="57"/>
      <c r="AH721" s="57"/>
      <c r="AI721" s="57"/>
      <c r="AJ721" s="57"/>
      <c r="AK721" s="57"/>
      <c r="AL721" s="57"/>
      <c r="AM721" s="57"/>
      <c r="AN721" s="57"/>
      <c r="AO721" s="57"/>
    </row>
    <row r="722" spans="1:41" ht="14.25">
      <c r="A722" s="55" t="s">
        <v>425</v>
      </c>
      <c r="B722" s="71" t="s">
        <v>456</v>
      </c>
      <c r="C722" s="83">
        <v>48.706000000000003</v>
      </c>
      <c r="D722" s="83">
        <v>57.185000000000002</v>
      </c>
      <c r="E722" s="83">
        <v>68.099999999999994</v>
      </c>
      <c r="F722" s="83">
        <v>79.242999999999995</v>
      </c>
      <c r="G722" s="83">
        <v>79.789000000000001</v>
      </c>
      <c r="H722" s="83">
        <v>77.207999999999998</v>
      </c>
      <c r="I722" s="83">
        <v>78.244</v>
      </c>
      <c r="J722" s="83">
        <v>81.908000000000001</v>
      </c>
      <c r="K722" s="83">
        <v>87.183000000000007</v>
      </c>
      <c r="L722" s="83">
        <v>92.516000000000005</v>
      </c>
      <c r="M722" s="83">
        <v>99.332999999999998</v>
      </c>
      <c r="N722" s="83">
        <v>103.949</v>
      </c>
      <c r="O722" s="83">
        <v>100</v>
      </c>
      <c r="P722" s="83">
        <v>106.096</v>
      </c>
      <c r="Q722" s="83">
        <v>111.90900000000001</v>
      </c>
      <c r="R722" s="83">
        <v>116.735</v>
      </c>
      <c r="S722" s="80">
        <v>121.804</v>
      </c>
      <c r="AD722" s="57"/>
      <c r="AE722" s="57"/>
      <c r="AF722" s="57"/>
      <c r="AG722" s="57"/>
      <c r="AH722" s="57"/>
      <c r="AI722" s="57"/>
      <c r="AJ722" s="57"/>
      <c r="AK722" s="57"/>
      <c r="AL722" s="57"/>
      <c r="AM722" s="57"/>
      <c r="AN722" s="57"/>
      <c r="AO722" s="57"/>
    </row>
    <row r="723" spans="1:41">
      <c r="C723" s="57"/>
      <c r="D723" s="57"/>
      <c r="E723" s="57"/>
      <c r="F723" s="57"/>
      <c r="G723" s="57"/>
      <c r="H723" s="57"/>
      <c r="I723" s="57"/>
      <c r="J723" s="57"/>
      <c r="K723" s="57"/>
      <c r="L723" s="57"/>
      <c r="M723" s="57"/>
      <c r="N723" s="57"/>
      <c r="O723" s="57"/>
      <c r="P723" s="57"/>
      <c r="Q723" s="57"/>
      <c r="R723" s="57"/>
    </row>
    <row r="724" spans="1:41">
      <c r="A724" s="60" t="s">
        <v>463</v>
      </c>
      <c r="C724" s="57"/>
      <c r="D724" s="57"/>
      <c r="E724" s="57"/>
      <c r="F724" s="57"/>
      <c r="G724" s="57"/>
      <c r="H724" s="57"/>
      <c r="I724" s="57"/>
      <c r="J724" s="57"/>
      <c r="K724" s="57"/>
      <c r="L724" s="57"/>
      <c r="M724" s="57"/>
      <c r="N724" s="57"/>
      <c r="O724" s="57"/>
      <c r="P724" s="57"/>
      <c r="Q724" s="57"/>
      <c r="R724" s="57"/>
    </row>
    <row r="725" spans="1:41">
      <c r="A725" s="55" t="s">
        <v>427</v>
      </c>
      <c r="B725" s="65" t="s">
        <v>423</v>
      </c>
      <c r="C725" s="79">
        <v>76.813999999999993</v>
      </c>
      <c r="D725" s="79">
        <v>76.84</v>
      </c>
      <c r="E725" s="79">
        <v>77.846999999999994</v>
      </c>
      <c r="F725" s="79">
        <v>80.311000000000007</v>
      </c>
      <c r="G725" s="79">
        <v>81.417000000000002</v>
      </c>
      <c r="H725" s="79">
        <v>82.134</v>
      </c>
      <c r="I725" s="79">
        <v>84.388999999999996</v>
      </c>
      <c r="J725" s="79">
        <v>87.688999999999993</v>
      </c>
      <c r="K725" s="79">
        <v>91.468000000000004</v>
      </c>
      <c r="L725" s="79">
        <v>94.888000000000005</v>
      </c>
      <c r="M725" s="79">
        <v>97.981999999999999</v>
      </c>
      <c r="N725" s="57">
        <v>102.262</v>
      </c>
      <c r="O725" s="57">
        <v>100</v>
      </c>
      <c r="P725" s="79">
        <v>102.75</v>
      </c>
      <c r="Q725" s="57">
        <v>106.52500000000001</v>
      </c>
      <c r="R725" s="57">
        <v>108.13800000000001</v>
      </c>
      <c r="S725" s="80">
        <v>109.68600000000001</v>
      </c>
      <c r="AD725" s="57"/>
      <c r="AE725" s="57"/>
      <c r="AF725" s="57"/>
      <c r="AG725" s="57"/>
      <c r="AH725" s="57"/>
      <c r="AI725" s="57"/>
      <c r="AJ725" s="57"/>
      <c r="AK725" s="57"/>
      <c r="AL725" s="57"/>
      <c r="AM725" s="57"/>
      <c r="AN725" s="57"/>
      <c r="AO725" s="57"/>
    </row>
    <row r="726" spans="1:41">
      <c r="A726" s="55" t="s">
        <v>427</v>
      </c>
      <c r="B726" s="65" t="s">
        <v>326</v>
      </c>
      <c r="C726" s="79">
        <v>78.316000000000003</v>
      </c>
      <c r="D726" s="79">
        <v>78.185000000000002</v>
      </c>
      <c r="E726" s="79">
        <v>79.013999999999996</v>
      </c>
      <c r="F726" s="79">
        <v>81.412000000000006</v>
      </c>
      <c r="G726" s="79">
        <v>82.337999999999994</v>
      </c>
      <c r="H726" s="79">
        <v>82.864999999999995</v>
      </c>
      <c r="I726" s="79">
        <v>84.968999999999994</v>
      </c>
      <c r="J726" s="79">
        <v>88.213999999999999</v>
      </c>
      <c r="K726" s="79">
        <v>91.947000000000003</v>
      </c>
      <c r="L726" s="79">
        <v>95.311000000000007</v>
      </c>
      <c r="M726" s="79">
        <v>98.31</v>
      </c>
      <c r="N726" s="57">
        <v>102.584</v>
      </c>
      <c r="O726" s="57">
        <v>100</v>
      </c>
      <c r="P726" s="79">
        <v>102.69</v>
      </c>
      <c r="Q726" s="57">
        <v>106.557</v>
      </c>
      <c r="R726" s="57">
        <v>108.176</v>
      </c>
      <c r="S726" s="80">
        <v>109.71</v>
      </c>
      <c r="AD726" s="57"/>
      <c r="AE726" s="57"/>
      <c r="AF726" s="57"/>
      <c r="AG726" s="57"/>
      <c r="AH726" s="57"/>
      <c r="AI726" s="57"/>
      <c r="AJ726" s="57"/>
      <c r="AK726" s="57"/>
      <c r="AL726" s="57"/>
      <c r="AM726" s="57"/>
      <c r="AN726" s="57"/>
      <c r="AO726" s="57"/>
    </row>
    <row r="727" spans="1:41">
      <c r="A727" s="55" t="s">
        <v>427</v>
      </c>
      <c r="B727" s="65" t="s">
        <v>327</v>
      </c>
      <c r="C727" s="79">
        <v>84.36</v>
      </c>
      <c r="D727" s="79">
        <v>80.069000000000003</v>
      </c>
      <c r="E727" s="79">
        <v>75.887</v>
      </c>
      <c r="F727" s="79">
        <v>76.447000000000003</v>
      </c>
      <c r="G727" s="79">
        <v>79.385000000000005</v>
      </c>
      <c r="H727" s="79">
        <v>76.119</v>
      </c>
      <c r="I727" s="79">
        <v>82.215999999999994</v>
      </c>
      <c r="J727" s="79">
        <v>91.048000000000002</v>
      </c>
      <c r="K727" s="79">
        <v>87.927000000000007</v>
      </c>
      <c r="L727" s="79">
        <v>88.561999999999998</v>
      </c>
      <c r="M727" s="79">
        <v>103.077</v>
      </c>
      <c r="N727" s="57">
        <v>114.602</v>
      </c>
      <c r="O727" s="57">
        <v>100</v>
      </c>
      <c r="P727" s="79">
        <v>107.66800000000001</v>
      </c>
      <c r="Q727" s="57">
        <v>129.846</v>
      </c>
      <c r="R727" s="57">
        <v>135.727</v>
      </c>
      <c r="S727" s="80">
        <v>138.04499999999999</v>
      </c>
      <c r="T727" s="63"/>
      <c r="AD727" s="57"/>
      <c r="AE727" s="57"/>
      <c r="AF727" s="57"/>
      <c r="AG727" s="57"/>
      <c r="AH727" s="57"/>
      <c r="AI727" s="57"/>
      <c r="AJ727" s="57"/>
      <c r="AK727" s="57"/>
      <c r="AL727" s="57"/>
      <c r="AM727" s="57"/>
      <c r="AN727" s="57"/>
      <c r="AO727" s="57"/>
    </row>
    <row r="728" spans="1:41">
      <c r="A728" s="55" t="s">
        <v>427</v>
      </c>
      <c r="B728" s="65" t="s">
        <v>328</v>
      </c>
      <c r="C728" s="79">
        <v>82.784999999999997</v>
      </c>
      <c r="D728" s="79">
        <v>77.956999999999994</v>
      </c>
      <c r="E728" s="79">
        <v>73.320999999999998</v>
      </c>
      <c r="F728" s="79">
        <v>73.984999999999999</v>
      </c>
      <c r="G728" s="79">
        <v>78.006</v>
      </c>
      <c r="H728" s="79">
        <v>74.478999999999999</v>
      </c>
      <c r="I728" s="79">
        <v>81.299000000000007</v>
      </c>
      <c r="J728" s="79">
        <v>91.192999999999998</v>
      </c>
      <c r="K728" s="79">
        <v>87.087000000000003</v>
      </c>
      <c r="L728" s="79">
        <v>87.438999999999993</v>
      </c>
      <c r="M728" s="79">
        <v>103.547</v>
      </c>
      <c r="N728" s="57">
        <v>115.751</v>
      </c>
      <c r="O728" s="57">
        <v>100</v>
      </c>
      <c r="P728" s="79">
        <v>107.789</v>
      </c>
      <c r="Q728" s="57">
        <v>132.387</v>
      </c>
      <c r="R728" s="57">
        <v>139.042</v>
      </c>
      <c r="S728" s="80">
        <v>141.52199999999999</v>
      </c>
      <c r="T728" s="63"/>
      <c r="AD728" s="57"/>
      <c r="AE728" s="57"/>
      <c r="AF728" s="57"/>
      <c r="AG728" s="57"/>
      <c r="AH728" s="57"/>
      <c r="AI728" s="57"/>
      <c r="AJ728" s="57"/>
      <c r="AK728" s="57"/>
      <c r="AL728" s="57"/>
      <c r="AM728" s="57"/>
      <c r="AN728" s="57"/>
      <c r="AO728" s="57"/>
    </row>
    <row r="729" spans="1:41">
      <c r="A729" s="55" t="s">
        <v>427</v>
      </c>
      <c r="B729" s="65" t="s">
        <v>329</v>
      </c>
      <c r="C729" s="79">
        <v>93.777000000000001</v>
      </c>
      <c r="D729" s="79">
        <v>92.822000000000003</v>
      </c>
      <c r="E729" s="79">
        <v>91.185000000000002</v>
      </c>
      <c r="F729" s="79">
        <v>91.138000000000005</v>
      </c>
      <c r="G729" s="79">
        <v>87.27</v>
      </c>
      <c r="H729" s="79">
        <v>85.581000000000003</v>
      </c>
      <c r="I729" s="79">
        <v>87.394999999999996</v>
      </c>
      <c r="J729" s="79">
        <v>90.052000000000007</v>
      </c>
      <c r="K729" s="79">
        <v>92.59</v>
      </c>
      <c r="L729" s="79">
        <v>94.855000000000004</v>
      </c>
      <c r="M729" s="79">
        <v>99.471000000000004</v>
      </c>
      <c r="N729" s="57">
        <v>106.373</v>
      </c>
      <c r="O729" s="57">
        <v>100</v>
      </c>
      <c r="P729" s="79">
        <v>106.777</v>
      </c>
      <c r="Q729" s="57">
        <v>111.82599999999999</v>
      </c>
      <c r="R729" s="57">
        <v>112.505</v>
      </c>
      <c r="S729" s="80">
        <v>113.738</v>
      </c>
      <c r="AD729" s="57"/>
      <c r="AE729" s="57"/>
      <c r="AF729" s="57"/>
      <c r="AG729" s="57"/>
      <c r="AH729" s="57"/>
      <c r="AI729" s="57"/>
      <c r="AJ729" s="57"/>
      <c r="AK729" s="57"/>
      <c r="AL729" s="57"/>
      <c r="AM729" s="57"/>
      <c r="AN729" s="57"/>
      <c r="AO729" s="57"/>
    </row>
    <row r="730" spans="1:41">
      <c r="A730" s="55" t="s">
        <v>427</v>
      </c>
      <c r="B730" s="65" t="s">
        <v>330</v>
      </c>
      <c r="C730" s="79">
        <v>47.973999999999997</v>
      </c>
      <c r="D730" s="79">
        <v>41.52</v>
      </c>
      <c r="E730" s="79">
        <v>44.594999999999999</v>
      </c>
      <c r="F730" s="79">
        <v>59.445999999999998</v>
      </c>
      <c r="G730" s="79">
        <v>58.540999999999997</v>
      </c>
      <c r="H730" s="79">
        <v>55.067</v>
      </c>
      <c r="I730" s="79">
        <v>70.284999999999997</v>
      </c>
      <c r="J730" s="79">
        <v>82.138000000000005</v>
      </c>
      <c r="K730" s="79">
        <v>104.851</v>
      </c>
      <c r="L730" s="79">
        <v>112.703</v>
      </c>
      <c r="M730" s="79">
        <v>119.998</v>
      </c>
      <c r="N730" s="57">
        <v>147.11099999999999</v>
      </c>
      <c r="O730" s="57">
        <v>100</v>
      </c>
      <c r="P730" s="79">
        <v>118.437</v>
      </c>
      <c r="Q730" s="57">
        <v>131.923</v>
      </c>
      <c r="R730" s="57">
        <v>124.06100000000001</v>
      </c>
      <c r="S730" s="80">
        <v>128.33199999999999</v>
      </c>
      <c r="T730" s="63"/>
      <c r="AD730" s="57"/>
      <c r="AE730" s="57"/>
      <c r="AF730" s="57"/>
      <c r="AG730" s="57"/>
      <c r="AH730" s="57"/>
      <c r="AI730" s="57"/>
      <c r="AJ730" s="57"/>
      <c r="AK730" s="57"/>
      <c r="AL730" s="57"/>
      <c r="AM730" s="57"/>
      <c r="AN730" s="57"/>
      <c r="AO730" s="57"/>
    </row>
    <row r="731" spans="1:41">
      <c r="A731" s="55" t="s">
        <v>427</v>
      </c>
      <c r="B731" s="65" t="s">
        <v>331</v>
      </c>
      <c r="C731" s="79">
        <v>44.575000000000003</v>
      </c>
      <c r="D731" s="79">
        <v>33.859000000000002</v>
      </c>
      <c r="E731" s="79">
        <v>40.473999999999997</v>
      </c>
      <c r="F731" s="79">
        <v>64.677999999999997</v>
      </c>
      <c r="G731" s="79">
        <v>62.646999999999998</v>
      </c>
      <c r="H731" s="79">
        <v>55.103000000000002</v>
      </c>
      <c r="I731" s="79">
        <v>78.745000000000005</v>
      </c>
      <c r="J731" s="79">
        <v>94.186999999999998</v>
      </c>
      <c r="K731" s="79">
        <v>124.938</v>
      </c>
      <c r="L731" s="79">
        <v>130.708</v>
      </c>
      <c r="M731" s="79">
        <v>139.376</v>
      </c>
      <c r="N731" s="57">
        <v>182.149</v>
      </c>
      <c r="O731" s="57">
        <v>100</v>
      </c>
      <c r="P731" s="79">
        <v>127.529</v>
      </c>
      <c r="Q731" s="57">
        <v>144.38999999999999</v>
      </c>
      <c r="R731" s="57">
        <v>129.37799999999999</v>
      </c>
      <c r="S731" s="80">
        <v>136.77500000000001</v>
      </c>
      <c r="T731" s="63"/>
      <c r="AD731" s="57"/>
      <c r="AE731" s="57"/>
      <c r="AF731" s="57"/>
      <c r="AG731" s="57"/>
      <c r="AH731" s="57"/>
      <c r="AI731" s="57"/>
      <c r="AJ731" s="57"/>
      <c r="AK731" s="57"/>
      <c r="AL731" s="57"/>
      <c r="AM731" s="57"/>
      <c r="AN731" s="57"/>
      <c r="AO731" s="57"/>
    </row>
    <row r="732" spans="1:41">
      <c r="A732" s="55" t="s">
        <v>427</v>
      </c>
      <c r="B732" s="65" t="s">
        <v>332</v>
      </c>
      <c r="C732" s="79">
        <v>49.643000000000001</v>
      </c>
      <c r="D732" s="79">
        <v>47.975999999999999</v>
      </c>
      <c r="E732" s="79">
        <v>47.097000000000001</v>
      </c>
      <c r="F732" s="79">
        <v>47.881999999999998</v>
      </c>
      <c r="G732" s="79">
        <v>48.481000000000002</v>
      </c>
      <c r="H732" s="79">
        <v>50.491999999999997</v>
      </c>
      <c r="I732" s="79">
        <v>52.844999999999999</v>
      </c>
      <c r="J732" s="79">
        <v>60.024000000000001</v>
      </c>
      <c r="K732" s="79">
        <v>71.033000000000001</v>
      </c>
      <c r="L732" s="79">
        <v>80.268000000000001</v>
      </c>
      <c r="M732" s="79">
        <v>86.244</v>
      </c>
      <c r="N732" s="57">
        <v>97.352999999999994</v>
      </c>
      <c r="O732" s="57">
        <v>100</v>
      </c>
      <c r="P732" s="79">
        <v>108.818</v>
      </c>
      <c r="Q732" s="57">
        <v>119.74299999999999</v>
      </c>
      <c r="R732" s="57">
        <v>119.767</v>
      </c>
      <c r="S732" s="80">
        <v>116.709</v>
      </c>
      <c r="T732" s="63"/>
      <c r="AD732" s="57"/>
      <c r="AE732" s="57"/>
      <c r="AF732" s="57"/>
      <c r="AG732" s="57"/>
      <c r="AH732" s="57"/>
      <c r="AI732" s="57"/>
      <c r="AJ732" s="57"/>
      <c r="AK732" s="57"/>
      <c r="AL732" s="57"/>
      <c r="AM732" s="57"/>
      <c r="AN732" s="57"/>
      <c r="AO732" s="57"/>
    </row>
    <row r="733" spans="1:41">
      <c r="A733" s="55" t="s">
        <v>427</v>
      </c>
      <c r="B733" s="65" t="s">
        <v>333</v>
      </c>
      <c r="C733" s="79">
        <v>65.83</v>
      </c>
      <c r="D733" s="79">
        <v>71.453999999999994</v>
      </c>
      <c r="E733" s="79">
        <v>63.609000000000002</v>
      </c>
      <c r="F733" s="79">
        <v>60.156999999999996</v>
      </c>
      <c r="G733" s="79">
        <v>61.683999999999997</v>
      </c>
      <c r="H733" s="79">
        <v>65.804000000000002</v>
      </c>
      <c r="I733" s="79">
        <v>69.494</v>
      </c>
      <c r="J733" s="79">
        <v>74.736999999999995</v>
      </c>
      <c r="K733" s="79">
        <v>88.313999999999993</v>
      </c>
      <c r="L733" s="79">
        <v>99.447000000000003</v>
      </c>
      <c r="M733" s="79">
        <v>103.917</v>
      </c>
      <c r="N733" s="57">
        <v>108.00700000000001</v>
      </c>
      <c r="O733" s="57">
        <v>100</v>
      </c>
      <c r="P733" s="79">
        <v>99.381</v>
      </c>
      <c r="Q733" s="57">
        <v>104.858</v>
      </c>
      <c r="R733" s="57">
        <v>108.69199999999999</v>
      </c>
      <c r="S733" s="80">
        <v>112.074</v>
      </c>
      <c r="AD733" s="57"/>
      <c r="AE733" s="57"/>
      <c r="AF733" s="57"/>
      <c r="AG733" s="57"/>
      <c r="AH733" s="57"/>
      <c r="AI733" s="57"/>
      <c r="AJ733" s="57"/>
      <c r="AK733" s="57"/>
      <c r="AL733" s="57"/>
      <c r="AM733" s="57"/>
      <c r="AN733" s="57"/>
      <c r="AO733" s="57"/>
    </row>
    <row r="734" spans="1:41">
      <c r="A734" s="55" t="s">
        <v>427</v>
      </c>
      <c r="B734" s="65" t="s">
        <v>334</v>
      </c>
      <c r="C734" s="79">
        <v>65.611999999999995</v>
      </c>
      <c r="D734" s="79">
        <v>63.813000000000002</v>
      </c>
      <c r="E734" s="79">
        <v>62.829000000000001</v>
      </c>
      <c r="F734" s="79">
        <v>67.665000000000006</v>
      </c>
      <c r="G734" s="79">
        <v>74.263999999999996</v>
      </c>
      <c r="H734" s="79">
        <v>70.387</v>
      </c>
      <c r="I734" s="79">
        <v>78.448999999999998</v>
      </c>
      <c r="J734" s="79">
        <v>82.739000000000004</v>
      </c>
      <c r="K734" s="79">
        <v>92.268000000000001</v>
      </c>
      <c r="L734" s="79">
        <v>97.177000000000007</v>
      </c>
      <c r="M734" s="79">
        <v>99.122</v>
      </c>
      <c r="N734" s="57">
        <v>106.962</v>
      </c>
      <c r="O734" s="57">
        <v>100</v>
      </c>
      <c r="P734" s="79">
        <v>102.333</v>
      </c>
      <c r="Q734" s="57">
        <v>103.988</v>
      </c>
      <c r="R734" s="57">
        <v>99.444999999999993</v>
      </c>
      <c r="S734" s="80">
        <v>103.666</v>
      </c>
      <c r="AD734" s="57"/>
      <c r="AE734" s="57"/>
      <c r="AF734" s="57"/>
      <c r="AG734" s="57"/>
      <c r="AH734" s="57"/>
      <c r="AI734" s="57"/>
      <c r="AJ734" s="57"/>
      <c r="AK734" s="57"/>
      <c r="AL734" s="57"/>
      <c r="AM734" s="57"/>
      <c r="AN734" s="57"/>
      <c r="AO734" s="57"/>
    </row>
    <row r="735" spans="1:41">
      <c r="A735" s="55" t="s">
        <v>427</v>
      </c>
      <c r="B735" s="65" t="s">
        <v>335</v>
      </c>
      <c r="C735" s="79">
        <v>60.652000000000001</v>
      </c>
      <c r="D735" s="79">
        <v>62.652999999999999</v>
      </c>
      <c r="E735" s="79">
        <v>65.070999999999998</v>
      </c>
      <c r="F735" s="79">
        <v>67.81</v>
      </c>
      <c r="G735" s="79">
        <v>70.459000000000003</v>
      </c>
      <c r="H735" s="79">
        <v>72.394999999999996</v>
      </c>
      <c r="I735" s="79">
        <v>74.997</v>
      </c>
      <c r="J735" s="79">
        <v>80.28</v>
      </c>
      <c r="K735" s="79">
        <v>86.962000000000003</v>
      </c>
      <c r="L735" s="79">
        <v>93.573999999999998</v>
      </c>
      <c r="M735" s="79">
        <v>97.831999999999994</v>
      </c>
      <c r="N735" s="57">
        <v>100.73399999999999</v>
      </c>
      <c r="O735" s="57">
        <v>100</v>
      </c>
      <c r="P735" s="79">
        <v>100.033</v>
      </c>
      <c r="Q735" s="57">
        <v>103.1</v>
      </c>
      <c r="R735" s="57">
        <v>105.789</v>
      </c>
      <c r="S735" s="80">
        <v>108.794</v>
      </c>
      <c r="AD735" s="57"/>
      <c r="AE735" s="57"/>
      <c r="AF735" s="57"/>
      <c r="AG735" s="57"/>
      <c r="AH735" s="57"/>
      <c r="AI735" s="57"/>
      <c r="AJ735" s="57"/>
      <c r="AK735" s="57"/>
      <c r="AL735" s="57"/>
      <c r="AM735" s="57"/>
      <c r="AN735" s="57"/>
      <c r="AO735" s="57"/>
    </row>
    <row r="736" spans="1:41">
      <c r="A736" s="55" t="s">
        <v>427</v>
      </c>
      <c r="B736" s="65" t="s">
        <v>336</v>
      </c>
      <c r="C736" s="79">
        <v>84.132999999999996</v>
      </c>
      <c r="D736" s="79">
        <v>81.683000000000007</v>
      </c>
      <c r="E736" s="79">
        <v>81.168999999999997</v>
      </c>
      <c r="F736" s="79">
        <v>82.977000000000004</v>
      </c>
      <c r="G736" s="79">
        <v>82.016999999999996</v>
      </c>
      <c r="H736" s="79">
        <v>81.173000000000002</v>
      </c>
      <c r="I736" s="79">
        <v>82.975999999999999</v>
      </c>
      <c r="J736" s="79">
        <v>86.917000000000002</v>
      </c>
      <c r="K736" s="79">
        <v>92.04</v>
      </c>
      <c r="L736" s="79">
        <v>96.081000000000003</v>
      </c>
      <c r="M736" s="79">
        <v>99.248000000000005</v>
      </c>
      <c r="N736" s="57">
        <v>106.99299999999999</v>
      </c>
      <c r="O736" s="57">
        <v>100</v>
      </c>
      <c r="P736" s="79">
        <v>105.82899999999999</v>
      </c>
      <c r="Q736" s="57">
        <v>114.605</v>
      </c>
      <c r="R736" s="57">
        <v>115.97499999999999</v>
      </c>
      <c r="S736" s="80">
        <v>116.06699999999999</v>
      </c>
      <c r="AD736" s="57"/>
      <c r="AE736" s="57"/>
      <c r="AF736" s="57"/>
      <c r="AG736" s="57"/>
      <c r="AH736" s="57"/>
      <c r="AI736" s="57"/>
      <c r="AJ736" s="57"/>
      <c r="AK736" s="57"/>
      <c r="AL736" s="57"/>
      <c r="AM736" s="57"/>
      <c r="AN736" s="57"/>
      <c r="AO736" s="57"/>
    </row>
    <row r="737" spans="1:41">
      <c r="A737" s="55" t="s">
        <v>427</v>
      </c>
      <c r="B737" s="65" t="s">
        <v>337</v>
      </c>
      <c r="C737" s="79">
        <v>100.526</v>
      </c>
      <c r="D737" s="79">
        <v>97.090999999999994</v>
      </c>
      <c r="E737" s="79">
        <v>94.759</v>
      </c>
      <c r="F737" s="79">
        <v>93.341999999999999</v>
      </c>
      <c r="G737" s="79">
        <v>91.049000000000007</v>
      </c>
      <c r="H737" s="79">
        <v>90.147000000000006</v>
      </c>
      <c r="I737" s="79">
        <v>89.899000000000001</v>
      </c>
      <c r="J737" s="79">
        <v>92.676000000000002</v>
      </c>
      <c r="K737" s="79">
        <v>94.99</v>
      </c>
      <c r="L737" s="79">
        <v>97.462999999999994</v>
      </c>
      <c r="M737" s="79">
        <v>98.807000000000002</v>
      </c>
      <c r="N737" s="57">
        <v>101.599</v>
      </c>
      <c r="O737" s="57">
        <v>100</v>
      </c>
      <c r="P737" s="79">
        <v>101.71299999999999</v>
      </c>
      <c r="Q737" s="57">
        <v>104.261</v>
      </c>
      <c r="R737" s="57">
        <v>105.06399999999999</v>
      </c>
      <c r="S737" s="80">
        <v>105.41500000000001</v>
      </c>
      <c r="T737" s="63"/>
      <c r="AD737" s="57"/>
      <c r="AE737" s="57"/>
      <c r="AF737" s="57"/>
      <c r="AG737" s="57"/>
      <c r="AH737" s="57"/>
      <c r="AI737" s="57"/>
      <c r="AJ737" s="57"/>
      <c r="AK737" s="57"/>
      <c r="AL737" s="57"/>
      <c r="AM737" s="57"/>
      <c r="AN737" s="57"/>
      <c r="AO737" s="57"/>
    </row>
    <row r="738" spans="1:41">
      <c r="A738" s="55" t="s">
        <v>427</v>
      </c>
      <c r="B738" s="65" t="s">
        <v>338</v>
      </c>
      <c r="C738" s="79">
        <v>98.292000000000002</v>
      </c>
      <c r="D738" s="79">
        <v>96.444000000000003</v>
      </c>
      <c r="E738" s="79">
        <v>99.953999999999994</v>
      </c>
      <c r="F738" s="79">
        <v>97.296999999999997</v>
      </c>
      <c r="G738" s="79">
        <v>95.852000000000004</v>
      </c>
      <c r="H738" s="79">
        <v>95.311999999999998</v>
      </c>
      <c r="I738" s="79">
        <v>98.308999999999997</v>
      </c>
      <c r="J738" s="79">
        <v>109.465</v>
      </c>
      <c r="K738" s="79">
        <v>110.23399999999999</v>
      </c>
      <c r="L738" s="79">
        <v>108.645</v>
      </c>
      <c r="M738" s="79">
        <v>105.46599999999999</v>
      </c>
      <c r="N738" s="57">
        <v>105.55800000000001</v>
      </c>
      <c r="O738" s="57">
        <v>100</v>
      </c>
      <c r="P738" s="79">
        <v>105.833</v>
      </c>
      <c r="Q738" s="57">
        <v>105.78</v>
      </c>
      <c r="R738" s="57">
        <v>108.892</v>
      </c>
      <c r="S738" s="80">
        <v>116.81100000000001</v>
      </c>
      <c r="T738" s="63"/>
      <c r="AD738" s="57"/>
      <c r="AE738" s="57"/>
      <c r="AF738" s="57"/>
      <c r="AG738" s="57"/>
      <c r="AH738" s="57"/>
      <c r="AI738" s="57"/>
      <c r="AJ738" s="57"/>
      <c r="AK738" s="57"/>
      <c r="AL738" s="57"/>
      <c r="AM738" s="57"/>
      <c r="AN738" s="57"/>
      <c r="AO738" s="57"/>
    </row>
    <row r="739" spans="1:41">
      <c r="A739" s="55" t="s">
        <v>427</v>
      </c>
      <c r="B739" s="65" t="s">
        <v>339</v>
      </c>
      <c r="C739" s="79">
        <v>73.323999999999998</v>
      </c>
      <c r="D739" s="79">
        <v>74.344999999999999</v>
      </c>
      <c r="E739" s="79">
        <v>76.257999999999996</v>
      </c>
      <c r="F739" s="79">
        <v>77.343999999999994</v>
      </c>
      <c r="G739" s="79">
        <v>77.733000000000004</v>
      </c>
      <c r="H739" s="79">
        <v>78.474999999999994</v>
      </c>
      <c r="I739" s="79">
        <v>78.905000000000001</v>
      </c>
      <c r="J739" s="79">
        <v>81.531000000000006</v>
      </c>
      <c r="K739" s="79">
        <v>87.284000000000006</v>
      </c>
      <c r="L739" s="79">
        <v>94.254000000000005</v>
      </c>
      <c r="M739" s="79">
        <v>96.171000000000006</v>
      </c>
      <c r="N739" s="57">
        <v>98.138000000000005</v>
      </c>
      <c r="O739" s="57">
        <v>100</v>
      </c>
      <c r="P739" s="79">
        <v>99.475999999999999</v>
      </c>
      <c r="Q739" s="57">
        <v>100.643</v>
      </c>
      <c r="R739" s="57">
        <v>103.10899999999999</v>
      </c>
      <c r="S739" s="80">
        <v>106.045</v>
      </c>
      <c r="T739" s="63"/>
      <c r="AD739" s="57"/>
      <c r="AE739" s="57"/>
      <c r="AF739" s="57"/>
      <c r="AG739" s="57"/>
      <c r="AH739" s="57"/>
      <c r="AI739" s="57"/>
      <c r="AJ739" s="57"/>
      <c r="AK739" s="57"/>
      <c r="AL739" s="57"/>
      <c r="AM739" s="57"/>
      <c r="AN739" s="57"/>
      <c r="AO739" s="57"/>
    </row>
    <row r="740" spans="1:41">
      <c r="A740" s="55" t="s">
        <v>427</v>
      </c>
      <c r="B740" s="65" t="s">
        <v>340</v>
      </c>
      <c r="C740" s="79">
        <v>74.647999999999996</v>
      </c>
      <c r="D740" s="79">
        <v>71.263999999999996</v>
      </c>
      <c r="E740" s="79">
        <v>67.55</v>
      </c>
      <c r="F740" s="79">
        <v>70.513999999999996</v>
      </c>
      <c r="G740" s="79">
        <v>67.629000000000005</v>
      </c>
      <c r="H740" s="79">
        <v>67.335999999999999</v>
      </c>
      <c r="I740" s="79">
        <v>69.093000000000004</v>
      </c>
      <c r="J740" s="79">
        <v>83.149000000000001</v>
      </c>
      <c r="K740" s="79">
        <v>92.378</v>
      </c>
      <c r="L740" s="79">
        <v>107.89100000000001</v>
      </c>
      <c r="M740" s="79">
        <v>114.929</v>
      </c>
      <c r="N740" s="57">
        <v>124.253</v>
      </c>
      <c r="O740" s="57">
        <v>100</v>
      </c>
      <c r="P740" s="79">
        <v>115.161</v>
      </c>
      <c r="Q740" s="57">
        <v>128.51400000000001</v>
      </c>
      <c r="R740" s="57">
        <v>122.68300000000001</v>
      </c>
      <c r="S740" s="80">
        <v>116.38500000000001</v>
      </c>
      <c r="T740" s="63"/>
      <c r="AD740" s="57"/>
      <c r="AE740" s="57"/>
      <c r="AF740" s="57"/>
      <c r="AG740" s="57"/>
      <c r="AH740" s="57"/>
      <c r="AI740" s="57"/>
      <c r="AJ740" s="57"/>
      <c r="AK740" s="57"/>
      <c r="AL740" s="57"/>
      <c r="AM740" s="57"/>
      <c r="AN740" s="57"/>
      <c r="AO740" s="57"/>
    </row>
    <row r="741" spans="1:41">
      <c r="A741" s="55" t="s">
        <v>427</v>
      </c>
      <c r="B741" s="65" t="s">
        <v>341</v>
      </c>
      <c r="C741" s="79">
        <v>73.201999999999998</v>
      </c>
      <c r="D741" s="79">
        <v>73.945999999999998</v>
      </c>
      <c r="E741" s="79">
        <v>74.253</v>
      </c>
      <c r="F741" s="79">
        <v>74.975999999999999</v>
      </c>
      <c r="G741" s="79">
        <v>75.382000000000005</v>
      </c>
      <c r="H741" s="79">
        <v>75.611999999999995</v>
      </c>
      <c r="I741" s="79">
        <v>76.063999999999993</v>
      </c>
      <c r="J741" s="79">
        <v>81.289000000000001</v>
      </c>
      <c r="K741" s="79">
        <v>85.918999999999997</v>
      </c>
      <c r="L741" s="79">
        <v>89.433999999999997</v>
      </c>
      <c r="M741" s="79">
        <v>92.911000000000001</v>
      </c>
      <c r="N741" s="57">
        <v>99.926000000000002</v>
      </c>
      <c r="O741" s="57">
        <v>100</v>
      </c>
      <c r="P741" s="79">
        <v>100.59</v>
      </c>
      <c r="Q741" s="57">
        <v>104.029</v>
      </c>
      <c r="R741" s="57">
        <v>105.526</v>
      </c>
      <c r="S741" s="80">
        <v>105.901</v>
      </c>
      <c r="T741" s="63"/>
      <c r="AD741" s="57"/>
      <c r="AE741" s="57"/>
      <c r="AF741" s="57"/>
      <c r="AG741" s="57"/>
      <c r="AH741" s="57"/>
      <c r="AI741" s="57"/>
      <c r="AJ741" s="57"/>
      <c r="AK741" s="57"/>
      <c r="AL741" s="57"/>
      <c r="AM741" s="57"/>
      <c r="AN741" s="57"/>
      <c r="AO741" s="57"/>
    </row>
    <row r="742" spans="1:41">
      <c r="A742" s="55" t="s">
        <v>427</v>
      </c>
      <c r="B742" s="65" t="s">
        <v>342</v>
      </c>
      <c r="C742" s="79">
        <v>79.415999999999997</v>
      </c>
      <c r="D742" s="79">
        <v>80.052999999999997</v>
      </c>
      <c r="E742" s="79">
        <v>80.888999999999996</v>
      </c>
      <c r="F742" s="79">
        <v>81.492999999999995</v>
      </c>
      <c r="G742" s="79">
        <v>82.143000000000001</v>
      </c>
      <c r="H742" s="79">
        <v>82.480999999999995</v>
      </c>
      <c r="I742" s="79">
        <v>83.010999999999996</v>
      </c>
      <c r="J742" s="79">
        <v>84.855000000000004</v>
      </c>
      <c r="K742" s="79">
        <v>88.2</v>
      </c>
      <c r="L742" s="79">
        <v>90.933999999999997</v>
      </c>
      <c r="M742" s="79">
        <v>93.741</v>
      </c>
      <c r="N742" s="57">
        <v>97.647999999999996</v>
      </c>
      <c r="O742" s="57">
        <v>100</v>
      </c>
      <c r="P742" s="79">
        <v>100.30500000000001</v>
      </c>
      <c r="Q742" s="57">
        <v>102.79900000000001</v>
      </c>
      <c r="R742" s="57">
        <v>105.023</v>
      </c>
      <c r="S742" s="80">
        <v>106.45699999999999</v>
      </c>
      <c r="T742" s="63"/>
      <c r="AD742" s="57"/>
      <c r="AE742" s="57"/>
      <c r="AF742" s="57"/>
      <c r="AG742" s="57"/>
      <c r="AH742" s="57"/>
      <c r="AI742" s="57"/>
      <c r="AJ742" s="57"/>
      <c r="AK742" s="57"/>
      <c r="AL742" s="57"/>
      <c r="AM742" s="57"/>
      <c r="AN742" s="57"/>
      <c r="AO742" s="57"/>
    </row>
    <row r="743" spans="1:41">
      <c r="A743" s="55" t="s">
        <v>427</v>
      </c>
      <c r="B743" s="65" t="s">
        <v>343</v>
      </c>
      <c r="C743" s="79">
        <v>234.054</v>
      </c>
      <c r="D743" s="79">
        <v>200.267</v>
      </c>
      <c r="E743" s="79">
        <v>175.816</v>
      </c>
      <c r="F743" s="79">
        <v>157.578</v>
      </c>
      <c r="G743" s="79">
        <v>140.02699999999999</v>
      </c>
      <c r="H743" s="79">
        <v>133.55099999999999</v>
      </c>
      <c r="I743" s="79">
        <v>126.235</v>
      </c>
      <c r="J743" s="79">
        <v>121.18600000000001</v>
      </c>
      <c r="K743" s="79">
        <v>116.983</v>
      </c>
      <c r="L743" s="79">
        <v>112.212</v>
      </c>
      <c r="M743" s="79">
        <v>106.554</v>
      </c>
      <c r="N743" s="57">
        <v>102.479</v>
      </c>
      <c r="O743" s="57">
        <v>100</v>
      </c>
      <c r="P743" s="79">
        <v>98.56</v>
      </c>
      <c r="Q743" s="57">
        <v>96.887</v>
      </c>
      <c r="R743" s="57">
        <v>95.99</v>
      </c>
      <c r="S743" s="80">
        <v>96.141000000000005</v>
      </c>
      <c r="T743" s="63"/>
      <c r="AD743" s="57"/>
      <c r="AE743" s="57"/>
      <c r="AF743" s="57"/>
      <c r="AG743" s="57"/>
      <c r="AH743" s="57"/>
      <c r="AI743" s="57"/>
      <c r="AJ743" s="57"/>
      <c r="AK743" s="57"/>
      <c r="AL743" s="57"/>
      <c r="AM743" s="57"/>
      <c r="AN743" s="57"/>
      <c r="AO743" s="57"/>
    </row>
    <row r="744" spans="1:41">
      <c r="A744" s="55" t="s">
        <v>427</v>
      </c>
      <c r="B744" s="65" t="s">
        <v>344</v>
      </c>
      <c r="C744" s="79">
        <v>78.927000000000007</v>
      </c>
      <c r="D744" s="79">
        <v>78.593999999999994</v>
      </c>
      <c r="E744" s="79">
        <v>78.153999999999996</v>
      </c>
      <c r="F744" s="79">
        <v>79.010999999999996</v>
      </c>
      <c r="G744" s="79">
        <v>78.866</v>
      </c>
      <c r="H744" s="79">
        <v>78.23</v>
      </c>
      <c r="I744" s="79">
        <v>77.971000000000004</v>
      </c>
      <c r="J744" s="79">
        <v>80.777000000000001</v>
      </c>
      <c r="K744" s="79">
        <v>84.463999999999999</v>
      </c>
      <c r="L744" s="79">
        <v>90.795000000000002</v>
      </c>
      <c r="M744" s="79">
        <v>94.935000000000002</v>
      </c>
      <c r="N744" s="57">
        <v>99.31</v>
      </c>
      <c r="O744" s="57">
        <v>100</v>
      </c>
      <c r="P744" s="79">
        <v>102.351</v>
      </c>
      <c r="Q744" s="57">
        <v>105.399</v>
      </c>
      <c r="R744" s="57">
        <v>107.38</v>
      </c>
      <c r="S744" s="80">
        <v>107.386</v>
      </c>
      <c r="T744" s="63"/>
      <c r="AD744" s="57"/>
      <c r="AE744" s="57"/>
      <c r="AF744" s="57"/>
      <c r="AG744" s="57"/>
      <c r="AH744" s="57"/>
      <c r="AI744" s="57"/>
      <c r="AJ744" s="57"/>
      <c r="AK744" s="57"/>
      <c r="AL744" s="57"/>
      <c r="AM744" s="57"/>
      <c r="AN744" s="57"/>
      <c r="AO744" s="57"/>
    </row>
    <row r="745" spans="1:41">
      <c r="A745" s="55" t="s">
        <v>427</v>
      </c>
      <c r="B745" s="65" t="s">
        <v>345</v>
      </c>
      <c r="C745" s="79">
        <v>96.695999999999998</v>
      </c>
      <c r="D745" s="79">
        <v>95.805999999999997</v>
      </c>
      <c r="E745" s="79">
        <v>96.066999999999993</v>
      </c>
      <c r="F745" s="79">
        <v>96.488</v>
      </c>
      <c r="G745" s="79">
        <v>96.03</v>
      </c>
      <c r="H745" s="79">
        <v>94.747</v>
      </c>
      <c r="I745" s="79">
        <v>94.572999999999993</v>
      </c>
      <c r="J745" s="79">
        <v>95.566999999999993</v>
      </c>
      <c r="K745" s="79">
        <v>95.87</v>
      </c>
      <c r="L745" s="79">
        <v>95.605000000000004</v>
      </c>
      <c r="M745" s="79">
        <v>96.695999999999998</v>
      </c>
      <c r="N745" s="57">
        <v>98.656999999999996</v>
      </c>
      <c r="O745" s="57">
        <v>100</v>
      </c>
      <c r="P745" s="79">
        <v>100.596</v>
      </c>
      <c r="Q745" s="57">
        <v>101.93899999999999</v>
      </c>
      <c r="R745" s="57">
        <v>103.892</v>
      </c>
      <c r="S745" s="80">
        <v>104.458</v>
      </c>
      <c r="T745" s="63"/>
      <c r="AD745" s="57"/>
      <c r="AE745" s="57"/>
      <c r="AF745" s="57"/>
      <c r="AG745" s="57"/>
      <c r="AH745" s="57"/>
      <c r="AI745" s="57"/>
      <c r="AJ745" s="57"/>
      <c r="AK745" s="57"/>
      <c r="AL745" s="57"/>
      <c r="AM745" s="57"/>
      <c r="AN745" s="57"/>
      <c r="AO745" s="57"/>
    </row>
    <row r="746" spans="1:41">
      <c r="A746" s="55" t="s">
        <v>427</v>
      </c>
      <c r="B746" s="65" t="s">
        <v>346</v>
      </c>
      <c r="C746" s="79">
        <v>76.509</v>
      </c>
      <c r="D746" s="79">
        <v>77.039000000000001</v>
      </c>
      <c r="E746" s="79">
        <v>77.838999999999999</v>
      </c>
      <c r="F746" s="79">
        <v>79.974999999999994</v>
      </c>
      <c r="G746" s="79">
        <v>81.766000000000005</v>
      </c>
      <c r="H746" s="79">
        <v>82.534000000000006</v>
      </c>
      <c r="I746" s="79">
        <v>84.703999999999994</v>
      </c>
      <c r="J746" s="79">
        <v>87.688000000000002</v>
      </c>
      <c r="K746" s="79">
        <v>90.671000000000006</v>
      </c>
      <c r="L746" s="79">
        <v>93.79</v>
      </c>
      <c r="M746" s="79">
        <v>95.783000000000001</v>
      </c>
      <c r="N746" s="57">
        <v>98.427999999999997</v>
      </c>
      <c r="O746" s="57">
        <v>100</v>
      </c>
      <c r="P746" s="79">
        <v>101.057</v>
      </c>
      <c r="Q746" s="57">
        <v>103.178</v>
      </c>
      <c r="R746" s="57">
        <v>104.916</v>
      </c>
      <c r="S746" s="80">
        <v>106.28700000000001</v>
      </c>
      <c r="T746" s="63"/>
      <c r="AD746" s="57"/>
      <c r="AE746" s="57"/>
      <c r="AF746" s="57"/>
      <c r="AG746" s="57"/>
      <c r="AH746" s="57"/>
      <c r="AI746" s="57"/>
      <c r="AJ746" s="57"/>
      <c r="AK746" s="57"/>
      <c r="AL746" s="57"/>
      <c r="AM746" s="57"/>
      <c r="AN746" s="57"/>
      <c r="AO746" s="57"/>
    </row>
    <row r="747" spans="1:41">
      <c r="A747" s="55" t="s">
        <v>427</v>
      </c>
      <c r="B747" s="65" t="s">
        <v>347</v>
      </c>
      <c r="C747" s="79">
        <v>79.072000000000003</v>
      </c>
      <c r="D747" s="79">
        <v>80.087000000000003</v>
      </c>
      <c r="E747" s="79">
        <v>81.100999999999999</v>
      </c>
      <c r="F747" s="79">
        <v>82.332999999999998</v>
      </c>
      <c r="G747" s="79">
        <v>83.427000000000007</v>
      </c>
      <c r="H747" s="79">
        <v>84.25</v>
      </c>
      <c r="I747" s="79">
        <v>85.028000000000006</v>
      </c>
      <c r="J747" s="79">
        <v>86.552999999999997</v>
      </c>
      <c r="K747" s="79">
        <v>89.641000000000005</v>
      </c>
      <c r="L747" s="79">
        <v>92.331000000000003</v>
      </c>
      <c r="M747" s="79">
        <v>94.245000000000005</v>
      </c>
      <c r="N747" s="57">
        <v>97.45</v>
      </c>
      <c r="O747" s="57">
        <v>100</v>
      </c>
      <c r="P747" s="79">
        <v>100.13500000000001</v>
      </c>
      <c r="Q747" s="57">
        <v>102.28</v>
      </c>
      <c r="R747" s="57">
        <v>104.753</v>
      </c>
      <c r="S747" s="80">
        <v>106.056</v>
      </c>
      <c r="T747" s="63"/>
      <c r="AD747" s="57"/>
      <c r="AE747" s="57"/>
      <c r="AF747" s="57"/>
      <c r="AG747" s="57"/>
      <c r="AH747" s="57"/>
      <c r="AI747" s="57"/>
      <c r="AJ747" s="57"/>
      <c r="AK747" s="57"/>
      <c r="AL747" s="57"/>
      <c r="AM747" s="57"/>
      <c r="AN747" s="57"/>
      <c r="AO747" s="57"/>
    </row>
    <row r="748" spans="1:41">
      <c r="A748" s="55" t="s">
        <v>427</v>
      </c>
      <c r="B748" s="65" t="s">
        <v>348</v>
      </c>
      <c r="C748" s="79">
        <v>83.986999999999995</v>
      </c>
      <c r="D748" s="79">
        <v>84.644000000000005</v>
      </c>
      <c r="E748" s="79">
        <v>85.447000000000003</v>
      </c>
      <c r="F748" s="79">
        <v>86.174999999999997</v>
      </c>
      <c r="G748" s="79">
        <v>87.174000000000007</v>
      </c>
      <c r="H748" s="79">
        <v>87.861999999999995</v>
      </c>
      <c r="I748" s="79">
        <v>88.965000000000003</v>
      </c>
      <c r="J748" s="79">
        <v>90.391999999999996</v>
      </c>
      <c r="K748" s="79">
        <v>92.436000000000007</v>
      </c>
      <c r="L748" s="79">
        <v>94.555000000000007</v>
      </c>
      <c r="M748" s="79">
        <v>96.494</v>
      </c>
      <c r="N748" s="57">
        <v>98.995000000000005</v>
      </c>
      <c r="O748" s="57">
        <v>100</v>
      </c>
      <c r="P748" s="79">
        <v>101.361</v>
      </c>
      <c r="Q748" s="57">
        <v>103.919</v>
      </c>
      <c r="R748" s="57">
        <v>105.179</v>
      </c>
      <c r="S748" s="80">
        <v>106.035</v>
      </c>
      <c r="AD748" s="57"/>
      <c r="AE748" s="57"/>
      <c r="AF748" s="57"/>
      <c r="AG748" s="57"/>
      <c r="AH748" s="57"/>
      <c r="AI748" s="57"/>
      <c r="AJ748" s="57"/>
      <c r="AK748" s="57"/>
      <c r="AL748" s="57"/>
      <c r="AM748" s="57"/>
      <c r="AN748" s="57"/>
      <c r="AO748" s="57"/>
    </row>
    <row r="749" spans="1:41">
      <c r="A749" s="55" t="s">
        <v>427</v>
      </c>
      <c r="B749" s="65" t="s">
        <v>349</v>
      </c>
      <c r="C749" s="79">
        <v>67.608000000000004</v>
      </c>
      <c r="D749" s="79">
        <v>66.099000000000004</v>
      </c>
      <c r="E749" s="79">
        <v>67.314999999999998</v>
      </c>
      <c r="F749" s="79">
        <v>72.307000000000002</v>
      </c>
      <c r="G749" s="79">
        <v>72.676000000000002</v>
      </c>
      <c r="H749" s="79">
        <v>71.896000000000001</v>
      </c>
      <c r="I749" s="79">
        <v>75.658000000000001</v>
      </c>
      <c r="J749" s="79">
        <v>80.712000000000003</v>
      </c>
      <c r="K749" s="79">
        <v>88.602000000000004</v>
      </c>
      <c r="L749" s="79">
        <v>94.224000000000004</v>
      </c>
      <c r="M749" s="79">
        <v>99.278999999999996</v>
      </c>
      <c r="N749" s="57">
        <v>112.194</v>
      </c>
      <c r="O749" s="57">
        <v>100</v>
      </c>
      <c r="P749" s="79">
        <v>109.66500000000001</v>
      </c>
      <c r="Q749" s="57">
        <v>124.66500000000001</v>
      </c>
      <c r="R749" s="57">
        <v>126.626</v>
      </c>
      <c r="S749" s="80">
        <v>126.422</v>
      </c>
      <c r="AD749" s="57"/>
      <c r="AE749" s="57"/>
      <c r="AF749" s="57"/>
      <c r="AG749" s="57"/>
      <c r="AH749" s="57"/>
      <c r="AI749" s="57"/>
      <c r="AJ749" s="57"/>
      <c r="AK749" s="57"/>
      <c r="AL749" s="57"/>
      <c r="AM749" s="57"/>
      <c r="AN749" s="57"/>
      <c r="AO749" s="57"/>
    </row>
    <row r="750" spans="1:41">
      <c r="A750" s="55" t="s">
        <v>427</v>
      </c>
      <c r="B750" s="65" t="s">
        <v>350</v>
      </c>
      <c r="C750" s="79">
        <v>73.167000000000002</v>
      </c>
      <c r="D750" s="79">
        <v>72.370999999999995</v>
      </c>
      <c r="E750" s="79">
        <v>73.722999999999999</v>
      </c>
      <c r="F750" s="79">
        <v>75.222999999999999</v>
      </c>
      <c r="G750" s="79">
        <v>78.293000000000006</v>
      </c>
      <c r="H750" s="79">
        <v>78.275999999999996</v>
      </c>
      <c r="I750" s="79">
        <v>81.448999999999998</v>
      </c>
      <c r="J750" s="79">
        <v>85.543000000000006</v>
      </c>
      <c r="K750" s="79">
        <v>86.524000000000001</v>
      </c>
      <c r="L750" s="79">
        <v>86.763999999999996</v>
      </c>
      <c r="M750" s="79">
        <v>93.161000000000001</v>
      </c>
      <c r="N750" s="57">
        <v>101.795</v>
      </c>
      <c r="O750" s="57">
        <v>100</v>
      </c>
      <c r="P750" s="79">
        <v>104.033</v>
      </c>
      <c r="Q750" s="57">
        <v>113.09</v>
      </c>
      <c r="R750" s="57">
        <v>117.819</v>
      </c>
      <c r="S750" s="80">
        <v>119.14700000000001</v>
      </c>
      <c r="T750" s="63"/>
      <c r="AD750" s="57"/>
      <c r="AE750" s="57"/>
      <c r="AF750" s="57"/>
      <c r="AG750" s="57"/>
      <c r="AH750" s="57"/>
      <c r="AI750" s="57"/>
      <c r="AJ750" s="57"/>
      <c r="AK750" s="57"/>
      <c r="AL750" s="57"/>
      <c r="AM750" s="57"/>
      <c r="AN750" s="57"/>
      <c r="AO750" s="57"/>
    </row>
    <row r="751" spans="1:41">
      <c r="A751" s="55" t="s">
        <v>427</v>
      </c>
      <c r="B751" s="65" t="s">
        <v>351</v>
      </c>
      <c r="C751" s="79">
        <v>89.613</v>
      </c>
      <c r="D751" s="79">
        <v>89.451999999999998</v>
      </c>
      <c r="E751" s="79">
        <v>87.370999999999995</v>
      </c>
      <c r="F751" s="79">
        <v>87.63</v>
      </c>
      <c r="G751" s="79">
        <v>87.751999999999995</v>
      </c>
      <c r="H751" s="79">
        <v>86.852000000000004</v>
      </c>
      <c r="I751" s="79">
        <v>87.013999999999996</v>
      </c>
      <c r="J751" s="79">
        <v>88.516999999999996</v>
      </c>
      <c r="K751" s="79">
        <v>91.626000000000005</v>
      </c>
      <c r="L751" s="79">
        <v>94.66</v>
      </c>
      <c r="M751" s="79">
        <v>95.923000000000002</v>
      </c>
      <c r="N751" s="57">
        <v>99.102999999999994</v>
      </c>
      <c r="O751" s="57">
        <v>100</v>
      </c>
      <c r="P751" s="79">
        <v>102.343</v>
      </c>
      <c r="Q751" s="57">
        <v>111.152</v>
      </c>
      <c r="R751" s="57">
        <v>111.17700000000001</v>
      </c>
      <c r="S751" s="80">
        <v>111.89400000000001</v>
      </c>
      <c r="T751" s="63"/>
      <c r="AD751" s="57"/>
      <c r="AE751" s="57"/>
      <c r="AF751" s="57"/>
      <c r="AG751" s="57"/>
      <c r="AH751" s="57"/>
      <c r="AI751" s="57"/>
      <c r="AJ751" s="57"/>
      <c r="AK751" s="57"/>
      <c r="AL751" s="57"/>
      <c r="AM751" s="57"/>
      <c r="AN751" s="57"/>
      <c r="AO751" s="57"/>
    </row>
    <row r="752" spans="1:41">
      <c r="A752" s="55" t="s">
        <v>427</v>
      </c>
      <c r="B752" s="65" t="s">
        <v>352</v>
      </c>
      <c r="C752" s="79">
        <v>93.929000000000002</v>
      </c>
      <c r="D752" s="79">
        <v>94.619</v>
      </c>
      <c r="E752" s="79">
        <v>94.802000000000007</v>
      </c>
      <c r="F752" s="79">
        <v>95.325000000000003</v>
      </c>
      <c r="G752" s="79">
        <v>95.319000000000003</v>
      </c>
      <c r="H752" s="79">
        <v>94.825000000000003</v>
      </c>
      <c r="I752" s="79">
        <v>95.48</v>
      </c>
      <c r="J752" s="79">
        <v>96.097999999999999</v>
      </c>
      <c r="K752" s="79">
        <v>96.766000000000005</v>
      </c>
      <c r="L752" s="79">
        <v>97.671999999999997</v>
      </c>
      <c r="M752" s="79">
        <v>98.507999999999996</v>
      </c>
      <c r="N752" s="57">
        <v>99.391000000000005</v>
      </c>
      <c r="O752" s="57">
        <v>100</v>
      </c>
      <c r="P752" s="79">
        <v>100.432</v>
      </c>
      <c r="Q752" s="57">
        <v>103.292</v>
      </c>
      <c r="R752" s="57">
        <v>104.881</v>
      </c>
      <c r="S752" s="80">
        <v>106.61799999999999</v>
      </c>
      <c r="T752" s="63"/>
      <c r="AD752" s="57"/>
      <c r="AE752" s="57"/>
      <c r="AF752" s="57"/>
      <c r="AG752" s="57"/>
      <c r="AH752" s="57"/>
      <c r="AI752" s="57"/>
      <c r="AJ752" s="57"/>
      <c r="AK752" s="57"/>
      <c r="AL752" s="57"/>
      <c r="AM752" s="57"/>
      <c r="AN752" s="57"/>
      <c r="AO752" s="57"/>
    </row>
    <row r="753" spans="1:41">
      <c r="A753" s="55" t="s">
        <v>427</v>
      </c>
      <c r="B753" s="65" t="s">
        <v>353</v>
      </c>
      <c r="C753" s="79">
        <v>73.150999999999996</v>
      </c>
      <c r="D753" s="79">
        <v>74.966999999999999</v>
      </c>
      <c r="E753" s="79">
        <v>75.212000000000003</v>
      </c>
      <c r="F753" s="79">
        <v>81.433000000000007</v>
      </c>
      <c r="G753" s="79">
        <v>81.183999999999997</v>
      </c>
      <c r="H753" s="79">
        <v>79.411000000000001</v>
      </c>
      <c r="I753" s="79">
        <v>79.834999999999994</v>
      </c>
      <c r="J753" s="79">
        <v>81.956999999999994</v>
      </c>
      <c r="K753" s="79">
        <v>85.915999999999997</v>
      </c>
      <c r="L753" s="79">
        <v>90.97</v>
      </c>
      <c r="M753" s="79">
        <v>93.617000000000004</v>
      </c>
      <c r="N753" s="57">
        <v>99.899000000000001</v>
      </c>
      <c r="O753" s="57">
        <v>100</v>
      </c>
      <c r="P753" s="79">
        <v>103.90300000000001</v>
      </c>
      <c r="Q753" s="57">
        <v>107.56699999999999</v>
      </c>
      <c r="R753" s="57">
        <v>107.828</v>
      </c>
      <c r="S753" s="80">
        <v>110.45099999999999</v>
      </c>
      <c r="T753" s="63"/>
      <c r="AD753" s="57"/>
      <c r="AE753" s="57"/>
      <c r="AF753" s="57"/>
      <c r="AG753" s="57"/>
      <c r="AH753" s="57"/>
      <c r="AI753" s="57"/>
      <c r="AJ753" s="57"/>
      <c r="AK753" s="57"/>
      <c r="AL753" s="57"/>
      <c r="AM753" s="57"/>
      <c r="AN753" s="57"/>
      <c r="AO753" s="57"/>
    </row>
    <row r="754" spans="1:41">
      <c r="A754" s="55" t="s">
        <v>427</v>
      </c>
      <c r="B754" s="65" t="s">
        <v>354</v>
      </c>
      <c r="C754" s="79">
        <v>87.164000000000001</v>
      </c>
      <c r="D754" s="79">
        <v>88.662000000000006</v>
      </c>
      <c r="E754" s="79">
        <v>90.108999999999995</v>
      </c>
      <c r="F754" s="79">
        <v>91.738</v>
      </c>
      <c r="G754" s="79">
        <v>91.188000000000002</v>
      </c>
      <c r="H754" s="79">
        <v>88.617999999999995</v>
      </c>
      <c r="I754" s="79">
        <v>89.225999999999999</v>
      </c>
      <c r="J754" s="79">
        <v>90.179000000000002</v>
      </c>
      <c r="K754" s="79">
        <v>93.543999999999997</v>
      </c>
      <c r="L754" s="79">
        <v>97.385999999999996</v>
      </c>
      <c r="M754" s="79">
        <v>98.716999999999999</v>
      </c>
      <c r="N754" s="57">
        <v>100.29300000000001</v>
      </c>
      <c r="O754" s="57">
        <v>100</v>
      </c>
      <c r="P754" s="79">
        <v>100.15600000000001</v>
      </c>
      <c r="Q754" s="57">
        <v>101.60299999999999</v>
      </c>
      <c r="R754" s="57">
        <v>101.752</v>
      </c>
      <c r="S754" s="80">
        <v>102.258</v>
      </c>
      <c r="T754" s="63"/>
      <c r="AD754" s="57"/>
      <c r="AE754" s="57"/>
      <c r="AF754" s="57"/>
      <c r="AG754" s="57"/>
      <c r="AH754" s="57"/>
      <c r="AI754" s="57"/>
      <c r="AJ754" s="57"/>
      <c r="AK754" s="57"/>
      <c r="AL754" s="57"/>
      <c r="AM754" s="57"/>
      <c r="AN754" s="57"/>
      <c r="AO754" s="57"/>
    </row>
    <row r="755" spans="1:41">
      <c r="A755" s="55" t="s">
        <v>427</v>
      </c>
      <c r="B755" s="65" t="s">
        <v>355</v>
      </c>
      <c r="C755" s="79">
        <v>40.509</v>
      </c>
      <c r="D755" s="79">
        <v>31.898</v>
      </c>
      <c r="E755" s="79">
        <v>36.485999999999997</v>
      </c>
      <c r="F755" s="79">
        <v>53.177999999999997</v>
      </c>
      <c r="G755" s="79">
        <v>49.378999999999998</v>
      </c>
      <c r="H755" s="79">
        <v>46.902000000000001</v>
      </c>
      <c r="I755" s="79">
        <v>56.856999999999999</v>
      </c>
      <c r="J755" s="79">
        <v>69.039000000000001</v>
      </c>
      <c r="K755" s="79">
        <v>92.825000000000003</v>
      </c>
      <c r="L755" s="79">
        <v>108.848</v>
      </c>
      <c r="M755" s="79">
        <v>119.678</v>
      </c>
      <c r="N755" s="57">
        <v>151.17599999999999</v>
      </c>
      <c r="O755" s="57">
        <v>100</v>
      </c>
      <c r="P755" s="79">
        <v>129.02199999999999</v>
      </c>
      <c r="Q755" s="57">
        <v>169.001</v>
      </c>
      <c r="R755" s="57">
        <v>171.31</v>
      </c>
      <c r="S755" s="80">
        <v>164.87200000000001</v>
      </c>
      <c r="T755" s="63"/>
      <c r="AD755" s="57"/>
      <c r="AE755" s="57"/>
      <c r="AF755" s="57"/>
      <c r="AG755" s="57"/>
      <c r="AH755" s="57"/>
      <c r="AI755" s="57"/>
      <c r="AJ755" s="57"/>
      <c r="AK755" s="57"/>
      <c r="AL755" s="57"/>
      <c r="AM755" s="57"/>
      <c r="AN755" s="57"/>
      <c r="AO755" s="57"/>
    </row>
    <row r="756" spans="1:41">
      <c r="A756" s="55" t="s">
        <v>427</v>
      </c>
      <c r="B756" s="65" t="s">
        <v>356</v>
      </c>
      <c r="C756" s="79">
        <v>66.774000000000001</v>
      </c>
      <c r="D756" s="79">
        <v>66.784999999999997</v>
      </c>
      <c r="E756" s="79">
        <v>66.870999999999995</v>
      </c>
      <c r="F756" s="79">
        <v>70.63</v>
      </c>
      <c r="G756" s="79">
        <v>71.055999999999997</v>
      </c>
      <c r="H756" s="79">
        <v>70.971000000000004</v>
      </c>
      <c r="I756" s="79">
        <v>74.149000000000001</v>
      </c>
      <c r="J756" s="79">
        <v>78.634</v>
      </c>
      <c r="K756" s="79">
        <v>86.242999999999995</v>
      </c>
      <c r="L756" s="79">
        <v>91.34</v>
      </c>
      <c r="M756" s="79">
        <v>94.192999999999998</v>
      </c>
      <c r="N756" s="57">
        <v>105.21299999999999</v>
      </c>
      <c r="O756" s="57">
        <v>100</v>
      </c>
      <c r="P756" s="79">
        <v>107.512</v>
      </c>
      <c r="Q756" s="57">
        <v>119.233</v>
      </c>
      <c r="R756" s="57">
        <v>118.28100000000001</v>
      </c>
      <c r="S756" s="80">
        <v>119.256</v>
      </c>
      <c r="T756" s="63"/>
      <c r="AD756" s="57"/>
      <c r="AE756" s="57"/>
      <c r="AF756" s="57"/>
      <c r="AG756" s="57"/>
      <c r="AH756" s="57"/>
      <c r="AI756" s="57"/>
      <c r="AJ756" s="57"/>
      <c r="AK756" s="57"/>
      <c r="AL756" s="57"/>
      <c r="AM756" s="57"/>
      <c r="AN756" s="57"/>
      <c r="AO756" s="57"/>
    </row>
    <row r="757" spans="1:41">
      <c r="A757" s="55" t="s">
        <v>427</v>
      </c>
      <c r="B757" s="65" t="s">
        <v>357</v>
      </c>
      <c r="C757" s="79">
        <v>76.585999999999999</v>
      </c>
      <c r="D757" s="79">
        <v>76.058999999999997</v>
      </c>
      <c r="E757" s="79">
        <v>76.247</v>
      </c>
      <c r="F757" s="79">
        <v>78.054000000000002</v>
      </c>
      <c r="G757" s="79">
        <v>78.77</v>
      </c>
      <c r="H757" s="79">
        <v>78.616</v>
      </c>
      <c r="I757" s="79">
        <v>80.25</v>
      </c>
      <c r="J757" s="79">
        <v>82.369</v>
      </c>
      <c r="K757" s="79">
        <v>88.290999999999997</v>
      </c>
      <c r="L757" s="79">
        <v>93.909000000000006</v>
      </c>
      <c r="M757" s="79">
        <v>94.156000000000006</v>
      </c>
      <c r="N757" s="57">
        <v>100.6</v>
      </c>
      <c r="O757" s="57">
        <v>100</v>
      </c>
      <c r="P757" s="79">
        <v>102.783</v>
      </c>
      <c r="Q757" s="57">
        <v>109.227</v>
      </c>
      <c r="R757" s="57">
        <v>112.02</v>
      </c>
      <c r="S757" s="80">
        <v>114.18899999999999</v>
      </c>
      <c r="AD757" s="57"/>
      <c r="AE757" s="57"/>
      <c r="AF757" s="57"/>
      <c r="AG757" s="57"/>
      <c r="AH757" s="57"/>
      <c r="AI757" s="57"/>
      <c r="AJ757" s="57"/>
      <c r="AK757" s="57"/>
      <c r="AL757" s="57"/>
      <c r="AM757" s="57"/>
      <c r="AN757" s="57"/>
      <c r="AO757" s="57"/>
    </row>
    <row r="758" spans="1:41">
      <c r="A758" s="55" t="s">
        <v>427</v>
      </c>
      <c r="B758" s="65" t="s">
        <v>358</v>
      </c>
      <c r="C758" s="79">
        <v>84.15</v>
      </c>
      <c r="D758" s="79">
        <v>83.186000000000007</v>
      </c>
      <c r="E758" s="79">
        <v>83.349000000000004</v>
      </c>
      <c r="F758" s="79">
        <v>84.248000000000005</v>
      </c>
      <c r="G758" s="79">
        <v>82.581000000000003</v>
      </c>
      <c r="H758" s="79">
        <v>82.432000000000002</v>
      </c>
      <c r="I758" s="79">
        <v>82.272999999999996</v>
      </c>
      <c r="J758" s="79">
        <v>84.83</v>
      </c>
      <c r="K758" s="79">
        <v>87.168999999999997</v>
      </c>
      <c r="L758" s="79">
        <v>90.24</v>
      </c>
      <c r="M758" s="79">
        <v>92.337999999999994</v>
      </c>
      <c r="N758" s="57">
        <v>95.367999999999995</v>
      </c>
      <c r="O758" s="57">
        <v>100</v>
      </c>
      <c r="P758" s="79">
        <v>102.29</v>
      </c>
      <c r="Q758" s="57">
        <v>104.685</v>
      </c>
      <c r="R758" s="57">
        <v>107.306</v>
      </c>
      <c r="S758" s="80">
        <v>109.09099999999999</v>
      </c>
      <c r="AD758" s="57"/>
      <c r="AE758" s="57"/>
      <c r="AF758" s="57"/>
      <c r="AG758" s="57"/>
      <c r="AH758" s="57"/>
      <c r="AI758" s="57"/>
      <c r="AJ758" s="57"/>
      <c r="AK758" s="57"/>
      <c r="AL758" s="57"/>
      <c r="AM758" s="57"/>
      <c r="AN758" s="57"/>
      <c r="AO758" s="57"/>
    </row>
    <row r="759" spans="1:41">
      <c r="A759" s="55" t="s">
        <v>427</v>
      </c>
      <c r="B759" s="65" t="s">
        <v>359</v>
      </c>
      <c r="C759" s="79">
        <v>85.168999999999997</v>
      </c>
      <c r="D759" s="79">
        <v>84.641999999999996</v>
      </c>
      <c r="E759" s="79">
        <v>85.510999999999996</v>
      </c>
      <c r="F759" s="79">
        <v>87.369</v>
      </c>
      <c r="G759" s="79">
        <v>87.573999999999998</v>
      </c>
      <c r="H759" s="79">
        <v>87.602999999999994</v>
      </c>
      <c r="I759" s="79">
        <v>87.721999999999994</v>
      </c>
      <c r="J759" s="79">
        <v>89.662999999999997</v>
      </c>
      <c r="K759" s="79">
        <v>91.95</v>
      </c>
      <c r="L759" s="79">
        <v>94.811000000000007</v>
      </c>
      <c r="M759" s="79">
        <v>97.299000000000007</v>
      </c>
      <c r="N759" s="57">
        <v>99.606999999999999</v>
      </c>
      <c r="O759" s="57">
        <v>100</v>
      </c>
      <c r="P759" s="79">
        <v>101.018</v>
      </c>
      <c r="Q759" s="57">
        <v>102.997</v>
      </c>
      <c r="R759" s="57">
        <v>105.27500000000001</v>
      </c>
      <c r="S759" s="80">
        <v>106.93899999999999</v>
      </c>
      <c r="T759" s="63"/>
      <c r="AD759" s="57"/>
      <c r="AE759" s="57"/>
      <c r="AF759" s="57"/>
      <c r="AG759" s="57"/>
      <c r="AH759" s="57"/>
      <c r="AI759" s="57"/>
      <c r="AJ759" s="57"/>
      <c r="AK759" s="57"/>
      <c r="AL759" s="57"/>
      <c r="AM759" s="57"/>
      <c r="AN759" s="57"/>
      <c r="AO759" s="57"/>
    </row>
    <row r="760" spans="1:41">
      <c r="A760" s="55" t="s">
        <v>427</v>
      </c>
      <c r="B760" s="68" t="s">
        <v>438</v>
      </c>
      <c r="C760" s="79">
        <v>82.453999999999994</v>
      </c>
      <c r="D760" s="79">
        <v>82.911000000000001</v>
      </c>
      <c r="E760" s="79">
        <v>85.956999999999994</v>
      </c>
      <c r="F760" s="79">
        <v>87.861000000000004</v>
      </c>
      <c r="G760" s="79">
        <v>86.036000000000001</v>
      </c>
      <c r="H760" s="79">
        <v>92.356999999999999</v>
      </c>
      <c r="I760" s="79">
        <v>93.078000000000003</v>
      </c>
      <c r="J760" s="79">
        <v>93.063000000000002</v>
      </c>
      <c r="K760" s="79">
        <v>95.474000000000004</v>
      </c>
      <c r="L760" s="79">
        <v>99.384</v>
      </c>
      <c r="M760" s="79">
        <v>100.206</v>
      </c>
      <c r="N760" s="57">
        <v>98.861999999999995</v>
      </c>
      <c r="O760" s="57">
        <v>100</v>
      </c>
      <c r="P760" s="79">
        <v>103.23099999999999</v>
      </c>
      <c r="Q760" s="57">
        <v>105.7</v>
      </c>
      <c r="R760" s="57">
        <v>105.468</v>
      </c>
      <c r="S760" s="80">
        <v>103.962</v>
      </c>
      <c r="T760" s="63"/>
      <c r="AD760" s="57"/>
      <c r="AE760" s="57"/>
      <c r="AF760" s="57"/>
      <c r="AG760" s="57"/>
      <c r="AH760" s="57"/>
      <c r="AI760" s="57"/>
      <c r="AJ760" s="57"/>
      <c r="AK760" s="57"/>
      <c r="AL760" s="57"/>
      <c r="AM760" s="57"/>
      <c r="AN760" s="57"/>
      <c r="AO760" s="57"/>
    </row>
    <row r="761" spans="1:41">
      <c r="A761" s="55" t="s">
        <v>427</v>
      </c>
      <c r="B761" s="68" t="s">
        <v>439</v>
      </c>
      <c r="C761" s="79">
        <v>66.441999999999993</v>
      </c>
      <c r="D761" s="79">
        <v>67.372</v>
      </c>
      <c r="E761" s="79">
        <v>68.712999999999994</v>
      </c>
      <c r="F761" s="79">
        <v>70.456999999999994</v>
      </c>
      <c r="G761" s="79">
        <v>73.986999999999995</v>
      </c>
      <c r="H761" s="79">
        <v>75.552999999999997</v>
      </c>
      <c r="I761" s="79">
        <v>78.286000000000001</v>
      </c>
      <c r="J761" s="79">
        <v>81.97</v>
      </c>
      <c r="K761" s="79">
        <v>87.058999999999997</v>
      </c>
      <c r="L761" s="79">
        <v>89.805999999999997</v>
      </c>
      <c r="M761" s="79">
        <v>92.432000000000002</v>
      </c>
      <c r="N761" s="57">
        <v>98.132999999999996</v>
      </c>
      <c r="O761" s="57">
        <v>100</v>
      </c>
      <c r="P761" s="79">
        <v>97.680999999999997</v>
      </c>
      <c r="Q761" s="57">
        <v>102.57899999999999</v>
      </c>
      <c r="R761" s="57">
        <v>107.02</v>
      </c>
      <c r="S761" s="80">
        <v>109.64700000000001</v>
      </c>
      <c r="T761" s="63"/>
      <c r="AD761" s="57"/>
      <c r="AE761" s="57"/>
      <c r="AF761" s="57"/>
      <c r="AG761" s="57"/>
      <c r="AH761" s="57"/>
      <c r="AI761" s="57"/>
      <c r="AJ761" s="57"/>
      <c r="AK761" s="57"/>
      <c r="AL761" s="57"/>
      <c r="AM761" s="57"/>
      <c r="AN761" s="57"/>
      <c r="AO761" s="57"/>
    </row>
    <row r="762" spans="1:41">
      <c r="A762" s="55" t="s">
        <v>427</v>
      </c>
      <c r="B762" s="68" t="s">
        <v>440</v>
      </c>
      <c r="C762" s="79">
        <v>99.152000000000001</v>
      </c>
      <c r="D762" s="79">
        <v>98.906000000000006</v>
      </c>
      <c r="E762" s="79">
        <v>98.581999999999994</v>
      </c>
      <c r="F762" s="79">
        <v>98.603999999999999</v>
      </c>
      <c r="G762" s="79">
        <v>99.13</v>
      </c>
      <c r="H762" s="79">
        <v>96.978999999999999</v>
      </c>
      <c r="I762" s="79">
        <v>94.094999999999999</v>
      </c>
      <c r="J762" s="79">
        <v>96.355999999999995</v>
      </c>
      <c r="K762" s="79">
        <v>96.709000000000003</v>
      </c>
      <c r="L762" s="79">
        <v>98.200999999999993</v>
      </c>
      <c r="M762" s="79">
        <v>99.266999999999996</v>
      </c>
      <c r="N762" s="57">
        <v>102.852</v>
      </c>
      <c r="O762" s="57">
        <v>100</v>
      </c>
      <c r="P762" s="79">
        <v>106.70099999999999</v>
      </c>
      <c r="Q762" s="57">
        <v>107.97</v>
      </c>
      <c r="R762" s="57">
        <v>116.054</v>
      </c>
      <c r="S762" s="80">
        <v>117.111</v>
      </c>
      <c r="T762" s="63"/>
      <c r="AD762" s="57"/>
      <c r="AE762" s="57"/>
      <c r="AF762" s="57"/>
      <c r="AG762" s="57"/>
      <c r="AH762" s="57"/>
      <c r="AI762" s="57"/>
      <c r="AJ762" s="57"/>
      <c r="AK762" s="57"/>
      <c r="AL762" s="57"/>
      <c r="AM762" s="57"/>
      <c r="AN762" s="57"/>
      <c r="AO762" s="57"/>
    </row>
    <row r="763" spans="1:41">
      <c r="A763" s="55" t="s">
        <v>427</v>
      </c>
      <c r="B763" s="68" t="s">
        <v>441</v>
      </c>
      <c r="C763" s="79">
        <v>88.944999999999993</v>
      </c>
      <c r="D763" s="79">
        <v>87.385999999999996</v>
      </c>
      <c r="E763" s="79">
        <v>87.47</v>
      </c>
      <c r="F763" s="79">
        <v>89.772999999999996</v>
      </c>
      <c r="G763" s="79">
        <v>89.486000000000004</v>
      </c>
      <c r="H763" s="79">
        <v>87.257000000000005</v>
      </c>
      <c r="I763" s="79">
        <v>87.061999999999998</v>
      </c>
      <c r="J763" s="79">
        <v>89.058999999999997</v>
      </c>
      <c r="K763" s="79">
        <v>91.01</v>
      </c>
      <c r="L763" s="79">
        <v>93.936000000000007</v>
      </c>
      <c r="M763" s="79">
        <v>97.212999999999994</v>
      </c>
      <c r="N763" s="57">
        <v>99.254999999999995</v>
      </c>
      <c r="O763" s="57">
        <v>100</v>
      </c>
      <c r="P763" s="79">
        <v>99.697999999999993</v>
      </c>
      <c r="Q763" s="57">
        <v>100.91500000000001</v>
      </c>
      <c r="R763" s="57">
        <v>101.864</v>
      </c>
      <c r="S763" s="80">
        <v>104.381</v>
      </c>
      <c r="AD763" s="57"/>
      <c r="AE763" s="57"/>
      <c r="AF763" s="57"/>
      <c r="AG763" s="57"/>
      <c r="AH763" s="57"/>
      <c r="AI763" s="57"/>
      <c r="AJ763" s="57"/>
      <c r="AK763" s="57"/>
      <c r="AL763" s="57"/>
      <c r="AM763" s="57"/>
      <c r="AN763" s="57"/>
      <c r="AO763" s="57"/>
    </row>
    <row r="764" spans="1:41">
      <c r="A764" s="55" t="s">
        <v>427</v>
      </c>
      <c r="B764" s="65" t="s">
        <v>360</v>
      </c>
      <c r="C764" s="79">
        <v>70.063000000000002</v>
      </c>
      <c r="D764" s="79">
        <v>70.59</v>
      </c>
      <c r="E764" s="79">
        <v>72.703999999999994</v>
      </c>
      <c r="F764" s="79">
        <v>77.488</v>
      </c>
      <c r="G764" s="79">
        <v>80.381</v>
      </c>
      <c r="H764" s="79">
        <v>81.710999999999999</v>
      </c>
      <c r="I764" s="79">
        <v>83.986999999999995</v>
      </c>
      <c r="J764" s="79">
        <v>86.600999999999999</v>
      </c>
      <c r="K764" s="79">
        <v>90.995999999999995</v>
      </c>
      <c r="L764" s="79">
        <v>94.866</v>
      </c>
      <c r="M764" s="79">
        <v>97.638999999999996</v>
      </c>
      <c r="N764" s="57">
        <v>104.536</v>
      </c>
      <c r="O764" s="57">
        <v>100</v>
      </c>
      <c r="P764" s="79">
        <v>104.012</v>
      </c>
      <c r="Q764" s="57">
        <v>109.867</v>
      </c>
      <c r="R764" s="57">
        <v>112.95</v>
      </c>
      <c r="S764" s="80">
        <v>114.78400000000001</v>
      </c>
      <c r="T764" s="63"/>
      <c r="AD764" s="57"/>
      <c r="AE764" s="57"/>
      <c r="AF764" s="57"/>
      <c r="AG764" s="57"/>
      <c r="AH764" s="57"/>
      <c r="AI764" s="57"/>
      <c r="AJ764" s="57"/>
      <c r="AK764" s="57"/>
      <c r="AL764" s="57"/>
      <c r="AM764" s="57"/>
      <c r="AN764" s="57"/>
      <c r="AO764" s="57"/>
    </row>
    <row r="765" spans="1:41">
      <c r="A765" s="55" t="s">
        <v>427</v>
      </c>
      <c r="B765" s="65" t="s">
        <v>361</v>
      </c>
      <c r="C765" s="79">
        <v>62.774000000000001</v>
      </c>
      <c r="D765" s="79">
        <v>62.634999999999998</v>
      </c>
      <c r="E765" s="79">
        <v>65.78</v>
      </c>
      <c r="F765" s="79">
        <v>76.084999999999994</v>
      </c>
      <c r="G765" s="79">
        <v>81.878</v>
      </c>
      <c r="H765" s="79">
        <v>83.4</v>
      </c>
      <c r="I765" s="79">
        <v>85.12</v>
      </c>
      <c r="J765" s="79">
        <v>85.837999999999994</v>
      </c>
      <c r="K765" s="79">
        <v>91.248999999999995</v>
      </c>
      <c r="L765" s="79">
        <v>96.47</v>
      </c>
      <c r="M765" s="79">
        <v>98.784000000000006</v>
      </c>
      <c r="N765" s="57">
        <v>108.833</v>
      </c>
      <c r="O765" s="57">
        <v>100</v>
      </c>
      <c r="P765" s="79">
        <v>107.41800000000001</v>
      </c>
      <c r="Q765" s="57">
        <v>117.339</v>
      </c>
      <c r="R765" s="57">
        <v>122.47799999999999</v>
      </c>
      <c r="S765" s="80">
        <v>122.709</v>
      </c>
      <c r="T765" s="63"/>
      <c r="AD765" s="57"/>
      <c r="AE765" s="57"/>
      <c r="AF765" s="57"/>
      <c r="AG765" s="57"/>
      <c r="AH765" s="57"/>
      <c r="AI765" s="57"/>
      <c r="AJ765" s="57"/>
      <c r="AK765" s="57"/>
      <c r="AL765" s="57"/>
      <c r="AM765" s="57"/>
      <c r="AN765" s="57"/>
      <c r="AO765" s="57"/>
    </row>
    <row r="766" spans="1:41">
      <c r="A766" s="55" t="s">
        <v>427</v>
      </c>
      <c r="B766" s="65" t="s">
        <v>362</v>
      </c>
      <c r="C766" s="79">
        <v>67.837999999999994</v>
      </c>
      <c r="D766" s="79">
        <v>68.706999999999994</v>
      </c>
      <c r="E766" s="79">
        <v>68.7</v>
      </c>
      <c r="F766" s="79">
        <v>69.697000000000003</v>
      </c>
      <c r="G766" s="79">
        <v>71.082999999999998</v>
      </c>
      <c r="H766" s="79">
        <v>72.634</v>
      </c>
      <c r="I766" s="79">
        <v>73.661000000000001</v>
      </c>
      <c r="J766" s="79">
        <v>76.388999999999996</v>
      </c>
      <c r="K766" s="79">
        <v>83.912000000000006</v>
      </c>
      <c r="L766" s="79">
        <v>91.040999999999997</v>
      </c>
      <c r="M766" s="79">
        <v>94.436000000000007</v>
      </c>
      <c r="N766" s="57">
        <v>105.21</v>
      </c>
      <c r="O766" s="57">
        <v>100</v>
      </c>
      <c r="P766" s="79">
        <v>104.776</v>
      </c>
      <c r="Q766" s="57">
        <v>113.289</v>
      </c>
      <c r="R766" s="57">
        <v>118.256</v>
      </c>
      <c r="S766" s="80">
        <v>121.96</v>
      </c>
      <c r="T766" s="63"/>
      <c r="AD766" s="57"/>
      <c r="AE766" s="57"/>
      <c r="AF766" s="57"/>
      <c r="AG766" s="57"/>
      <c r="AH766" s="57"/>
      <c r="AI766" s="57"/>
      <c r="AJ766" s="57"/>
      <c r="AK766" s="57"/>
      <c r="AL766" s="57"/>
      <c r="AM766" s="57"/>
      <c r="AN766" s="57"/>
      <c r="AO766" s="57"/>
    </row>
    <row r="767" spans="1:41">
      <c r="A767" s="55" t="s">
        <v>427</v>
      </c>
      <c r="B767" s="65" t="s">
        <v>363</v>
      </c>
      <c r="C767" s="79">
        <v>72.241</v>
      </c>
      <c r="D767" s="79">
        <v>74.753</v>
      </c>
      <c r="E767" s="79">
        <v>82.066000000000003</v>
      </c>
      <c r="F767" s="79">
        <v>88.47</v>
      </c>
      <c r="G767" s="79">
        <v>91.793999999999997</v>
      </c>
      <c r="H767" s="79">
        <v>95.271000000000001</v>
      </c>
      <c r="I767" s="79">
        <v>103.613</v>
      </c>
      <c r="J767" s="79">
        <v>105.021</v>
      </c>
      <c r="K767" s="79">
        <v>107.35299999999999</v>
      </c>
      <c r="L767" s="79">
        <v>107.855</v>
      </c>
      <c r="M767" s="79">
        <v>106.79600000000001</v>
      </c>
      <c r="N767" s="57">
        <v>115.601</v>
      </c>
      <c r="O767" s="57">
        <v>100</v>
      </c>
      <c r="P767" s="79">
        <v>108.88200000000001</v>
      </c>
      <c r="Q767" s="57">
        <v>111.69499999999999</v>
      </c>
      <c r="R767" s="57">
        <v>109.78</v>
      </c>
      <c r="S767" s="80">
        <v>109.49299999999999</v>
      </c>
      <c r="T767" s="63"/>
      <c r="AD767" s="57"/>
      <c r="AE767" s="57"/>
      <c r="AF767" s="57"/>
      <c r="AG767" s="57"/>
      <c r="AH767" s="57"/>
      <c r="AI767" s="57"/>
      <c r="AJ767" s="57"/>
      <c r="AK767" s="57"/>
      <c r="AL767" s="57"/>
      <c r="AM767" s="57"/>
      <c r="AN767" s="57"/>
      <c r="AO767" s="57"/>
    </row>
    <row r="768" spans="1:41">
      <c r="A768" s="55" t="s">
        <v>427</v>
      </c>
      <c r="B768" s="65" t="s">
        <v>364</v>
      </c>
      <c r="C768" s="79">
        <v>72.203999999999994</v>
      </c>
      <c r="D768" s="79">
        <v>73.768000000000001</v>
      </c>
      <c r="E768" s="79">
        <v>75.756</v>
      </c>
      <c r="F768" s="79">
        <v>78.905000000000001</v>
      </c>
      <c r="G768" s="79">
        <v>81.132999999999996</v>
      </c>
      <c r="H768" s="79">
        <v>82.245999999999995</v>
      </c>
      <c r="I768" s="79">
        <v>84.525999999999996</v>
      </c>
      <c r="J768" s="79">
        <v>87.792000000000002</v>
      </c>
      <c r="K768" s="79">
        <v>92.748000000000005</v>
      </c>
      <c r="L768" s="79">
        <v>96.323999999999998</v>
      </c>
      <c r="M768" s="79">
        <v>98.275000000000006</v>
      </c>
      <c r="N768" s="57">
        <v>104.69799999999999</v>
      </c>
      <c r="O768" s="57">
        <v>100</v>
      </c>
      <c r="P768" s="79">
        <v>101.751</v>
      </c>
      <c r="Q768" s="57">
        <v>107.56100000000001</v>
      </c>
      <c r="R768" s="57">
        <v>111.18</v>
      </c>
      <c r="S768" s="80">
        <v>112.745</v>
      </c>
      <c r="T768" s="63"/>
      <c r="AD768" s="57"/>
      <c r="AE768" s="57"/>
      <c r="AF768" s="57"/>
      <c r="AG768" s="57"/>
      <c r="AH768" s="57"/>
      <c r="AI768" s="57"/>
      <c r="AJ768" s="57"/>
      <c r="AK768" s="57"/>
      <c r="AL768" s="57"/>
      <c r="AM768" s="57"/>
      <c r="AN768" s="57"/>
      <c r="AO768" s="57"/>
    </row>
    <row r="769" spans="1:41">
      <c r="A769" s="55" t="s">
        <v>427</v>
      </c>
      <c r="B769" s="65" t="s">
        <v>365</v>
      </c>
      <c r="C769" s="79">
        <v>67.513000000000005</v>
      </c>
      <c r="D769" s="79">
        <v>68.081999999999994</v>
      </c>
      <c r="E769" s="79">
        <v>68.156000000000006</v>
      </c>
      <c r="F769" s="79">
        <v>69.986999999999995</v>
      </c>
      <c r="G769" s="79">
        <v>72.156999999999996</v>
      </c>
      <c r="H769" s="79">
        <v>73.968000000000004</v>
      </c>
      <c r="I769" s="79">
        <v>78.265000000000001</v>
      </c>
      <c r="J769" s="79">
        <v>82.27</v>
      </c>
      <c r="K769" s="79">
        <v>85.727999999999994</v>
      </c>
      <c r="L769" s="79">
        <v>89.944000000000003</v>
      </c>
      <c r="M769" s="79">
        <v>91.331999999999994</v>
      </c>
      <c r="N769" s="57">
        <v>95.882000000000005</v>
      </c>
      <c r="O769" s="57">
        <v>100</v>
      </c>
      <c r="P769" s="79">
        <v>104.30800000000001</v>
      </c>
      <c r="Q769" s="57">
        <v>109.49299999999999</v>
      </c>
      <c r="R769" s="57">
        <v>113.07299999999999</v>
      </c>
      <c r="S769" s="80">
        <v>117.56100000000001</v>
      </c>
      <c r="T769" s="63"/>
      <c r="AD769" s="57"/>
      <c r="AE769" s="57"/>
      <c r="AF769" s="57"/>
      <c r="AG769" s="57"/>
      <c r="AH769" s="57"/>
      <c r="AI769" s="57"/>
      <c r="AJ769" s="57"/>
      <c r="AK769" s="57"/>
      <c r="AL769" s="57"/>
      <c r="AM769" s="57"/>
      <c r="AN769" s="57"/>
      <c r="AO769" s="57"/>
    </row>
    <row r="770" spans="1:41">
      <c r="A770" s="55" t="s">
        <v>427</v>
      </c>
      <c r="B770" s="65" t="s">
        <v>366</v>
      </c>
      <c r="C770" s="79">
        <v>74.311000000000007</v>
      </c>
      <c r="D770" s="79">
        <v>71.492999999999995</v>
      </c>
      <c r="E770" s="79">
        <v>70.772000000000006</v>
      </c>
      <c r="F770" s="79">
        <v>73.370999999999995</v>
      </c>
      <c r="G770" s="79">
        <v>75.540000000000006</v>
      </c>
      <c r="H770" s="79">
        <v>76.548000000000002</v>
      </c>
      <c r="I770" s="79">
        <v>78.102000000000004</v>
      </c>
      <c r="J770" s="79">
        <v>81.48</v>
      </c>
      <c r="K770" s="79">
        <v>84.64</v>
      </c>
      <c r="L770" s="79">
        <v>91.069000000000003</v>
      </c>
      <c r="M770" s="79">
        <v>95.650999999999996</v>
      </c>
      <c r="N770" s="57">
        <v>101.139</v>
      </c>
      <c r="O770" s="57">
        <v>100</v>
      </c>
      <c r="P770" s="79">
        <v>108.113</v>
      </c>
      <c r="Q770" s="57">
        <v>112.70099999999999</v>
      </c>
      <c r="R770" s="57">
        <v>114.85299999999999</v>
      </c>
      <c r="S770" s="80">
        <v>121.742</v>
      </c>
      <c r="T770" s="63"/>
      <c r="AD770" s="57"/>
      <c r="AE770" s="57"/>
      <c r="AF770" s="57"/>
      <c r="AG770" s="57"/>
      <c r="AH770" s="57"/>
      <c r="AI770" s="57"/>
      <c r="AJ770" s="57"/>
      <c r="AK770" s="57"/>
      <c r="AL770" s="57"/>
      <c r="AM770" s="57"/>
      <c r="AN770" s="57"/>
      <c r="AO770" s="57"/>
    </row>
    <row r="771" spans="1:41">
      <c r="A771" s="55" t="s">
        <v>427</v>
      </c>
      <c r="B771" s="65" t="s">
        <v>367</v>
      </c>
      <c r="C771" s="79">
        <v>70.856999999999999</v>
      </c>
      <c r="D771" s="79">
        <v>70.450999999999993</v>
      </c>
      <c r="E771" s="79">
        <v>72.384</v>
      </c>
      <c r="F771" s="79">
        <v>76.802000000000007</v>
      </c>
      <c r="G771" s="79">
        <v>79.070999999999998</v>
      </c>
      <c r="H771" s="79">
        <v>80.102999999999994</v>
      </c>
      <c r="I771" s="79">
        <v>82.117000000000004</v>
      </c>
      <c r="J771" s="79">
        <v>85.634</v>
      </c>
      <c r="K771" s="79">
        <v>89.311999999999998</v>
      </c>
      <c r="L771" s="79">
        <v>92.658000000000001</v>
      </c>
      <c r="M771" s="79">
        <v>97.17</v>
      </c>
      <c r="N771" s="57">
        <v>102.29</v>
      </c>
      <c r="O771" s="57">
        <v>100</v>
      </c>
      <c r="P771" s="79">
        <v>104.52</v>
      </c>
      <c r="Q771" s="57">
        <v>110.816</v>
      </c>
      <c r="R771" s="57">
        <v>114.68</v>
      </c>
      <c r="S771" s="80">
        <v>118.36499999999999</v>
      </c>
      <c r="T771" s="63"/>
      <c r="AD771" s="57"/>
      <c r="AE771" s="57"/>
      <c r="AF771" s="57"/>
      <c r="AG771" s="57"/>
      <c r="AH771" s="57"/>
      <c r="AI771" s="57"/>
      <c r="AJ771" s="57"/>
      <c r="AK771" s="57"/>
      <c r="AL771" s="57"/>
      <c r="AM771" s="57"/>
      <c r="AN771" s="57"/>
      <c r="AO771" s="57"/>
    </row>
    <row r="772" spans="1:41">
      <c r="A772" s="55" t="s">
        <v>427</v>
      </c>
      <c r="B772" s="65" t="s">
        <v>368</v>
      </c>
      <c r="C772" s="79">
        <v>80.787000000000006</v>
      </c>
      <c r="D772" s="79">
        <v>81.778999999999996</v>
      </c>
      <c r="E772" s="79">
        <v>83.661000000000001</v>
      </c>
      <c r="F772" s="79">
        <v>85.141999999999996</v>
      </c>
      <c r="G772" s="79">
        <v>86.933999999999997</v>
      </c>
      <c r="H772" s="79">
        <v>88.013999999999996</v>
      </c>
      <c r="I772" s="79">
        <v>89.158000000000001</v>
      </c>
      <c r="J772" s="79">
        <v>89.811000000000007</v>
      </c>
      <c r="K772" s="79">
        <v>90.212000000000003</v>
      </c>
      <c r="L772" s="79">
        <v>91.022999999999996</v>
      </c>
      <c r="M772" s="79">
        <v>95.649000000000001</v>
      </c>
      <c r="N772" s="57">
        <v>99.460999999999999</v>
      </c>
      <c r="O772" s="57">
        <v>100</v>
      </c>
      <c r="P772" s="79">
        <v>98.491</v>
      </c>
      <c r="Q772" s="57">
        <v>96.741</v>
      </c>
      <c r="R772" s="57">
        <v>94.697000000000003</v>
      </c>
      <c r="S772" s="80">
        <v>93.484999999999999</v>
      </c>
      <c r="AD772" s="57"/>
      <c r="AE772" s="57"/>
      <c r="AF772" s="57"/>
      <c r="AG772" s="57"/>
      <c r="AH772" s="57"/>
      <c r="AI772" s="57"/>
      <c r="AJ772" s="57"/>
      <c r="AK772" s="57"/>
      <c r="AL772" s="57"/>
      <c r="AM772" s="57"/>
      <c r="AN772" s="57"/>
      <c r="AO772" s="57"/>
    </row>
    <row r="773" spans="1:41">
      <c r="A773" s="55" t="s">
        <v>427</v>
      </c>
      <c r="B773" s="65" t="s">
        <v>369</v>
      </c>
      <c r="C773" s="79">
        <v>98.061000000000007</v>
      </c>
      <c r="D773" s="79">
        <v>98.355000000000004</v>
      </c>
      <c r="E773" s="79">
        <v>98.838999999999999</v>
      </c>
      <c r="F773" s="79">
        <v>99.316999999999993</v>
      </c>
      <c r="G773" s="79">
        <v>99.760999999999996</v>
      </c>
      <c r="H773" s="79">
        <v>99.494</v>
      </c>
      <c r="I773" s="79">
        <v>99.953000000000003</v>
      </c>
      <c r="J773" s="79">
        <v>99.980999999999995</v>
      </c>
      <c r="K773" s="79">
        <v>99.617000000000004</v>
      </c>
      <c r="L773" s="79">
        <v>100.032</v>
      </c>
      <c r="M773" s="79">
        <v>99.602000000000004</v>
      </c>
      <c r="N773" s="57">
        <v>99.957999999999998</v>
      </c>
      <c r="O773" s="57">
        <v>100</v>
      </c>
      <c r="P773" s="79">
        <v>99.903999999999996</v>
      </c>
      <c r="Q773" s="57">
        <v>100.105</v>
      </c>
      <c r="R773" s="57">
        <v>100.538</v>
      </c>
      <c r="S773" s="80">
        <v>101.28400000000001</v>
      </c>
      <c r="T773" s="63"/>
      <c r="AD773" s="57"/>
      <c r="AE773" s="57"/>
      <c r="AF773" s="57"/>
      <c r="AG773" s="57"/>
      <c r="AH773" s="57"/>
      <c r="AI773" s="57"/>
      <c r="AJ773" s="57"/>
      <c r="AK773" s="57"/>
      <c r="AL773" s="57"/>
      <c r="AM773" s="57"/>
      <c r="AN773" s="57"/>
      <c r="AO773" s="57"/>
    </row>
    <row r="774" spans="1:41">
      <c r="A774" s="55" t="s">
        <v>427</v>
      </c>
      <c r="B774" s="65" t="s">
        <v>442</v>
      </c>
      <c r="C774" s="79">
        <v>83.804000000000002</v>
      </c>
      <c r="D774" s="79">
        <v>85.606999999999999</v>
      </c>
      <c r="E774" s="79">
        <v>87.605999999999995</v>
      </c>
      <c r="F774" s="79">
        <v>89.772000000000006</v>
      </c>
      <c r="G774" s="79">
        <v>91.683000000000007</v>
      </c>
      <c r="H774" s="79">
        <v>92.316999999999993</v>
      </c>
      <c r="I774" s="79">
        <v>93.216999999999999</v>
      </c>
      <c r="J774" s="79">
        <v>92.962999999999994</v>
      </c>
      <c r="K774" s="79">
        <v>94.506</v>
      </c>
      <c r="L774" s="79">
        <v>96.997</v>
      </c>
      <c r="M774" s="79">
        <v>97.701999999999998</v>
      </c>
      <c r="N774" s="57">
        <v>99.41</v>
      </c>
      <c r="O774" s="57">
        <v>100</v>
      </c>
      <c r="P774" s="79">
        <v>99.328999999999994</v>
      </c>
      <c r="Q774" s="57">
        <v>100.065</v>
      </c>
      <c r="R774" s="57">
        <v>100.396</v>
      </c>
      <c r="S774" s="80">
        <v>101.377</v>
      </c>
      <c r="T774" s="63"/>
      <c r="AD774" s="57"/>
      <c r="AE774" s="57"/>
      <c r="AF774" s="57"/>
      <c r="AG774" s="57"/>
      <c r="AH774" s="57"/>
      <c r="AI774" s="57"/>
      <c r="AJ774" s="57"/>
      <c r="AK774" s="57"/>
      <c r="AL774" s="57"/>
      <c r="AM774" s="57"/>
      <c r="AN774" s="57"/>
      <c r="AO774" s="57"/>
    </row>
    <row r="775" spans="1:41">
      <c r="A775" s="55" t="s">
        <v>427</v>
      </c>
      <c r="B775" s="65" t="s">
        <v>371</v>
      </c>
      <c r="C775" s="79">
        <v>78.238</v>
      </c>
      <c r="D775" s="79">
        <v>79.213999999999999</v>
      </c>
      <c r="E775" s="79">
        <v>82.748000000000005</v>
      </c>
      <c r="F775" s="79">
        <v>86.430999999999997</v>
      </c>
      <c r="G775" s="79">
        <v>89.201999999999998</v>
      </c>
      <c r="H775" s="79">
        <v>90.683000000000007</v>
      </c>
      <c r="I775" s="79">
        <v>90.421000000000006</v>
      </c>
      <c r="J775" s="79">
        <v>92.495999999999995</v>
      </c>
      <c r="K775" s="79">
        <v>94.614000000000004</v>
      </c>
      <c r="L775" s="79">
        <v>96.507000000000005</v>
      </c>
      <c r="M775" s="79">
        <v>98.114000000000004</v>
      </c>
      <c r="N775" s="57">
        <v>99.875</v>
      </c>
      <c r="O775" s="57">
        <v>100</v>
      </c>
      <c r="P775" s="79">
        <v>100.251</v>
      </c>
      <c r="Q775" s="57">
        <v>100.492</v>
      </c>
      <c r="R775" s="57">
        <v>101.23</v>
      </c>
      <c r="S775" s="80">
        <v>101.86799999999999</v>
      </c>
      <c r="T775" s="63"/>
      <c r="AD775" s="57"/>
      <c r="AE775" s="57"/>
      <c r="AF775" s="57"/>
      <c r="AG775" s="57"/>
      <c r="AH775" s="57"/>
      <c r="AI775" s="57"/>
      <c r="AJ775" s="57"/>
      <c r="AK775" s="57"/>
      <c r="AL775" s="57"/>
      <c r="AM775" s="57"/>
      <c r="AN775" s="57"/>
      <c r="AO775" s="57"/>
    </row>
    <row r="776" spans="1:41">
      <c r="A776" s="55" t="s">
        <v>427</v>
      </c>
      <c r="B776" s="65" t="s">
        <v>372</v>
      </c>
      <c r="C776" s="79">
        <v>111.504</v>
      </c>
      <c r="D776" s="79">
        <v>110.426</v>
      </c>
      <c r="E776" s="79">
        <v>108.992</v>
      </c>
      <c r="F776" s="79">
        <v>107.547</v>
      </c>
      <c r="G776" s="79">
        <v>106.562</v>
      </c>
      <c r="H776" s="79">
        <v>105.334</v>
      </c>
      <c r="I776" s="79">
        <v>105.79600000000001</v>
      </c>
      <c r="J776" s="79">
        <v>105.598</v>
      </c>
      <c r="K776" s="79">
        <v>103.405</v>
      </c>
      <c r="L776" s="79">
        <v>102.252</v>
      </c>
      <c r="M776" s="79">
        <v>100.958</v>
      </c>
      <c r="N776" s="57">
        <v>100.304</v>
      </c>
      <c r="O776" s="57">
        <v>100</v>
      </c>
      <c r="P776" s="79">
        <v>100.08199999999999</v>
      </c>
      <c r="Q776" s="57">
        <v>100.02800000000001</v>
      </c>
      <c r="R776" s="57">
        <v>100.47799999999999</v>
      </c>
      <c r="S776" s="80">
        <v>101.307</v>
      </c>
      <c r="T776" s="63"/>
      <c r="AD776" s="57"/>
      <c r="AE776" s="57"/>
      <c r="AF776" s="57"/>
      <c r="AG776" s="57"/>
      <c r="AH776" s="57"/>
      <c r="AI776" s="57"/>
      <c r="AJ776" s="57"/>
      <c r="AK776" s="57"/>
      <c r="AL776" s="57"/>
      <c r="AM776" s="57"/>
      <c r="AN776" s="57"/>
      <c r="AO776" s="57"/>
    </row>
    <row r="777" spans="1:41">
      <c r="A777" s="55" t="s">
        <v>427</v>
      </c>
      <c r="B777" s="65" t="s">
        <v>443</v>
      </c>
      <c r="C777" s="79">
        <v>91.692999999999998</v>
      </c>
      <c r="D777" s="79">
        <v>93.566999999999993</v>
      </c>
      <c r="E777" s="79">
        <v>95.122</v>
      </c>
      <c r="F777" s="79">
        <v>96.695999999999998</v>
      </c>
      <c r="G777" s="79">
        <v>97.811000000000007</v>
      </c>
      <c r="H777" s="79">
        <v>98.099000000000004</v>
      </c>
      <c r="I777" s="79">
        <v>98.222999999999999</v>
      </c>
      <c r="J777" s="79">
        <v>97.363</v>
      </c>
      <c r="K777" s="79">
        <v>98.450999999999993</v>
      </c>
      <c r="L777" s="79">
        <v>99.950999999999993</v>
      </c>
      <c r="M777" s="79">
        <v>98.784000000000006</v>
      </c>
      <c r="N777" s="57">
        <v>99.534999999999997</v>
      </c>
      <c r="O777" s="57">
        <v>100</v>
      </c>
      <c r="P777" s="79">
        <v>99.903000000000006</v>
      </c>
      <c r="Q777" s="57">
        <v>100.212</v>
      </c>
      <c r="R777" s="57">
        <v>100.501</v>
      </c>
      <c r="S777" s="80">
        <v>100.583</v>
      </c>
      <c r="AD777" s="57"/>
      <c r="AE777" s="57"/>
      <c r="AF777" s="57"/>
      <c r="AG777" s="57"/>
      <c r="AH777" s="57"/>
      <c r="AI777" s="57"/>
      <c r="AJ777" s="57"/>
      <c r="AK777" s="57"/>
      <c r="AL777" s="57"/>
      <c r="AM777" s="57"/>
      <c r="AN777" s="57"/>
      <c r="AO777" s="57"/>
    </row>
    <row r="778" spans="1:41">
      <c r="A778" s="55" t="s">
        <v>427</v>
      </c>
      <c r="B778" s="65" t="s">
        <v>374</v>
      </c>
      <c r="C778" s="79">
        <v>82.177999999999997</v>
      </c>
      <c r="D778" s="79">
        <v>83.084999999999994</v>
      </c>
      <c r="E778" s="79">
        <v>83.653000000000006</v>
      </c>
      <c r="F778" s="79">
        <v>85.334000000000003</v>
      </c>
      <c r="G778" s="79">
        <v>86.411000000000001</v>
      </c>
      <c r="H778" s="79">
        <v>88.484999999999999</v>
      </c>
      <c r="I778" s="79">
        <v>90.623999999999995</v>
      </c>
      <c r="J778" s="79">
        <v>93.055000000000007</v>
      </c>
      <c r="K778" s="79">
        <v>95.408000000000001</v>
      </c>
      <c r="L778" s="79">
        <v>97.929000000000002</v>
      </c>
      <c r="M778" s="79">
        <v>100.072</v>
      </c>
      <c r="N778" s="57">
        <v>101.741</v>
      </c>
      <c r="O778" s="57">
        <v>100</v>
      </c>
      <c r="P778" s="79">
        <v>101.21599999999999</v>
      </c>
      <c r="Q778" s="57">
        <v>102.672</v>
      </c>
      <c r="R778" s="57">
        <v>104.857</v>
      </c>
      <c r="S778" s="80">
        <v>106.965</v>
      </c>
      <c r="AD778" s="57"/>
      <c r="AE778" s="57"/>
      <c r="AF778" s="57"/>
      <c r="AG778" s="57"/>
      <c r="AH778" s="57"/>
      <c r="AI778" s="57"/>
      <c r="AJ778" s="57"/>
      <c r="AK778" s="57"/>
      <c r="AL778" s="57"/>
      <c r="AM778" s="57"/>
      <c r="AN778" s="57"/>
      <c r="AO778" s="57"/>
    </row>
    <row r="779" spans="1:41">
      <c r="A779" s="55" t="s">
        <v>427</v>
      </c>
      <c r="B779" s="65" t="s">
        <v>375</v>
      </c>
      <c r="C779" s="79">
        <v>92.7</v>
      </c>
      <c r="D779" s="79">
        <v>92.451999999999998</v>
      </c>
      <c r="E779" s="79">
        <v>90.852999999999994</v>
      </c>
      <c r="F779" s="79">
        <v>91.316000000000003</v>
      </c>
      <c r="G779" s="79">
        <v>90.575000000000003</v>
      </c>
      <c r="H779" s="79">
        <v>92.001999999999995</v>
      </c>
      <c r="I779" s="79">
        <v>94.391999999999996</v>
      </c>
      <c r="J779" s="79">
        <v>97.091999999999999</v>
      </c>
      <c r="K779" s="79">
        <v>99.27</v>
      </c>
      <c r="L779" s="79">
        <v>101.223</v>
      </c>
      <c r="M779" s="79">
        <v>103.67</v>
      </c>
      <c r="N779" s="57">
        <v>105.027</v>
      </c>
      <c r="O779" s="57">
        <v>100</v>
      </c>
      <c r="P779" s="79">
        <v>102.974</v>
      </c>
      <c r="Q779" s="57">
        <v>104.876</v>
      </c>
      <c r="R779" s="57">
        <v>107.694</v>
      </c>
      <c r="S779" s="80">
        <v>109.627</v>
      </c>
      <c r="T779" s="63"/>
      <c r="AD779" s="57"/>
      <c r="AE779" s="57"/>
      <c r="AF779" s="57"/>
      <c r="AG779" s="57"/>
      <c r="AH779" s="57"/>
      <c r="AI779" s="57"/>
      <c r="AJ779" s="57"/>
      <c r="AK779" s="57"/>
      <c r="AL779" s="57"/>
      <c r="AM779" s="57"/>
      <c r="AN779" s="57"/>
      <c r="AO779" s="57"/>
    </row>
    <row r="780" spans="1:41">
      <c r="A780" s="55" t="s">
        <v>427</v>
      </c>
      <c r="B780" s="65" t="s">
        <v>376</v>
      </c>
      <c r="C780" s="79">
        <v>94.828999999999994</v>
      </c>
      <c r="D780" s="79">
        <v>94.11</v>
      </c>
      <c r="E780" s="79">
        <v>92.350999999999999</v>
      </c>
      <c r="F780" s="79">
        <v>96.248000000000005</v>
      </c>
      <c r="G780" s="79">
        <v>96.462000000000003</v>
      </c>
      <c r="H780" s="79">
        <v>98.16</v>
      </c>
      <c r="I780" s="79">
        <v>100.57299999999999</v>
      </c>
      <c r="J780" s="79">
        <v>103.17100000000001</v>
      </c>
      <c r="K780" s="79">
        <v>105.20099999999999</v>
      </c>
      <c r="L780" s="79">
        <v>107.952</v>
      </c>
      <c r="M780" s="79">
        <v>110.14700000000001</v>
      </c>
      <c r="N780" s="57">
        <v>111.29600000000001</v>
      </c>
      <c r="O780" s="57">
        <v>100</v>
      </c>
      <c r="P780" s="79">
        <v>104.515</v>
      </c>
      <c r="Q780" s="57">
        <v>105.768</v>
      </c>
      <c r="R780" s="57">
        <v>110.996</v>
      </c>
      <c r="S780" s="80">
        <v>114.758</v>
      </c>
      <c r="T780" s="63"/>
      <c r="AD780" s="57"/>
      <c r="AE780" s="57"/>
      <c r="AF780" s="57"/>
      <c r="AG780" s="57"/>
      <c r="AH780" s="57"/>
      <c r="AI780" s="57"/>
      <c r="AJ780" s="57"/>
      <c r="AK780" s="57"/>
      <c r="AL780" s="57"/>
      <c r="AM780" s="57"/>
      <c r="AN780" s="57"/>
      <c r="AO780" s="57"/>
    </row>
    <row r="781" spans="1:41">
      <c r="A781" s="55" t="s">
        <v>427</v>
      </c>
      <c r="B781" s="65" t="s">
        <v>377</v>
      </c>
      <c r="C781" s="79">
        <v>108.889</v>
      </c>
      <c r="D781" s="79">
        <v>106.226</v>
      </c>
      <c r="E781" s="79">
        <v>100.148</v>
      </c>
      <c r="F781" s="79">
        <v>93.171000000000006</v>
      </c>
      <c r="G781" s="79">
        <v>87.049000000000007</v>
      </c>
      <c r="H781" s="79">
        <v>86.328000000000003</v>
      </c>
      <c r="I781" s="79">
        <v>87.462999999999994</v>
      </c>
      <c r="J781" s="79">
        <v>90.736000000000004</v>
      </c>
      <c r="K781" s="79">
        <v>93.721999999999994</v>
      </c>
      <c r="L781" s="79">
        <v>95.632000000000005</v>
      </c>
      <c r="M781" s="79">
        <v>100.81</v>
      </c>
      <c r="N781" s="57">
        <v>104.699</v>
      </c>
      <c r="O781" s="57">
        <v>100</v>
      </c>
      <c r="P781" s="79">
        <v>102.703</v>
      </c>
      <c r="Q781" s="57">
        <v>106.176</v>
      </c>
      <c r="R781" s="57">
        <v>106.848</v>
      </c>
      <c r="S781" s="80">
        <v>107.458</v>
      </c>
      <c r="T781" s="63"/>
      <c r="AD781" s="57"/>
      <c r="AE781" s="57"/>
      <c r="AF781" s="57"/>
      <c r="AG781" s="57"/>
      <c r="AH781" s="57"/>
      <c r="AI781" s="57"/>
      <c r="AJ781" s="57"/>
      <c r="AK781" s="57"/>
      <c r="AL781" s="57"/>
      <c r="AM781" s="57"/>
      <c r="AN781" s="57"/>
      <c r="AO781" s="57"/>
    </row>
    <row r="782" spans="1:41">
      <c r="A782" s="55" t="s">
        <v>427</v>
      </c>
      <c r="B782" s="65" t="s">
        <v>378</v>
      </c>
      <c r="C782" s="79">
        <v>81.974999999999994</v>
      </c>
      <c r="D782" s="79">
        <v>83.191000000000003</v>
      </c>
      <c r="E782" s="79">
        <v>84.049000000000007</v>
      </c>
      <c r="F782" s="79">
        <v>85.152000000000001</v>
      </c>
      <c r="G782" s="79">
        <v>87.045000000000002</v>
      </c>
      <c r="H782" s="79">
        <v>89.373999999999995</v>
      </c>
      <c r="I782" s="79">
        <v>92.622</v>
      </c>
      <c r="J782" s="79">
        <v>95.132000000000005</v>
      </c>
      <c r="K782" s="79">
        <v>96.84</v>
      </c>
      <c r="L782" s="79">
        <v>97.88</v>
      </c>
      <c r="M782" s="79">
        <v>98.614000000000004</v>
      </c>
      <c r="N782" s="57">
        <v>98.665000000000006</v>
      </c>
      <c r="O782" s="57">
        <v>100</v>
      </c>
      <c r="P782" s="79">
        <v>101.44199999999999</v>
      </c>
      <c r="Q782" s="57">
        <v>103.059</v>
      </c>
      <c r="R782" s="57">
        <v>104.354</v>
      </c>
      <c r="S782" s="80">
        <v>105.36199999999999</v>
      </c>
      <c r="T782" s="63"/>
      <c r="AD782" s="57"/>
      <c r="AE782" s="57"/>
      <c r="AF782" s="57"/>
      <c r="AG782" s="57"/>
      <c r="AH782" s="57"/>
      <c r="AI782" s="57"/>
      <c r="AJ782" s="57"/>
      <c r="AK782" s="57"/>
      <c r="AL782" s="57"/>
      <c r="AM782" s="57"/>
      <c r="AN782" s="57"/>
      <c r="AO782" s="57"/>
    </row>
    <row r="783" spans="1:41">
      <c r="A783" s="55" t="s">
        <v>427</v>
      </c>
      <c r="B783" s="65" t="s">
        <v>379</v>
      </c>
      <c r="C783" s="79">
        <v>87.923000000000002</v>
      </c>
      <c r="D783" s="79">
        <v>88.846999999999994</v>
      </c>
      <c r="E783" s="79">
        <v>88.742000000000004</v>
      </c>
      <c r="F783" s="79">
        <v>91.881</v>
      </c>
      <c r="G783" s="79">
        <v>91.643000000000001</v>
      </c>
      <c r="H783" s="79">
        <v>94.325000000000003</v>
      </c>
      <c r="I783" s="79">
        <v>96.311000000000007</v>
      </c>
      <c r="J783" s="79">
        <v>98.817999999999998</v>
      </c>
      <c r="K783" s="79">
        <v>101.952</v>
      </c>
      <c r="L783" s="79">
        <v>104.84099999999999</v>
      </c>
      <c r="M783" s="79">
        <v>107.578</v>
      </c>
      <c r="N783" s="57">
        <v>108.047</v>
      </c>
      <c r="O783" s="57">
        <v>100</v>
      </c>
      <c r="P783" s="79">
        <v>104.2</v>
      </c>
      <c r="Q783" s="57">
        <v>105.893</v>
      </c>
      <c r="R783" s="57">
        <v>113.3</v>
      </c>
      <c r="S783" s="80">
        <v>116.33</v>
      </c>
      <c r="AD783" s="57"/>
      <c r="AE783" s="57"/>
      <c r="AF783" s="57"/>
      <c r="AG783" s="57"/>
      <c r="AH783" s="57"/>
      <c r="AI783" s="57"/>
      <c r="AJ783" s="57"/>
      <c r="AK783" s="57"/>
      <c r="AL783" s="57"/>
      <c r="AM783" s="57"/>
      <c r="AN783" s="57"/>
      <c r="AO783" s="57"/>
    </row>
    <row r="784" spans="1:41">
      <c r="A784" s="55" t="s">
        <v>427</v>
      </c>
      <c r="B784" s="65" t="s">
        <v>380</v>
      </c>
      <c r="C784" s="79">
        <v>74.763000000000005</v>
      </c>
      <c r="D784" s="79">
        <v>76.391000000000005</v>
      </c>
      <c r="E784" s="79">
        <v>78.427999999999997</v>
      </c>
      <c r="F784" s="79">
        <v>80.998999999999995</v>
      </c>
      <c r="G784" s="79">
        <v>83.433999999999997</v>
      </c>
      <c r="H784" s="79">
        <v>85.981999999999999</v>
      </c>
      <c r="I784" s="79">
        <v>87.941000000000003</v>
      </c>
      <c r="J784" s="79">
        <v>90.183000000000007</v>
      </c>
      <c r="K784" s="79">
        <v>92.652000000000001</v>
      </c>
      <c r="L784" s="79">
        <v>95.563000000000002</v>
      </c>
      <c r="M784" s="79">
        <v>97.486999999999995</v>
      </c>
      <c r="N784" s="57">
        <v>99.382999999999996</v>
      </c>
      <c r="O784" s="57">
        <v>100</v>
      </c>
      <c r="P784" s="79">
        <v>99.968999999999994</v>
      </c>
      <c r="Q784" s="57">
        <v>101.117</v>
      </c>
      <c r="R784" s="57">
        <v>102.879</v>
      </c>
      <c r="S784" s="80">
        <v>105.099</v>
      </c>
      <c r="T784" s="63"/>
      <c r="AD784" s="57"/>
      <c r="AE784" s="57"/>
      <c r="AF784" s="57"/>
      <c r="AG784" s="57"/>
      <c r="AH784" s="57"/>
      <c r="AI784" s="57"/>
      <c r="AJ784" s="57"/>
      <c r="AK784" s="57"/>
      <c r="AL784" s="57"/>
      <c r="AM784" s="57"/>
      <c r="AN784" s="57"/>
      <c r="AO784" s="57"/>
    </row>
    <row r="785" spans="1:41">
      <c r="A785" s="55" t="s">
        <v>427</v>
      </c>
      <c r="B785" s="65" t="s">
        <v>381</v>
      </c>
      <c r="C785" s="79">
        <v>74.325999999999993</v>
      </c>
      <c r="D785" s="79">
        <v>76.319999999999993</v>
      </c>
      <c r="E785" s="79">
        <v>78.474000000000004</v>
      </c>
      <c r="F785" s="79">
        <v>80.86</v>
      </c>
      <c r="G785" s="79">
        <v>83.528000000000006</v>
      </c>
      <c r="H785" s="79">
        <v>86.349000000000004</v>
      </c>
      <c r="I785" s="79">
        <v>88.210999999999999</v>
      </c>
      <c r="J785" s="79">
        <v>90.415000000000006</v>
      </c>
      <c r="K785" s="79">
        <v>92.864999999999995</v>
      </c>
      <c r="L785" s="79">
        <v>95.799000000000007</v>
      </c>
      <c r="M785" s="79">
        <v>97.697999999999993</v>
      </c>
      <c r="N785" s="57">
        <v>99.46</v>
      </c>
      <c r="O785" s="57">
        <v>100</v>
      </c>
      <c r="P785" s="79">
        <v>99.885000000000005</v>
      </c>
      <c r="Q785" s="57">
        <v>100.994</v>
      </c>
      <c r="R785" s="57">
        <v>102.812</v>
      </c>
      <c r="S785" s="80">
        <v>105.14</v>
      </c>
      <c r="T785" s="63"/>
      <c r="AD785" s="57"/>
      <c r="AE785" s="57"/>
      <c r="AF785" s="57"/>
      <c r="AG785" s="57"/>
      <c r="AH785" s="57"/>
      <c r="AI785" s="57"/>
      <c r="AJ785" s="57"/>
      <c r="AK785" s="57"/>
      <c r="AL785" s="57"/>
      <c r="AM785" s="57"/>
      <c r="AN785" s="57"/>
      <c r="AO785" s="57"/>
    </row>
    <row r="786" spans="1:41">
      <c r="A786" s="55" t="s">
        <v>427</v>
      </c>
      <c r="B786" s="68" t="s">
        <v>444</v>
      </c>
      <c r="C786" s="79">
        <v>70.146000000000001</v>
      </c>
      <c r="D786" s="79">
        <v>72.369</v>
      </c>
      <c r="E786" s="79">
        <v>74.42</v>
      </c>
      <c r="F786" s="79">
        <v>76.775999999999996</v>
      </c>
      <c r="G786" s="79">
        <v>79.837000000000003</v>
      </c>
      <c r="H786" s="79">
        <v>83.012</v>
      </c>
      <c r="I786" s="79">
        <v>85.198999999999998</v>
      </c>
      <c r="J786" s="79">
        <v>87.441999999999993</v>
      </c>
      <c r="K786" s="79">
        <v>89.772000000000006</v>
      </c>
      <c r="L786" s="79">
        <v>92.983000000000004</v>
      </c>
      <c r="M786" s="79">
        <v>96.266999999999996</v>
      </c>
      <c r="N786" s="57">
        <v>98.337000000000003</v>
      </c>
      <c r="O786" s="57">
        <v>100</v>
      </c>
      <c r="P786" s="79">
        <v>100.08499999999999</v>
      </c>
      <c r="Q786" s="57">
        <v>101.47</v>
      </c>
      <c r="R786" s="57">
        <v>103.702</v>
      </c>
      <c r="S786" s="80">
        <v>106.19199999999999</v>
      </c>
      <c r="T786" s="63"/>
      <c r="AD786" s="57"/>
      <c r="AE786" s="57"/>
      <c r="AF786" s="57"/>
      <c r="AG786" s="57"/>
      <c r="AH786" s="57"/>
      <c r="AI786" s="57"/>
      <c r="AJ786" s="57"/>
      <c r="AK786" s="57"/>
      <c r="AL786" s="57"/>
      <c r="AM786" s="57"/>
      <c r="AN786" s="57"/>
      <c r="AO786" s="57"/>
    </row>
    <row r="787" spans="1:41">
      <c r="A787" s="55" t="s">
        <v>427</v>
      </c>
      <c r="B787" s="68" t="s">
        <v>445</v>
      </c>
      <c r="C787" s="79">
        <v>83.066999999999993</v>
      </c>
      <c r="D787" s="79">
        <v>84.400999999999996</v>
      </c>
      <c r="E787" s="79">
        <v>86.759</v>
      </c>
      <c r="F787" s="79">
        <v>89.162000000000006</v>
      </c>
      <c r="G787" s="79">
        <v>90.807000000000002</v>
      </c>
      <c r="H787" s="79">
        <v>92.747</v>
      </c>
      <c r="I787" s="79">
        <v>93.9</v>
      </c>
      <c r="J787" s="79">
        <v>96.024000000000001</v>
      </c>
      <c r="K787" s="79">
        <v>98.694999999999993</v>
      </c>
      <c r="L787" s="79">
        <v>101.178</v>
      </c>
      <c r="M787" s="79">
        <v>100.64700000000001</v>
      </c>
      <c r="N787" s="57">
        <v>101.825</v>
      </c>
      <c r="O787" s="57">
        <v>100</v>
      </c>
      <c r="P787" s="79">
        <v>99.459000000000003</v>
      </c>
      <c r="Q787" s="57">
        <v>99.986000000000004</v>
      </c>
      <c r="R787" s="57">
        <v>100.965</v>
      </c>
      <c r="S787" s="80">
        <v>102.98099999999999</v>
      </c>
      <c r="T787" s="63"/>
      <c r="AD787" s="57"/>
      <c r="AE787" s="57"/>
      <c r="AF787" s="57"/>
      <c r="AG787" s="57"/>
      <c r="AH787" s="57"/>
      <c r="AI787" s="57"/>
      <c r="AJ787" s="57"/>
      <c r="AK787" s="57"/>
      <c r="AL787" s="57"/>
      <c r="AM787" s="57"/>
      <c r="AN787" s="57"/>
      <c r="AO787" s="57"/>
    </row>
    <row r="788" spans="1:41">
      <c r="A788" s="55" t="s">
        <v>427</v>
      </c>
      <c r="B788" s="65" t="s">
        <v>382</v>
      </c>
      <c r="C788" s="79">
        <v>78.161000000000001</v>
      </c>
      <c r="D788" s="79">
        <v>76.775999999999996</v>
      </c>
      <c r="E788" s="79">
        <v>77.92</v>
      </c>
      <c r="F788" s="79">
        <v>81.849999999999994</v>
      </c>
      <c r="G788" s="79">
        <v>82.534000000000006</v>
      </c>
      <c r="H788" s="79">
        <v>82.918000000000006</v>
      </c>
      <c r="I788" s="79">
        <v>85.67</v>
      </c>
      <c r="J788" s="79">
        <v>88.224999999999994</v>
      </c>
      <c r="K788" s="79">
        <v>90.86</v>
      </c>
      <c r="L788" s="79">
        <v>93.563999999999993</v>
      </c>
      <c r="M788" s="79">
        <v>95.715000000000003</v>
      </c>
      <c r="N788" s="57">
        <v>98.733000000000004</v>
      </c>
      <c r="O788" s="57">
        <v>100</v>
      </c>
      <c r="P788" s="79">
        <v>100.733</v>
      </c>
      <c r="Q788" s="57">
        <v>102.224</v>
      </c>
      <c r="R788" s="57">
        <v>103.502</v>
      </c>
      <c r="S788" s="80">
        <v>104.788</v>
      </c>
      <c r="AD788" s="57"/>
      <c r="AE788" s="57"/>
      <c r="AF788" s="57"/>
      <c r="AG788" s="57"/>
      <c r="AH788" s="57"/>
      <c r="AI788" s="57"/>
      <c r="AJ788" s="57"/>
      <c r="AK788" s="57"/>
      <c r="AL788" s="57"/>
      <c r="AM788" s="57"/>
      <c r="AN788" s="57"/>
      <c r="AO788" s="57"/>
    </row>
    <row r="789" spans="1:41">
      <c r="A789" s="55" t="s">
        <v>427</v>
      </c>
      <c r="B789" s="65" t="s">
        <v>383</v>
      </c>
      <c r="C789" s="79">
        <v>72.834000000000003</v>
      </c>
      <c r="D789" s="79">
        <v>74.983000000000004</v>
      </c>
      <c r="E789" s="79">
        <v>77.548000000000002</v>
      </c>
      <c r="F789" s="79">
        <v>80.878</v>
      </c>
      <c r="G789" s="79">
        <v>82.08</v>
      </c>
      <c r="H789" s="79">
        <v>83.07</v>
      </c>
      <c r="I789" s="79">
        <v>84.474999999999994</v>
      </c>
      <c r="J789" s="79">
        <v>87.814999999999998</v>
      </c>
      <c r="K789" s="79">
        <v>90.581000000000003</v>
      </c>
      <c r="L789" s="79">
        <v>93.941000000000003</v>
      </c>
      <c r="M789" s="79">
        <v>97.507000000000005</v>
      </c>
      <c r="N789" s="57">
        <v>99.415999999999997</v>
      </c>
      <c r="O789" s="57">
        <v>100</v>
      </c>
      <c r="P789" s="79">
        <v>100.98099999999999</v>
      </c>
      <c r="Q789" s="57">
        <v>102.396</v>
      </c>
      <c r="R789" s="57">
        <v>103.67400000000001</v>
      </c>
      <c r="S789" s="80">
        <v>105.122</v>
      </c>
      <c r="AD789" s="57"/>
      <c r="AE789" s="57"/>
      <c r="AF789" s="57"/>
      <c r="AG789" s="57"/>
      <c r="AH789" s="57"/>
      <c r="AI789" s="57"/>
      <c r="AJ789" s="57"/>
      <c r="AK789" s="57"/>
      <c r="AL789" s="57"/>
      <c r="AM789" s="57"/>
      <c r="AN789" s="57"/>
      <c r="AO789" s="57"/>
    </row>
    <row r="790" spans="1:41">
      <c r="A790" s="55" t="s">
        <v>427</v>
      </c>
      <c r="B790" s="65" t="s">
        <v>384</v>
      </c>
      <c r="C790" s="79">
        <v>74.418999999999997</v>
      </c>
      <c r="D790" s="79">
        <v>76.31</v>
      </c>
      <c r="E790" s="79">
        <v>78.852000000000004</v>
      </c>
      <c r="F790" s="79">
        <v>81.852999999999994</v>
      </c>
      <c r="G790" s="79">
        <v>83.438000000000002</v>
      </c>
      <c r="H790" s="79">
        <v>84.37</v>
      </c>
      <c r="I790" s="79">
        <v>86.13</v>
      </c>
      <c r="J790" s="79">
        <v>88.460999999999999</v>
      </c>
      <c r="K790" s="79">
        <v>91.531000000000006</v>
      </c>
      <c r="L790" s="79">
        <v>94.680999999999997</v>
      </c>
      <c r="M790" s="79">
        <v>97.662999999999997</v>
      </c>
      <c r="N790" s="57">
        <v>99.478999999999999</v>
      </c>
      <c r="O790" s="57">
        <v>100</v>
      </c>
      <c r="P790" s="79">
        <v>101.27800000000001</v>
      </c>
      <c r="Q790" s="57">
        <v>102.931</v>
      </c>
      <c r="R790" s="57">
        <v>104.414</v>
      </c>
      <c r="S790" s="80">
        <v>106.06100000000001</v>
      </c>
      <c r="T790" s="63"/>
      <c r="AD790" s="57"/>
      <c r="AE790" s="57"/>
      <c r="AF790" s="57"/>
      <c r="AG790" s="57"/>
      <c r="AH790" s="57"/>
      <c r="AI790" s="57"/>
      <c r="AJ790" s="57"/>
      <c r="AK790" s="57"/>
      <c r="AL790" s="57"/>
      <c r="AM790" s="57"/>
      <c r="AN790" s="57"/>
      <c r="AO790" s="57"/>
    </row>
    <row r="791" spans="1:41">
      <c r="A791" s="55" t="s">
        <v>427</v>
      </c>
      <c r="B791" s="65" t="s">
        <v>385</v>
      </c>
      <c r="C791" s="79">
        <v>62.314</v>
      </c>
      <c r="D791" s="79">
        <v>65.111999999999995</v>
      </c>
      <c r="E791" s="79">
        <v>66.795000000000002</v>
      </c>
      <c r="F791" s="79">
        <v>69.033000000000001</v>
      </c>
      <c r="G791" s="79">
        <v>72.17</v>
      </c>
      <c r="H791" s="79">
        <v>74.988</v>
      </c>
      <c r="I791" s="79">
        <v>77.936000000000007</v>
      </c>
      <c r="J791" s="79">
        <v>82.63</v>
      </c>
      <c r="K791" s="79">
        <v>88.385999999999996</v>
      </c>
      <c r="L791" s="79">
        <v>91.825000000000003</v>
      </c>
      <c r="M791" s="79">
        <v>95.722999999999999</v>
      </c>
      <c r="N791" s="57">
        <v>98.620999999999995</v>
      </c>
      <c r="O791" s="57">
        <v>100</v>
      </c>
      <c r="P791" s="79">
        <v>103.41</v>
      </c>
      <c r="Q791" s="57">
        <v>107.408</v>
      </c>
      <c r="R791" s="57">
        <v>110.828</v>
      </c>
      <c r="S791" s="80">
        <v>114.602</v>
      </c>
      <c r="T791" s="63"/>
      <c r="AD791" s="57"/>
      <c r="AE791" s="57"/>
      <c r="AF791" s="57"/>
      <c r="AG791" s="57"/>
      <c r="AH791" s="57"/>
      <c r="AI791" s="57"/>
      <c r="AJ791" s="57"/>
      <c r="AK791" s="57"/>
      <c r="AL791" s="57"/>
      <c r="AM791" s="57"/>
      <c r="AN791" s="57"/>
      <c r="AO791" s="57"/>
    </row>
    <row r="792" spans="1:41">
      <c r="A792" s="55" t="s">
        <v>427</v>
      </c>
      <c r="B792" s="65" t="s">
        <v>386</v>
      </c>
      <c r="C792" s="79">
        <v>93.584999999999994</v>
      </c>
      <c r="D792" s="79">
        <v>92.841999999999999</v>
      </c>
      <c r="E792" s="79">
        <v>95.022000000000006</v>
      </c>
      <c r="F792" s="79">
        <v>98.352999999999994</v>
      </c>
      <c r="G792" s="79">
        <v>99.323999999999998</v>
      </c>
      <c r="H792" s="79">
        <v>98.34</v>
      </c>
      <c r="I792" s="79">
        <v>97.603999999999999</v>
      </c>
      <c r="J792" s="79">
        <v>96.558999999999997</v>
      </c>
      <c r="K792" s="79">
        <v>96.929000000000002</v>
      </c>
      <c r="L792" s="79">
        <v>98.495999999999995</v>
      </c>
      <c r="M792" s="79">
        <v>99.527000000000001</v>
      </c>
      <c r="N792" s="57">
        <v>100.629</v>
      </c>
      <c r="O792" s="57">
        <v>100</v>
      </c>
      <c r="P792" s="79">
        <v>99.353999999999999</v>
      </c>
      <c r="Q792" s="57">
        <v>99.724999999999994</v>
      </c>
      <c r="R792" s="57">
        <v>99.724000000000004</v>
      </c>
      <c r="S792" s="80">
        <v>100.41200000000001</v>
      </c>
      <c r="T792" s="63"/>
      <c r="AD792" s="57"/>
      <c r="AE792" s="57"/>
      <c r="AF792" s="57"/>
      <c r="AG792" s="57"/>
      <c r="AH792" s="57"/>
      <c r="AI792" s="57"/>
      <c r="AJ792" s="57"/>
      <c r="AK792" s="57"/>
      <c r="AL792" s="57"/>
      <c r="AM792" s="57"/>
      <c r="AN792" s="57"/>
      <c r="AO792" s="57"/>
    </row>
    <row r="793" spans="1:41">
      <c r="A793" s="55" t="s">
        <v>427</v>
      </c>
      <c r="B793" s="65" t="s">
        <v>387</v>
      </c>
      <c r="C793" s="79">
        <v>74.024000000000001</v>
      </c>
      <c r="D793" s="79">
        <v>76.097999999999999</v>
      </c>
      <c r="E793" s="79">
        <v>79.016000000000005</v>
      </c>
      <c r="F793" s="79">
        <v>82.2</v>
      </c>
      <c r="G793" s="79">
        <v>83.421999999999997</v>
      </c>
      <c r="H793" s="79">
        <v>84.173000000000002</v>
      </c>
      <c r="I793" s="79">
        <v>86.088999999999999</v>
      </c>
      <c r="J793" s="79">
        <v>88.358000000000004</v>
      </c>
      <c r="K793" s="79">
        <v>91.149000000000001</v>
      </c>
      <c r="L793" s="79">
        <v>94.563999999999993</v>
      </c>
      <c r="M793" s="79">
        <v>97.728999999999999</v>
      </c>
      <c r="N793" s="57">
        <v>99.417000000000002</v>
      </c>
      <c r="O793" s="57">
        <v>100</v>
      </c>
      <c r="P793" s="79">
        <v>101.232</v>
      </c>
      <c r="Q793" s="57">
        <v>102.648</v>
      </c>
      <c r="R793" s="57">
        <v>104.089</v>
      </c>
      <c r="S793" s="80">
        <v>105.512</v>
      </c>
      <c r="AD793" s="57"/>
      <c r="AE793" s="57"/>
      <c r="AF793" s="57"/>
      <c r="AG793" s="57"/>
      <c r="AH793" s="57"/>
      <c r="AI793" s="57"/>
      <c r="AJ793" s="57"/>
      <c r="AK793" s="57"/>
      <c r="AL793" s="57"/>
      <c r="AM793" s="57"/>
      <c r="AN793" s="57"/>
      <c r="AO793" s="57"/>
    </row>
    <row r="794" spans="1:41">
      <c r="A794" s="55" t="s">
        <v>427</v>
      </c>
      <c r="B794" s="65" t="s">
        <v>388</v>
      </c>
      <c r="C794" s="79">
        <v>60.579000000000001</v>
      </c>
      <c r="D794" s="79">
        <v>63.954999999999998</v>
      </c>
      <c r="E794" s="79">
        <v>66.966999999999999</v>
      </c>
      <c r="F794" s="79">
        <v>71.566000000000003</v>
      </c>
      <c r="G794" s="79">
        <v>70.623999999999995</v>
      </c>
      <c r="H794" s="79">
        <v>71.569999999999993</v>
      </c>
      <c r="I794" s="79">
        <v>73.23</v>
      </c>
      <c r="J794" s="79">
        <v>81.198999999999998</v>
      </c>
      <c r="K794" s="79">
        <v>84.736000000000004</v>
      </c>
      <c r="L794" s="79">
        <v>89.781999999999996</v>
      </c>
      <c r="M794" s="79">
        <v>96.799000000000007</v>
      </c>
      <c r="N794" s="57">
        <v>98.587000000000003</v>
      </c>
      <c r="O794" s="57">
        <v>100</v>
      </c>
      <c r="P794" s="79">
        <v>101.102</v>
      </c>
      <c r="Q794" s="57">
        <v>102.057</v>
      </c>
      <c r="R794" s="57">
        <v>102.90600000000001</v>
      </c>
      <c r="S794" s="80">
        <v>103.94</v>
      </c>
      <c r="AD794" s="57"/>
      <c r="AE794" s="57"/>
      <c r="AF794" s="57"/>
      <c r="AG794" s="57"/>
      <c r="AH794" s="57"/>
      <c r="AI794" s="57"/>
      <c r="AJ794" s="57"/>
      <c r="AK794" s="57"/>
      <c r="AL794" s="57"/>
      <c r="AM794" s="57"/>
      <c r="AN794" s="57"/>
      <c r="AO794" s="57"/>
    </row>
    <row r="795" spans="1:41">
      <c r="A795" s="55" t="s">
        <v>427</v>
      </c>
      <c r="B795" s="65" t="s">
        <v>389</v>
      </c>
      <c r="C795" s="79">
        <v>77.355999999999995</v>
      </c>
      <c r="D795" s="79">
        <v>79.244</v>
      </c>
      <c r="E795" s="79">
        <v>81.552999999999997</v>
      </c>
      <c r="F795" s="79">
        <v>84.822999999999993</v>
      </c>
      <c r="G795" s="79">
        <v>86.522000000000006</v>
      </c>
      <c r="H795" s="79">
        <v>87.685000000000002</v>
      </c>
      <c r="I795" s="79">
        <v>88.039000000000001</v>
      </c>
      <c r="J795" s="79">
        <v>90.674000000000007</v>
      </c>
      <c r="K795" s="79">
        <v>92.203999999999994</v>
      </c>
      <c r="L795" s="79">
        <v>94.94</v>
      </c>
      <c r="M795" s="79">
        <v>97.600999999999999</v>
      </c>
      <c r="N795" s="57">
        <v>99.804000000000002</v>
      </c>
      <c r="O795" s="57">
        <v>100</v>
      </c>
      <c r="P795" s="79">
        <v>100.184</v>
      </c>
      <c r="Q795" s="57">
        <v>101.346</v>
      </c>
      <c r="R795" s="57">
        <v>102.44199999999999</v>
      </c>
      <c r="S795" s="80">
        <v>103.729</v>
      </c>
      <c r="T795" s="63"/>
      <c r="AD795" s="57"/>
      <c r="AE795" s="57"/>
      <c r="AF795" s="57"/>
      <c r="AG795" s="57"/>
      <c r="AH795" s="57"/>
      <c r="AI795" s="57"/>
      <c r="AJ795" s="57"/>
      <c r="AK795" s="57"/>
      <c r="AL795" s="57"/>
      <c r="AM795" s="57"/>
      <c r="AN795" s="57"/>
      <c r="AO795" s="57"/>
    </row>
    <row r="796" spans="1:41">
      <c r="A796" s="55" t="s">
        <v>427</v>
      </c>
      <c r="B796" s="65" t="s">
        <v>390</v>
      </c>
      <c r="C796" s="79">
        <v>78.045000000000002</v>
      </c>
      <c r="D796" s="79">
        <v>80.215000000000003</v>
      </c>
      <c r="E796" s="79">
        <v>82.546999999999997</v>
      </c>
      <c r="F796" s="79">
        <v>85.734999999999999</v>
      </c>
      <c r="G796" s="79">
        <v>87.251000000000005</v>
      </c>
      <c r="H796" s="79">
        <v>88.28</v>
      </c>
      <c r="I796" s="79">
        <v>88.331999999999994</v>
      </c>
      <c r="J796" s="79">
        <v>91.031999999999996</v>
      </c>
      <c r="K796" s="79">
        <v>92.555000000000007</v>
      </c>
      <c r="L796" s="79">
        <v>95.316999999999993</v>
      </c>
      <c r="M796" s="79">
        <v>97.911000000000001</v>
      </c>
      <c r="N796" s="57">
        <v>99.822000000000003</v>
      </c>
      <c r="O796" s="57">
        <v>100</v>
      </c>
      <c r="P796" s="79">
        <v>99.840999999999994</v>
      </c>
      <c r="Q796" s="57">
        <v>100.785</v>
      </c>
      <c r="R796" s="57">
        <v>101.843</v>
      </c>
      <c r="S796" s="80">
        <v>103.07899999999999</v>
      </c>
      <c r="T796" s="63"/>
      <c r="AD796" s="57"/>
      <c r="AE796" s="57"/>
      <c r="AF796" s="57"/>
      <c r="AG796" s="57"/>
      <c r="AH796" s="57"/>
      <c r="AI796" s="57"/>
      <c r="AJ796" s="57"/>
      <c r="AK796" s="57"/>
      <c r="AL796" s="57"/>
      <c r="AM796" s="57"/>
      <c r="AN796" s="57"/>
      <c r="AO796" s="57"/>
    </row>
    <row r="797" spans="1:41">
      <c r="A797" s="55" t="s">
        <v>427</v>
      </c>
      <c r="B797" s="65" t="s">
        <v>391</v>
      </c>
      <c r="C797" s="79">
        <v>72.12</v>
      </c>
      <c r="D797" s="79">
        <v>72.063999999999993</v>
      </c>
      <c r="E797" s="79">
        <v>74.2</v>
      </c>
      <c r="F797" s="79">
        <v>78.042000000000002</v>
      </c>
      <c r="G797" s="79">
        <v>81.085999999999999</v>
      </c>
      <c r="H797" s="79">
        <v>83.231999999999999</v>
      </c>
      <c r="I797" s="79">
        <v>85.83</v>
      </c>
      <c r="J797" s="79">
        <v>87.977000000000004</v>
      </c>
      <c r="K797" s="79">
        <v>89.561000000000007</v>
      </c>
      <c r="L797" s="79">
        <v>92.103999999999999</v>
      </c>
      <c r="M797" s="79">
        <v>95.266999999999996</v>
      </c>
      <c r="N797" s="57">
        <v>99.673000000000002</v>
      </c>
      <c r="O797" s="57">
        <v>100</v>
      </c>
      <c r="P797" s="79">
        <v>102.739</v>
      </c>
      <c r="Q797" s="57">
        <v>105.539</v>
      </c>
      <c r="R797" s="57">
        <v>106.931</v>
      </c>
      <c r="S797" s="80">
        <v>108.625</v>
      </c>
      <c r="AD797" s="57"/>
      <c r="AE797" s="57"/>
      <c r="AF797" s="57"/>
      <c r="AG797" s="57"/>
      <c r="AH797" s="57"/>
      <c r="AI797" s="57"/>
      <c r="AJ797" s="57"/>
      <c r="AK797" s="57"/>
      <c r="AL797" s="57"/>
      <c r="AM797" s="57"/>
      <c r="AN797" s="57"/>
      <c r="AO797" s="57"/>
    </row>
    <row r="798" spans="1:41">
      <c r="A798" s="55" t="s">
        <v>427</v>
      </c>
      <c r="B798" s="65" t="s">
        <v>392</v>
      </c>
      <c r="C798" s="79">
        <v>70.608999999999995</v>
      </c>
      <c r="D798" s="79">
        <v>72.546999999999997</v>
      </c>
      <c r="E798" s="79">
        <v>74.451999999999998</v>
      </c>
      <c r="F798" s="79">
        <v>76.875</v>
      </c>
      <c r="G798" s="79">
        <v>79.733999999999995</v>
      </c>
      <c r="H798" s="79">
        <v>81.710999999999999</v>
      </c>
      <c r="I798" s="79">
        <v>84.15</v>
      </c>
      <c r="J798" s="79">
        <v>86.790999999999997</v>
      </c>
      <c r="K798" s="79">
        <v>89.605000000000004</v>
      </c>
      <c r="L798" s="79">
        <v>92.158000000000001</v>
      </c>
      <c r="M798" s="79">
        <v>95.326999999999998</v>
      </c>
      <c r="N798" s="57">
        <v>97.909000000000006</v>
      </c>
      <c r="O798" s="57">
        <v>100</v>
      </c>
      <c r="P798" s="79">
        <v>102.05200000000001</v>
      </c>
      <c r="Q798" s="57">
        <v>103.998</v>
      </c>
      <c r="R798" s="57">
        <v>105.733</v>
      </c>
      <c r="S798" s="80">
        <v>107.345</v>
      </c>
      <c r="AD798" s="57"/>
      <c r="AE798" s="57"/>
      <c r="AF798" s="57"/>
      <c r="AG798" s="57"/>
      <c r="AH798" s="57"/>
      <c r="AI798" s="57"/>
      <c r="AJ798" s="57"/>
      <c r="AK798" s="57"/>
      <c r="AL798" s="57"/>
      <c r="AM798" s="57"/>
      <c r="AN798" s="57"/>
      <c r="AO798" s="57"/>
    </row>
    <row r="799" spans="1:41">
      <c r="A799" s="55" t="s">
        <v>427</v>
      </c>
      <c r="B799" s="65" t="s">
        <v>393</v>
      </c>
      <c r="C799" s="79">
        <v>66.055999999999997</v>
      </c>
      <c r="D799" s="79">
        <v>68.13</v>
      </c>
      <c r="E799" s="79">
        <v>70.494</v>
      </c>
      <c r="F799" s="79">
        <v>73.406000000000006</v>
      </c>
      <c r="G799" s="79">
        <v>75.872</v>
      </c>
      <c r="H799" s="79">
        <v>77.78</v>
      </c>
      <c r="I799" s="79">
        <v>80.98</v>
      </c>
      <c r="J799" s="79">
        <v>84.382000000000005</v>
      </c>
      <c r="K799" s="79">
        <v>87.894999999999996</v>
      </c>
      <c r="L799" s="79">
        <v>91.391999999999996</v>
      </c>
      <c r="M799" s="79">
        <v>94.593999999999994</v>
      </c>
      <c r="N799" s="57">
        <v>98.036000000000001</v>
      </c>
      <c r="O799" s="57">
        <v>100</v>
      </c>
      <c r="P799" s="79">
        <v>102.29300000000001</v>
      </c>
      <c r="Q799" s="57">
        <v>105.114</v>
      </c>
      <c r="R799" s="57">
        <v>107.934</v>
      </c>
      <c r="S799" s="80">
        <v>110.68600000000001</v>
      </c>
      <c r="AD799" s="57"/>
      <c r="AE799" s="57"/>
      <c r="AF799" s="57"/>
      <c r="AG799" s="57"/>
      <c r="AH799" s="57"/>
      <c r="AI799" s="57"/>
      <c r="AJ799" s="57"/>
      <c r="AK799" s="57"/>
      <c r="AL799" s="57"/>
      <c r="AM799" s="57"/>
      <c r="AN799" s="57"/>
      <c r="AO799" s="57"/>
    </row>
    <row r="800" spans="1:41">
      <c r="A800" s="55" t="s">
        <v>427</v>
      </c>
      <c r="B800" s="65" t="s">
        <v>394</v>
      </c>
      <c r="C800" s="79">
        <v>71.287999999999997</v>
      </c>
      <c r="D800" s="79">
        <v>73.203999999999994</v>
      </c>
      <c r="E800" s="79">
        <v>75.037000000000006</v>
      </c>
      <c r="F800" s="79">
        <v>77.382999999999996</v>
      </c>
      <c r="G800" s="79">
        <v>80.302000000000007</v>
      </c>
      <c r="H800" s="79">
        <v>82.29</v>
      </c>
      <c r="I800" s="79">
        <v>84.611999999999995</v>
      </c>
      <c r="J800" s="79">
        <v>87.14</v>
      </c>
      <c r="K800" s="79">
        <v>89.853999999999999</v>
      </c>
      <c r="L800" s="79">
        <v>92.271000000000001</v>
      </c>
      <c r="M800" s="79">
        <v>95.436000000000007</v>
      </c>
      <c r="N800" s="57">
        <v>97.89</v>
      </c>
      <c r="O800" s="57">
        <v>100</v>
      </c>
      <c r="P800" s="79">
        <v>102.015</v>
      </c>
      <c r="Q800" s="57">
        <v>103.824</v>
      </c>
      <c r="R800" s="57">
        <v>105.392</v>
      </c>
      <c r="S800" s="80">
        <v>106.831</v>
      </c>
      <c r="T800" s="63"/>
      <c r="AD800" s="57"/>
      <c r="AE800" s="57"/>
      <c r="AF800" s="57"/>
      <c r="AG800" s="57"/>
      <c r="AH800" s="57"/>
      <c r="AI800" s="57"/>
      <c r="AJ800" s="57"/>
      <c r="AK800" s="57"/>
      <c r="AL800" s="57"/>
      <c r="AM800" s="57"/>
      <c r="AN800" s="57"/>
      <c r="AO800" s="57"/>
    </row>
    <row r="801" spans="1:41">
      <c r="A801" s="55" t="s">
        <v>427</v>
      </c>
      <c r="B801" s="65" t="s">
        <v>395</v>
      </c>
      <c r="C801" s="79">
        <v>75.400999999999996</v>
      </c>
      <c r="D801" s="79">
        <v>77.156999999999996</v>
      </c>
      <c r="E801" s="79">
        <v>78.837000000000003</v>
      </c>
      <c r="F801" s="79">
        <v>80.658000000000001</v>
      </c>
      <c r="G801" s="79">
        <v>83.14</v>
      </c>
      <c r="H801" s="79">
        <v>84.22</v>
      </c>
      <c r="I801" s="79">
        <v>86.061999999999998</v>
      </c>
      <c r="J801" s="79">
        <v>88.241</v>
      </c>
      <c r="K801" s="79">
        <v>90.644999999999996</v>
      </c>
      <c r="L801" s="79">
        <v>92.370999999999995</v>
      </c>
      <c r="M801" s="79">
        <v>95.747</v>
      </c>
      <c r="N801" s="57">
        <v>97.820999999999998</v>
      </c>
      <c r="O801" s="57">
        <v>100</v>
      </c>
      <c r="P801" s="79">
        <v>102.134</v>
      </c>
      <c r="Q801" s="57">
        <v>103.678</v>
      </c>
      <c r="R801" s="57">
        <v>104.913</v>
      </c>
      <c r="S801" s="80">
        <v>105.84699999999999</v>
      </c>
      <c r="T801" s="63"/>
      <c r="AD801" s="57"/>
      <c r="AE801" s="57"/>
      <c r="AF801" s="57"/>
      <c r="AG801" s="57"/>
      <c r="AH801" s="57"/>
      <c r="AI801" s="57"/>
      <c r="AJ801" s="57"/>
      <c r="AK801" s="57"/>
      <c r="AL801" s="57"/>
      <c r="AM801" s="57"/>
      <c r="AN801" s="57"/>
      <c r="AO801" s="57"/>
    </row>
    <row r="802" spans="1:41">
      <c r="A802" s="55" t="s">
        <v>427</v>
      </c>
      <c r="B802" s="65" t="s">
        <v>446</v>
      </c>
      <c r="C802" s="79">
        <v>68.367000000000004</v>
      </c>
      <c r="D802" s="79">
        <v>70.197999999999993</v>
      </c>
      <c r="E802" s="79">
        <v>71.959000000000003</v>
      </c>
      <c r="F802" s="79">
        <v>74.366</v>
      </c>
      <c r="G802" s="79">
        <v>77.673000000000002</v>
      </c>
      <c r="H802" s="79">
        <v>80.453999999999994</v>
      </c>
      <c r="I802" s="79">
        <v>83.388999999999996</v>
      </c>
      <c r="J802" s="79">
        <v>86.341999999999999</v>
      </c>
      <c r="K802" s="79">
        <v>89.31</v>
      </c>
      <c r="L802" s="79">
        <v>92.451999999999998</v>
      </c>
      <c r="M802" s="79">
        <v>95.231999999999999</v>
      </c>
      <c r="N802" s="57">
        <v>97.923000000000002</v>
      </c>
      <c r="O802" s="57">
        <v>100</v>
      </c>
      <c r="P802" s="79">
        <v>101.956</v>
      </c>
      <c r="Q802" s="57">
        <v>103.82299999999999</v>
      </c>
      <c r="R802" s="57">
        <v>105.792</v>
      </c>
      <c r="S802" s="80">
        <v>107.836</v>
      </c>
      <c r="T802" s="63"/>
      <c r="AD802" s="57"/>
      <c r="AE802" s="57"/>
      <c r="AF802" s="57"/>
      <c r="AG802" s="57"/>
      <c r="AH802" s="57"/>
      <c r="AI802" s="57"/>
      <c r="AJ802" s="57"/>
      <c r="AK802" s="57"/>
      <c r="AL802" s="57"/>
      <c r="AM802" s="57"/>
      <c r="AN802" s="57"/>
      <c r="AO802" s="57"/>
    </row>
    <row r="803" spans="1:41">
      <c r="A803" s="55" t="s">
        <v>427</v>
      </c>
      <c r="B803" s="65" t="s">
        <v>447</v>
      </c>
      <c r="C803" s="79">
        <v>65.003</v>
      </c>
      <c r="D803" s="79">
        <v>67.436999999999998</v>
      </c>
      <c r="E803" s="79">
        <v>69.649000000000001</v>
      </c>
      <c r="F803" s="79">
        <v>72.960999999999999</v>
      </c>
      <c r="G803" s="79">
        <v>76.826999999999998</v>
      </c>
      <c r="H803" s="79">
        <v>79.563000000000002</v>
      </c>
      <c r="I803" s="79">
        <v>82.11</v>
      </c>
      <c r="J803" s="79">
        <v>85.063000000000002</v>
      </c>
      <c r="K803" s="79">
        <v>88</v>
      </c>
      <c r="L803" s="79">
        <v>90.617000000000004</v>
      </c>
      <c r="M803" s="79">
        <v>94.183999999999997</v>
      </c>
      <c r="N803" s="57">
        <v>97.44</v>
      </c>
      <c r="O803" s="57">
        <v>100</v>
      </c>
      <c r="P803" s="79">
        <v>101.718</v>
      </c>
      <c r="Q803" s="57">
        <v>103.774</v>
      </c>
      <c r="R803" s="57">
        <v>105.13200000000001</v>
      </c>
      <c r="S803" s="80">
        <v>106.161</v>
      </c>
      <c r="T803" s="63"/>
      <c r="AD803" s="57"/>
      <c r="AE803" s="57"/>
      <c r="AF803" s="57"/>
      <c r="AG803" s="57"/>
      <c r="AH803" s="57"/>
      <c r="AI803" s="57"/>
      <c r="AJ803" s="57"/>
      <c r="AK803" s="57"/>
      <c r="AL803" s="57"/>
      <c r="AM803" s="57"/>
      <c r="AN803" s="57"/>
      <c r="AO803" s="57"/>
    </row>
    <row r="804" spans="1:41">
      <c r="A804" s="55" t="s">
        <v>427</v>
      </c>
      <c r="B804" s="65" t="s">
        <v>397</v>
      </c>
      <c r="C804" s="79">
        <v>69.703999999999994</v>
      </c>
      <c r="D804" s="79">
        <v>72.063000000000002</v>
      </c>
      <c r="E804" s="79">
        <v>74.436999999999998</v>
      </c>
      <c r="F804" s="79">
        <v>77.876999999999995</v>
      </c>
      <c r="G804" s="79">
        <v>80.22</v>
      </c>
      <c r="H804" s="79">
        <v>82.79</v>
      </c>
      <c r="I804" s="79">
        <v>84.926000000000002</v>
      </c>
      <c r="J804" s="79">
        <v>87.085999999999999</v>
      </c>
      <c r="K804" s="79">
        <v>90.167000000000002</v>
      </c>
      <c r="L804" s="79">
        <v>93.153999999999996</v>
      </c>
      <c r="M804" s="79">
        <v>96.197000000000003</v>
      </c>
      <c r="N804" s="57">
        <v>98.692999999999998</v>
      </c>
      <c r="O804" s="57">
        <v>100</v>
      </c>
      <c r="P804" s="79">
        <v>102.003</v>
      </c>
      <c r="Q804" s="57">
        <v>104.654</v>
      </c>
      <c r="R804" s="57">
        <v>106.595</v>
      </c>
      <c r="S804" s="80">
        <v>108.72</v>
      </c>
      <c r="AD804" s="57"/>
      <c r="AE804" s="57"/>
      <c r="AF804" s="57"/>
      <c r="AG804" s="57"/>
      <c r="AH804" s="57"/>
      <c r="AI804" s="57"/>
      <c r="AJ804" s="57"/>
      <c r="AK804" s="57"/>
      <c r="AL804" s="57"/>
      <c r="AM804" s="57"/>
      <c r="AN804" s="57"/>
      <c r="AO804" s="57"/>
    </row>
    <row r="805" spans="1:41">
      <c r="A805" s="55" t="s">
        <v>427</v>
      </c>
      <c r="B805" s="65" t="s">
        <v>398</v>
      </c>
      <c r="C805" s="79">
        <v>70.022000000000006</v>
      </c>
      <c r="D805" s="79">
        <v>71.850999999999999</v>
      </c>
      <c r="E805" s="79">
        <v>74.073999999999998</v>
      </c>
      <c r="F805" s="79">
        <v>76.302000000000007</v>
      </c>
      <c r="G805" s="79">
        <v>78.751999999999995</v>
      </c>
      <c r="H805" s="79">
        <v>80.438999999999993</v>
      </c>
      <c r="I805" s="79">
        <v>82.167000000000002</v>
      </c>
      <c r="J805" s="79">
        <v>84.641000000000005</v>
      </c>
      <c r="K805" s="79">
        <v>87.807000000000002</v>
      </c>
      <c r="L805" s="79">
        <v>90.835999999999999</v>
      </c>
      <c r="M805" s="79">
        <v>94.343000000000004</v>
      </c>
      <c r="N805" s="57">
        <v>98.046999999999997</v>
      </c>
      <c r="O805" s="57">
        <v>100</v>
      </c>
      <c r="P805" s="79">
        <v>100.898</v>
      </c>
      <c r="Q805" s="57">
        <v>102.417</v>
      </c>
      <c r="R805" s="57">
        <v>105.235</v>
      </c>
      <c r="S805" s="80">
        <v>107.175</v>
      </c>
      <c r="AD805" s="57"/>
      <c r="AE805" s="57"/>
      <c r="AF805" s="57"/>
      <c r="AG805" s="57"/>
      <c r="AH805" s="57"/>
      <c r="AI805" s="57"/>
      <c r="AJ805" s="57"/>
      <c r="AK805" s="57"/>
      <c r="AL805" s="57"/>
      <c r="AM805" s="57"/>
      <c r="AN805" s="57"/>
      <c r="AO805" s="57"/>
    </row>
    <row r="806" spans="1:41">
      <c r="A806" s="55" t="s">
        <v>427</v>
      </c>
      <c r="B806" s="65" t="s">
        <v>399</v>
      </c>
      <c r="C806" s="79">
        <v>69.638000000000005</v>
      </c>
      <c r="D806" s="79">
        <v>71.433000000000007</v>
      </c>
      <c r="E806" s="79">
        <v>74.543000000000006</v>
      </c>
      <c r="F806" s="79">
        <v>77.727999999999994</v>
      </c>
      <c r="G806" s="79">
        <v>80.156999999999996</v>
      </c>
      <c r="H806" s="79">
        <v>81.83</v>
      </c>
      <c r="I806" s="79">
        <v>84.216999999999999</v>
      </c>
      <c r="J806" s="79">
        <v>86.634</v>
      </c>
      <c r="K806" s="79">
        <v>89.697000000000003</v>
      </c>
      <c r="L806" s="79">
        <v>92.872</v>
      </c>
      <c r="M806" s="79">
        <v>96.114999999999995</v>
      </c>
      <c r="N806" s="57">
        <v>98.850999999999999</v>
      </c>
      <c r="O806" s="57">
        <v>100</v>
      </c>
      <c r="P806" s="79">
        <v>100.628</v>
      </c>
      <c r="Q806" s="57">
        <v>101.544</v>
      </c>
      <c r="R806" s="57">
        <v>103.85899999999999</v>
      </c>
      <c r="S806" s="80">
        <v>105.39100000000001</v>
      </c>
      <c r="T806" s="63"/>
      <c r="AD806" s="57"/>
      <c r="AE806" s="57"/>
      <c r="AF806" s="57"/>
      <c r="AG806" s="57"/>
      <c r="AH806" s="57"/>
      <c r="AI806" s="57"/>
      <c r="AJ806" s="57"/>
      <c r="AK806" s="57"/>
      <c r="AL806" s="57"/>
      <c r="AM806" s="57"/>
      <c r="AN806" s="57"/>
      <c r="AO806" s="57"/>
    </row>
    <row r="807" spans="1:41">
      <c r="A807" s="55" t="s">
        <v>427</v>
      </c>
      <c r="B807" s="65" t="s">
        <v>400</v>
      </c>
      <c r="C807" s="79">
        <v>65.263000000000005</v>
      </c>
      <c r="D807" s="79">
        <v>66.974999999999994</v>
      </c>
      <c r="E807" s="79">
        <v>70.798000000000002</v>
      </c>
      <c r="F807" s="79">
        <v>74.486999999999995</v>
      </c>
      <c r="G807" s="79">
        <v>77.286000000000001</v>
      </c>
      <c r="H807" s="79">
        <v>79.09</v>
      </c>
      <c r="I807" s="79">
        <v>81.515000000000001</v>
      </c>
      <c r="J807" s="79">
        <v>84.506</v>
      </c>
      <c r="K807" s="79">
        <v>88.375</v>
      </c>
      <c r="L807" s="79">
        <v>91.641999999999996</v>
      </c>
      <c r="M807" s="79">
        <v>95.244</v>
      </c>
      <c r="N807" s="57">
        <v>98.412999999999997</v>
      </c>
      <c r="O807" s="57">
        <v>100</v>
      </c>
      <c r="P807" s="79">
        <v>101.066</v>
      </c>
      <c r="Q807" s="57">
        <v>101.869</v>
      </c>
      <c r="R807" s="57">
        <v>104.059</v>
      </c>
      <c r="S807" s="80">
        <v>105.557</v>
      </c>
      <c r="T807" s="63"/>
      <c r="AD807" s="57"/>
      <c r="AE807" s="57"/>
      <c r="AF807" s="57"/>
      <c r="AG807" s="57"/>
      <c r="AH807" s="57"/>
      <c r="AI807" s="57"/>
      <c r="AJ807" s="57"/>
      <c r="AK807" s="57"/>
      <c r="AL807" s="57"/>
      <c r="AM807" s="57"/>
      <c r="AN807" s="57"/>
      <c r="AO807" s="57"/>
    </row>
    <row r="808" spans="1:41">
      <c r="A808" s="55" t="s">
        <v>427</v>
      </c>
      <c r="B808" s="65" t="s">
        <v>401</v>
      </c>
      <c r="C808" s="79">
        <v>74.653999999999996</v>
      </c>
      <c r="D808" s="79">
        <v>76.549000000000007</v>
      </c>
      <c r="E808" s="79">
        <v>78.918000000000006</v>
      </c>
      <c r="F808" s="79">
        <v>81.570999999999998</v>
      </c>
      <c r="G808" s="79">
        <v>83.576999999999998</v>
      </c>
      <c r="H808" s="79">
        <v>85.084000000000003</v>
      </c>
      <c r="I808" s="79">
        <v>87.412999999999997</v>
      </c>
      <c r="J808" s="79">
        <v>89.117000000000004</v>
      </c>
      <c r="K808" s="79">
        <v>91.227000000000004</v>
      </c>
      <c r="L808" s="79">
        <v>94.295000000000002</v>
      </c>
      <c r="M808" s="79">
        <v>97.126999999999995</v>
      </c>
      <c r="N808" s="57">
        <v>99.364999999999995</v>
      </c>
      <c r="O808" s="57">
        <v>100</v>
      </c>
      <c r="P808" s="79">
        <v>100.114</v>
      </c>
      <c r="Q808" s="57">
        <v>101.15900000000001</v>
      </c>
      <c r="R808" s="57">
        <v>103.617</v>
      </c>
      <c r="S808" s="80">
        <v>105.188</v>
      </c>
      <c r="AD808" s="57"/>
      <c r="AE808" s="57"/>
      <c r="AF808" s="57"/>
      <c r="AG808" s="57"/>
      <c r="AH808" s="57"/>
      <c r="AI808" s="57"/>
      <c r="AJ808" s="57"/>
      <c r="AK808" s="57"/>
      <c r="AL808" s="57"/>
      <c r="AM808" s="57"/>
      <c r="AN808" s="57"/>
      <c r="AO808" s="57"/>
    </row>
    <row r="809" spans="1:41">
      <c r="A809" s="55" t="s">
        <v>427</v>
      </c>
      <c r="B809" s="65" t="s">
        <v>402</v>
      </c>
      <c r="C809" s="79">
        <v>70.072999999999993</v>
      </c>
      <c r="D809" s="79">
        <v>71.91</v>
      </c>
      <c r="E809" s="79">
        <v>73.867999999999995</v>
      </c>
      <c r="F809" s="79">
        <v>75.814999999999998</v>
      </c>
      <c r="G809" s="79">
        <v>78.269000000000005</v>
      </c>
      <c r="H809" s="79">
        <v>79.957999999999998</v>
      </c>
      <c r="I809" s="79">
        <v>81.488</v>
      </c>
      <c r="J809" s="79">
        <v>83.977999999999994</v>
      </c>
      <c r="K809" s="79">
        <v>87.173000000000002</v>
      </c>
      <c r="L809" s="79">
        <v>90.155000000000001</v>
      </c>
      <c r="M809" s="79">
        <v>93.745999999999995</v>
      </c>
      <c r="N809" s="57">
        <v>97.772000000000006</v>
      </c>
      <c r="O809" s="57">
        <v>100</v>
      </c>
      <c r="P809" s="79">
        <v>100.991</v>
      </c>
      <c r="Q809" s="57">
        <v>102.71599999999999</v>
      </c>
      <c r="R809" s="57">
        <v>105.70399999999999</v>
      </c>
      <c r="S809" s="80">
        <v>107.78400000000001</v>
      </c>
      <c r="T809" s="63"/>
      <c r="AD809" s="57"/>
      <c r="AE809" s="57"/>
      <c r="AF809" s="57"/>
      <c r="AG809" s="57"/>
      <c r="AH809" s="57"/>
      <c r="AI809" s="57"/>
      <c r="AJ809" s="57"/>
      <c r="AK809" s="57"/>
      <c r="AL809" s="57"/>
      <c r="AM809" s="57"/>
      <c r="AN809" s="57"/>
      <c r="AO809" s="57"/>
    </row>
    <row r="810" spans="1:41">
      <c r="A810" s="55" t="s">
        <v>427</v>
      </c>
      <c r="B810" s="65" t="s">
        <v>403</v>
      </c>
      <c r="C810" s="79">
        <v>71.941999999999993</v>
      </c>
      <c r="D810" s="79">
        <v>74.322999999999993</v>
      </c>
      <c r="E810" s="79">
        <v>76.954999999999998</v>
      </c>
      <c r="F810" s="79">
        <v>79.233000000000004</v>
      </c>
      <c r="G810" s="79">
        <v>82.206000000000003</v>
      </c>
      <c r="H810" s="79">
        <v>82.808999999999997</v>
      </c>
      <c r="I810" s="79">
        <v>83.834000000000003</v>
      </c>
      <c r="J810" s="79">
        <v>86.128</v>
      </c>
      <c r="K810" s="79">
        <v>90.477999999999994</v>
      </c>
      <c r="L810" s="79">
        <v>93.924999999999997</v>
      </c>
      <c r="M810" s="79">
        <v>98.263000000000005</v>
      </c>
      <c r="N810" s="57">
        <v>101.61</v>
      </c>
      <c r="O810" s="57">
        <v>100</v>
      </c>
      <c r="P810" s="79">
        <v>100.074</v>
      </c>
      <c r="Q810" s="57">
        <v>102.22799999999999</v>
      </c>
      <c r="R810" s="57">
        <v>105.039</v>
      </c>
      <c r="S810" s="80">
        <v>106.94499999999999</v>
      </c>
      <c r="T810" s="63"/>
      <c r="AD810" s="57"/>
      <c r="AE810" s="57"/>
      <c r="AF810" s="57"/>
      <c r="AG810" s="57"/>
      <c r="AH810" s="57"/>
      <c r="AI810" s="57"/>
      <c r="AJ810" s="57"/>
      <c r="AK810" s="57"/>
      <c r="AL810" s="57"/>
      <c r="AM810" s="57"/>
      <c r="AN810" s="57"/>
      <c r="AO810" s="57"/>
    </row>
    <row r="811" spans="1:41">
      <c r="A811" s="55" t="s">
        <v>427</v>
      </c>
      <c r="B811" s="65" t="s">
        <v>404</v>
      </c>
      <c r="C811" s="79">
        <v>69.465999999999994</v>
      </c>
      <c r="D811" s="79">
        <v>71.102000000000004</v>
      </c>
      <c r="E811" s="79">
        <v>72.811000000000007</v>
      </c>
      <c r="F811" s="79">
        <v>74.634</v>
      </c>
      <c r="G811" s="79">
        <v>76.896000000000001</v>
      </c>
      <c r="H811" s="79">
        <v>78.974000000000004</v>
      </c>
      <c r="I811" s="79">
        <v>80.685000000000002</v>
      </c>
      <c r="J811" s="79">
        <v>83.247</v>
      </c>
      <c r="K811" s="79">
        <v>86.022000000000006</v>
      </c>
      <c r="L811" s="79">
        <v>88.837000000000003</v>
      </c>
      <c r="M811" s="79">
        <v>92.16</v>
      </c>
      <c r="N811" s="57">
        <v>96.43</v>
      </c>
      <c r="O811" s="57">
        <v>100</v>
      </c>
      <c r="P811" s="79">
        <v>101.30200000000001</v>
      </c>
      <c r="Q811" s="57">
        <v>102.883</v>
      </c>
      <c r="R811" s="57">
        <v>105.93</v>
      </c>
      <c r="S811" s="80">
        <v>108.069</v>
      </c>
      <c r="AD811" s="57"/>
      <c r="AE811" s="57"/>
      <c r="AF811" s="57"/>
      <c r="AG811" s="57"/>
      <c r="AH811" s="57"/>
      <c r="AI811" s="57"/>
      <c r="AJ811" s="57"/>
      <c r="AK811" s="57"/>
      <c r="AL811" s="57"/>
      <c r="AM811" s="57"/>
      <c r="AN811" s="57"/>
      <c r="AO811" s="57"/>
    </row>
    <row r="812" spans="1:41">
      <c r="A812" s="55" t="s">
        <v>427</v>
      </c>
      <c r="B812" s="65" t="s">
        <v>415</v>
      </c>
      <c r="C812" s="79">
        <v>68.680999999999997</v>
      </c>
      <c r="D812" s="79">
        <v>70.346999999999994</v>
      </c>
      <c r="E812" s="79">
        <v>72.334000000000003</v>
      </c>
      <c r="F812" s="79">
        <v>74.950999999999993</v>
      </c>
      <c r="G812" s="79">
        <v>77.81</v>
      </c>
      <c r="H812" s="79">
        <v>80.099999999999994</v>
      </c>
      <c r="I812" s="79">
        <v>82.138999999999996</v>
      </c>
      <c r="J812" s="79">
        <v>84.561999999999998</v>
      </c>
      <c r="K812" s="79">
        <v>87.671999999999997</v>
      </c>
      <c r="L812" s="79">
        <v>90.965000000000003</v>
      </c>
      <c r="M812" s="79">
        <v>94.132000000000005</v>
      </c>
      <c r="N812" s="57">
        <v>97.567999999999998</v>
      </c>
      <c r="O812" s="57">
        <v>100</v>
      </c>
      <c r="P812" s="79">
        <v>102.15900000000001</v>
      </c>
      <c r="Q812" s="57">
        <v>104.517</v>
      </c>
      <c r="R812" s="57">
        <v>106.816</v>
      </c>
      <c r="S812" s="80">
        <v>109.331</v>
      </c>
      <c r="AD812" s="57"/>
      <c r="AE812" s="57"/>
      <c r="AF812" s="57"/>
      <c r="AG812" s="57"/>
      <c r="AH812" s="57"/>
      <c r="AI812" s="57"/>
      <c r="AJ812" s="57"/>
      <c r="AK812" s="57"/>
      <c r="AL812" s="57"/>
      <c r="AM812" s="57"/>
      <c r="AN812" s="57"/>
      <c r="AO812" s="57"/>
    </row>
    <row r="813" spans="1:41">
      <c r="A813" s="55" t="s">
        <v>427</v>
      </c>
      <c r="B813" s="65" t="s">
        <v>174</v>
      </c>
      <c r="C813" s="79">
        <v>65.927999999999997</v>
      </c>
      <c r="D813" s="79">
        <v>67.061000000000007</v>
      </c>
      <c r="E813" s="79">
        <v>69.364999999999995</v>
      </c>
      <c r="F813" s="79">
        <v>72.334000000000003</v>
      </c>
      <c r="G813" s="79">
        <v>74.78</v>
      </c>
      <c r="H813" s="79">
        <v>76.858000000000004</v>
      </c>
      <c r="I813" s="79">
        <v>80.182000000000002</v>
      </c>
      <c r="J813" s="79">
        <v>83.882000000000005</v>
      </c>
      <c r="K813" s="79">
        <v>88.004999999999995</v>
      </c>
      <c r="L813" s="79">
        <v>91.863</v>
      </c>
      <c r="M813" s="79">
        <v>95.688000000000002</v>
      </c>
      <c r="N813" s="57">
        <v>100.021</v>
      </c>
      <c r="O813" s="57">
        <v>100</v>
      </c>
      <c r="P813" s="79">
        <v>103.152</v>
      </c>
      <c r="Q813" s="57">
        <v>106.289</v>
      </c>
      <c r="R813" s="57">
        <v>107.855</v>
      </c>
      <c r="S813" s="80">
        <v>109.509</v>
      </c>
      <c r="AD813" s="57"/>
      <c r="AE813" s="57"/>
      <c r="AF813" s="57"/>
      <c r="AG813" s="57"/>
      <c r="AH813" s="57"/>
      <c r="AI813" s="57"/>
      <c r="AJ813" s="57"/>
      <c r="AK813" s="57"/>
      <c r="AL813" s="57"/>
      <c r="AM813" s="57"/>
      <c r="AN813" s="57"/>
      <c r="AO813" s="57"/>
    </row>
    <row r="814" spans="1:41">
      <c r="A814" s="55" t="s">
        <v>427</v>
      </c>
      <c r="B814" s="65" t="s">
        <v>219</v>
      </c>
      <c r="C814" s="79">
        <v>68.766999999999996</v>
      </c>
      <c r="D814" s="79">
        <v>69.614000000000004</v>
      </c>
      <c r="E814" s="79">
        <v>71.528000000000006</v>
      </c>
      <c r="F814" s="79">
        <v>73.918000000000006</v>
      </c>
      <c r="G814" s="79">
        <v>75.988</v>
      </c>
      <c r="H814" s="79">
        <v>79.206000000000003</v>
      </c>
      <c r="I814" s="79">
        <v>83.082999999999998</v>
      </c>
      <c r="J814" s="79">
        <v>86.093999999999994</v>
      </c>
      <c r="K814" s="79">
        <v>89.843999999999994</v>
      </c>
      <c r="L814" s="79">
        <v>93.396000000000001</v>
      </c>
      <c r="M814" s="79">
        <v>96.608999999999995</v>
      </c>
      <c r="N814" s="57">
        <v>99.808999999999997</v>
      </c>
      <c r="O814" s="57">
        <v>100</v>
      </c>
      <c r="P814" s="79">
        <v>102.94799999999999</v>
      </c>
      <c r="Q814" s="57">
        <v>105.89</v>
      </c>
      <c r="R814" s="57">
        <v>106.879</v>
      </c>
      <c r="S814" s="80">
        <v>108.199</v>
      </c>
      <c r="T814" s="63"/>
      <c r="AD814" s="57"/>
      <c r="AE814" s="57"/>
      <c r="AF814" s="57"/>
      <c r="AG814" s="57"/>
      <c r="AH814" s="57"/>
      <c r="AI814" s="57"/>
      <c r="AJ814" s="57"/>
      <c r="AK814" s="57"/>
      <c r="AL814" s="57"/>
      <c r="AM814" s="57"/>
      <c r="AN814" s="57"/>
      <c r="AO814" s="57"/>
    </row>
    <row r="815" spans="1:41">
      <c r="A815" s="55" t="s">
        <v>427</v>
      </c>
      <c r="B815" s="55" t="s">
        <v>448</v>
      </c>
      <c r="C815" s="57">
        <v>68.278999999999996</v>
      </c>
      <c r="D815" s="57">
        <v>69.257000000000005</v>
      </c>
      <c r="E815" s="57">
        <v>71.212999999999994</v>
      </c>
      <c r="F815" s="57">
        <v>73.918999999999997</v>
      </c>
      <c r="G815" s="57">
        <v>75.697000000000003</v>
      </c>
      <c r="H815" s="57">
        <v>78.971999999999994</v>
      </c>
      <c r="I815" s="57">
        <v>83.046000000000006</v>
      </c>
      <c r="J815" s="57">
        <v>86.388000000000005</v>
      </c>
      <c r="K815" s="57">
        <v>90.557000000000002</v>
      </c>
      <c r="L815" s="57">
        <v>93.935000000000002</v>
      </c>
      <c r="M815" s="57">
        <v>97.123999999999995</v>
      </c>
      <c r="N815" s="57">
        <v>100.315</v>
      </c>
      <c r="O815" s="57">
        <v>100</v>
      </c>
      <c r="P815" s="57">
        <v>102.917</v>
      </c>
      <c r="Q815" s="57">
        <v>105.93300000000001</v>
      </c>
      <c r="R815" s="57">
        <v>106.89400000000001</v>
      </c>
      <c r="S815" s="80">
        <v>108.209</v>
      </c>
      <c r="T815" s="63"/>
      <c r="AD815" s="57"/>
      <c r="AE815" s="57"/>
      <c r="AF815" s="57"/>
      <c r="AG815" s="57"/>
      <c r="AH815" s="57"/>
      <c r="AI815" s="57"/>
      <c r="AJ815" s="57"/>
      <c r="AK815" s="57"/>
      <c r="AL815" s="57"/>
      <c r="AM815" s="57"/>
      <c r="AN815" s="57"/>
      <c r="AO815" s="57"/>
    </row>
    <row r="816" spans="1:41">
      <c r="A816" s="55" t="s">
        <v>427</v>
      </c>
      <c r="B816" s="69" t="s">
        <v>449</v>
      </c>
      <c r="C816" s="57">
        <v>67.763999999999996</v>
      </c>
      <c r="D816" s="57">
        <v>68.694999999999993</v>
      </c>
      <c r="E816" s="57">
        <v>70.522000000000006</v>
      </c>
      <c r="F816" s="57">
        <v>73.177999999999997</v>
      </c>
      <c r="G816" s="57">
        <v>75.009</v>
      </c>
      <c r="H816" s="57">
        <v>78.322999999999993</v>
      </c>
      <c r="I816" s="57">
        <v>82.87</v>
      </c>
      <c r="J816" s="57">
        <v>86.09</v>
      </c>
      <c r="K816" s="57">
        <v>90.603999999999999</v>
      </c>
      <c r="L816" s="57">
        <v>94.233999999999995</v>
      </c>
      <c r="M816" s="57">
        <v>97.474999999999994</v>
      </c>
      <c r="N816" s="57">
        <v>100.967</v>
      </c>
      <c r="O816" s="57">
        <v>100</v>
      </c>
      <c r="P816" s="57">
        <v>102.69199999999999</v>
      </c>
      <c r="Q816" s="57">
        <v>105.736</v>
      </c>
      <c r="R816" s="57">
        <v>106.869</v>
      </c>
      <c r="S816" s="80">
        <v>107.8</v>
      </c>
      <c r="T816" s="63"/>
      <c r="AD816" s="57"/>
      <c r="AE816" s="57"/>
      <c r="AF816" s="57"/>
      <c r="AG816" s="57"/>
      <c r="AH816" s="57"/>
      <c r="AI816" s="57"/>
      <c r="AJ816" s="57"/>
      <c r="AK816" s="57"/>
      <c r="AL816" s="57"/>
      <c r="AM816" s="57"/>
      <c r="AN816" s="57"/>
      <c r="AO816" s="57"/>
    </row>
    <row r="817" spans="1:41">
      <c r="A817" s="55" t="s">
        <v>427</v>
      </c>
      <c r="B817" s="69" t="s">
        <v>450</v>
      </c>
      <c r="C817" s="57">
        <v>69.185000000000002</v>
      </c>
      <c r="D817" s="57">
        <v>70.253</v>
      </c>
      <c r="E817" s="57">
        <v>72.450999999999993</v>
      </c>
      <c r="F817" s="57">
        <v>75.248000000000005</v>
      </c>
      <c r="G817" s="57">
        <v>76.932000000000002</v>
      </c>
      <c r="H817" s="57">
        <v>80.138000000000005</v>
      </c>
      <c r="I817" s="57">
        <v>83.366</v>
      </c>
      <c r="J817" s="57">
        <v>86.93</v>
      </c>
      <c r="K817" s="57">
        <v>90.462000000000003</v>
      </c>
      <c r="L817" s="57">
        <v>93.376000000000005</v>
      </c>
      <c r="M817" s="57">
        <v>96.468999999999994</v>
      </c>
      <c r="N817" s="57">
        <v>99.096000000000004</v>
      </c>
      <c r="O817" s="57">
        <v>100</v>
      </c>
      <c r="P817" s="57">
        <v>103.333</v>
      </c>
      <c r="Q817" s="57">
        <v>106.29600000000001</v>
      </c>
      <c r="R817" s="57">
        <v>106.93899999999999</v>
      </c>
      <c r="S817" s="80">
        <v>108.943</v>
      </c>
      <c r="T817" s="63"/>
      <c r="AD817" s="57"/>
      <c r="AE817" s="57"/>
      <c r="AF817" s="57"/>
      <c r="AG817" s="57"/>
      <c r="AH817" s="57"/>
      <c r="AI817" s="57"/>
      <c r="AJ817" s="57"/>
      <c r="AK817" s="57"/>
      <c r="AL817" s="57"/>
      <c r="AM817" s="57"/>
      <c r="AN817" s="57"/>
      <c r="AO817" s="57"/>
    </row>
    <row r="818" spans="1:41" ht="15">
      <c r="A818" s="55" t="s">
        <v>427</v>
      </c>
      <c r="B818" s="70" t="s">
        <v>451</v>
      </c>
      <c r="C818" s="79">
        <v>71.582999999999998</v>
      </c>
      <c r="D818" s="79">
        <v>71.572000000000003</v>
      </c>
      <c r="E818" s="79">
        <v>73.209999999999994</v>
      </c>
      <c r="F818" s="79">
        <v>73.606999999999999</v>
      </c>
      <c r="G818" s="79">
        <v>77.558000000000007</v>
      </c>
      <c r="H818" s="79">
        <v>80.361999999999995</v>
      </c>
      <c r="I818" s="79">
        <v>82.718999999999994</v>
      </c>
      <c r="J818" s="79">
        <v>83.08</v>
      </c>
      <c r="K818" s="79">
        <v>83.396000000000001</v>
      </c>
      <c r="L818" s="79">
        <v>88.346999999999994</v>
      </c>
      <c r="M818" s="79">
        <v>91.736000000000004</v>
      </c>
      <c r="N818" s="57">
        <v>94.994</v>
      </c>
      <c r="O818" s="57">
        <v>100</v>
      </c>
      <c r="P818" s="57">
        <v>103.27200000000001</v>
      </c>
      <c r="Q818" s="57">
        <v>105.393</v>
      </c>
      <c r="R818" s="57">
        <v>106.699</v>
      </c>
      <c r="S818" s="80">
        <v>108.075</v>
      </c>
      <c r="AD818" s="57"/>
      <c r="AE818" s="57"/>
      <c r="AF818" s="57"/>
      <c r="AG818" s="57"/>
      <c r="AH818" s="57"/>
      <c r="AI818" s="57"/>
      <c r="AJ818" s="57"/>
      <c r="AK818" s="57"/>
      <c r="AL818" s="57"/>
      <c r="AM818" s="57"/>
      <c r="AN818" s="57"/>
      <c r="AO818" s="57"/>
    </row>
    <row r="819" spans="1:41">
      <c r="A819" s="55" t="s">
        <v>427</v>
      </c>
      <c r="B819" s="65" t="s">
        <v>221</v>
      </c>
      <c r="C819" s="79">
        <v>64.641000000000005</v>
      </c>
      <c r="D819" s="79">
        <v>65.899000000000001</v>
      </c>
      <c r="E819" s="79">
        <v>68.364000000000004</v>
      </c>
      <c r="F819" s="79">
        <v>71.569999999999993</v>
      </c>
      <c r="G819" s="79">
        <v>74.165999999999997</v>
      </c>
      <c r="H819" s="79">
        <v>75.77</v>
      </c>
      <c r="I819" s="79">
        <v>78.852000000000004</v>
      </c>
      <c r="J819" s="79">
        <v>82.858999999999995</v>
      </c>
      <c r="K819" s="79">
        <v>87.153000000000006</v>
      </c>
      <c r="L819" s="79">
        <v>91.150999999999996</v>
      </c>
      <c r="M819" s="79">
        <v>95.257999999999996</v>
      </c>
      <c r="N819" s="57">
        <v>100.126</v>
      </c>
      <c r="O819" s="57">
        <v>100</v>
      </c>
      <c r="P819" s="57">
        <v>103.25700000000001</v>
      </c>
      <c r="Q819" s="57">
        <v>106.495</v>
      </c>
      <c r="R819" s="57">
        <v>108.36</v>
      </c>
      <c r="S819" s="80">
        <v>110.181</v>
      </c>
      <c r="T819" s="63"/>
      <c r="AD819" s="57"/>
      <c r="AE819" s="57"/>
      <c r="AF819" s="57"/>
      <c r="AG819" s="57"/>
      <c r="AH819" s="57"/>
      <c r="AI819" s="57"/>
      <c r="AJ819" s="57"/>
      <c r="AK819" s="57"/>
      <c r="AL819" s="57"/>
      <c r="AM819" s="57"/>
      <c r="AN819" s="57"/>
      <c r="AO819" s="57"/>
    </row>
    <row r="820" spans="1:41">
      <c r="A820" s="55" t="s">
        <v>427</v>
      </c>
      <c r="B820" s="65" t="s">
        <v>452</v>
      </c>
      <c r="C820" s="79">
        <v>64.295000000000002</v>
      </c>
      <c r="D820" s="79">
        <v>65.625</v>
      </c>
      <c r="E820" s="79">
        <v>68.260999999999996</v>
      </c>
      <c r="F820" s="79">
        <v>71.521000000000001</v>
      </c>
      <c r="G820" s="79">
        <v>74.072999999999993</v>
      </c>
      <c r="H820" s="79">
        <v>75.798000000000002</v>
      </c>
      <c r="I820" s="79">
        <v>78.91</v>
      </c>
      <c r="J820" s="79">
        <v>82.962999999999994</v>
      </c>
      <c r="K820" s="79">
        <v>87.057000000000002</v>
      </c>
      <c r="L820" s="79">
        <v>91.037000000000006</v>
      </c>
      <c r="M820" s="79">
        <v>95.24</v>
      </c>
      <c r="N820" s="57">
        <v>100.04600000000001</v>
      </c>
      <c r="O820" s="57">
        <v>100</v>
      </c>
      <c r="P820" s="57">
        <v>103.223</v>
      </c>
      <c r="Q820" s="57">
        <v>106.428</v>
      </c>
      <c r="R820" s="57">
        <v>108.398</v>
      </c>
      <c r="S820" s="80">
        <v>109.999</v>
      </c>
      <c r="T820" s="63"/>
      <c r="AD820" s="57"/>
      <c r="AE820" s="57"/>
      <c r="AF820" s="57"/>
      <c r="AG820" s="57"/>
      <c r="AH820" s="57"/>
      <c r="AI820" s="57"/>
      <c r="AJ820" s="57"/>
      <c r="AK820" s="57"/>
      <c r="AL820" s="57"/>
      <c r="AM820" s="57"/>
      <c r="AN820" s="57"/>
      <c r="AO820" s="57"/>
    </row>
    <row r="821" spans="1:41" ht="14.25" customHeight="1">
      <c r="A821" s="55" t="s">
        <v>427</v>
      </c>
      <c r="B821" s="65" t="s">
        <v>453</v>
      </c>
      <c r="C821" s="79">
        <v>67.486000000000004</v>
      </c>
      <c r="D821" s="79">
        <v>68.159000000000006</v>
      </c>
      <c r="E821" s="79">
        <v>69.228999999999999</v>
      </c>
      <c r="F821" s="79">
        <v>71.988</v>
      </c>
      <c r="G821" s="79">
        <v>74.962000000000003</v>
      </c>
      <c r="H821" s="79">
        <v>75.525000000000006</v>
      </c>
      <c r="I821" s="79">
        <v>78.358000000000004</v>
      </c>
      <c r="J821" s="79">
        <v>81.986000000000004</v>
      </c>
      <c r="K821" s="79">
        <v>87.912999999999997</v>
      </c>
      <c r="L821" s="79">
        <v>92.06</v>
      </c>
      <c r="M821" s="79">
        <v>95.394999999999996</v>
      </c>
      <c r="N821" s="57">
        <v>100.754</v>
      </c>
      <c r="O821" s="57">
        <v>100</v>
      </c>
      <c r="P821" s="57">
        <v>103.527</v>
      </c>
      <c r="Q821" s="57">
        <v>107.01600000000001</v>
      </c>
      <c r="R821" s="57">
        <v>108.09</v>
      </c>
      <c r="S821" s="80">
        <v>111.56</v>
      </c>
      <c r="AD821" s="57"/>
      <c r="AE821" s="57"/>
      <c r="AF821" s="57"/>
      <c r="AG821" s="57"/>
      <c r="AH821" s="57"/>
      <c r="AI821" s="57"/>
      <c r="AJ821" s="57"/>
      <c r="AK821" s="57"/>
      <c r="AL821" s="57"/>
      <c r="AM821" s="57"/>
      <c r="AN821" s="57"/>
      <c r="AO821" s="57"/>
    </row>
    <row r="822" spans="1:41">
      <c r="B822" s="55" t="s">
        <v>198</v>
      </c>
      <c r="AD822" s="57"/>
      <c r="AE822" s="57"/>
      <c r="AF822" s="57"/>
      <c r="AG822" s="57"/>
      <c r="AH822" s="57"/>
      <c r="AI822" s="57"/>
      <c r="AJ822" s="57"/>
      <c r="AK822" s="57"/>
      <c r="AL822" s="57"/>
      <c r="AM822" s="57"/>
      <c r="AN822" s="57"/>
      <c r="AO822" s="57"/>
    </row>
    <row r="823" spans="1:41" ht="14.25">
      <c r="A823" s="55" t="s">
        <v>427</v>
      </c>
      <c r="B823" s="69" t="s">
        <v>454</v>
      </c>
      <c r="C823" s="55">
        <v>78.113</v>
      </c>
      <c r="D823" s="55">
        <v>76.165000000000006</v>
      </c>
      <c r="E823" s="55">
        <v>76.207999999999998</v>
      </c>
      <c r="F823" s="55">
        <v>78.796999999999997</v>
      </c>
      <c r="G823" s="55">
        <v>78.709000000000003</v>
      </c>
      <c r="H823" s="55">
        <v>78.155000000000001</v>
      </c>
      <c r="I823" s="55">
        <v>81.018000000000001</v>
      </c>
      <c r="J823" s="55">
        <v>85.884</v>
      </c>
      <c r="K823" s="55">
        <v>91.852999999999994</v>
      </c>
      <c r="L823" s="55">
        <v>96.454999999999998</v>
      </c>
      <c r="M823" s="55">
        <v>100.572</v>
      </c>
      <c r="N823" s="55">
        <v>108.702</v>
      </c>
      <c r="O823" s="55">
        <v>100</v>
      </c>
      <c r="P823" s="55">
        <v>105.74</v>
      </c>
      <c r="Q823" s="55">
        <v>114.63200000000001</v>
      </c>
      <c r="R823" s="55">
        <v>115.81100000000001</v>
      </c>
      <c r="S823" s="80">
        <v>116.73399999999999</v>
      </c>
      <c r="AD823" s="57"/>
      <c r="AE823" s="57"/>
      <c r="AF823" s="57"/>
      <c r="AG823" s="57"/>
      <c r="AH823" s="57"/>
      <c r="AI823" s="57"/>
      <c r="AJ823" s="57"/>
      <c r="AK823" s="57"/>
      <c r="AL823" s="57"/>
      <c r="AM823" s="57"/>
      <c r="AN823" s="57"/>
      <c r="AO823" s="57"/>
    </row>
    <row r="824" spans="1:41" ht="14.25">
      <c r="A824" s="55" t="s">
        <v>427</v>
      </c>
      <c r="B824" s="69" t="s">
        <v>455</v>
      </c>
      <c r="C824" s="57">
        <v>78.311000000000007</v>
      </c>
      <c r="D824" s="57">
        <v>79.216999999999999</v>
      </c>
      <c r="E824" s="57">
        <v>80.481999999999999</v>
      </c>
      <c r="F824" s="57">
        <v>82.774000000000001</v>
      </c>
      <c r="G824" s="57">
        <v>84.23</v>
      </c>
      <c r="H824" s="57">
        <v>85.305999999999997</v>
      </c>
      <c r="I824" s="57">
        <v>87.037000000000006</v>
      </c>
      <c r="J824" s="57">
        <v>89.497</v>
      </c>
      <c r="K824" s="57">
        <v>92.16</v>
      </c>
      <c r="L824" s="57">
        <v>94.941999999999993</v>
      </c>
      <c r="M824" s="57">
        <v>97.424999999999997</v>
      </c>
      <c r="N824" s="57">
        <v>99.959000000000003</v>
      </c>
      <c r="O824" s="57">
        <v>100</v>
      </c>
      <c r="P824" s="57">
        <v>101.428</v>
      </c>
      <c r="Q824" s="57">
        <v>103.224</v>
      </c>
      <c r="R824" s="57">
        <v>105.02500000000001</v>
      </c>
      <c r="S824" s="80">
        <v>106.81100000000001</v>
      </c>
      <c r="T824" s="63"/>
      <c r="AD824" s="57"/>
      <c r="AE824" s="57"/>
      <c r="AF824" s="57"/>
      <c r="AG824" s="57"/>
      <c r="AH824" s="57"/>
      <c r="AI824" s="57"/>
      <c r="AJ824" s="57"/>
      <c r="AK824" s="57"/>
      <c r="AL824" s="57"/>
      <c r="AM824" s="57"/>
      <c r="AN824" s="57"/>
      <c r="AO824" s="57"/>
    </row>
    <row r="825" spans="1:41" ht="14.25">
      <c r="A825" s="55" t="s">
        <v>427</v>
      </c>
      <c r="B825" s="71" t="s">
        <v>456</v>
      </c>
      <c r="C825" s="57">
        <v>141.90100000000001</v>
      </c>
      <c r="D825" s="57">
        <v>131.869</v>
      </c>
      <c r="E825" s="57">
        <v>124.985</v>
      </c>
      <c r="F825" s="57">
        <v>120.021</v>
      </c>
      <c r="G825" s="57">
        <v>114.848</v>
      </c>
      <c r="H825" s="57">
        <v>112.173</v>
      </c>
      <c r="I825" s="57">
        <v>110.027</v>
      </c>
      <c r="J825" s="57">
        <v>107.95699999999999</v>
      </c>
      <c r="K825" s="57">
        <v>105.80200000000001</v>
      </c>
      <c r="L825" s="57">
        <v>104.352</v>
      </c>
      <c r="M825" s="57">
        <v>102.20699999999999</v>
      </c>
      <c r="N825" s="57">
        <v>101.03700000000001</v>
      </c>
      <c r="O825" s="57">
        <v>100</v>
      </c>
      <c r="P825" s="57">
        <v>99.257000000000005</v>
      </c>
      <c r="Q825" s="57">
        <v>98.872</v>
      </c>
      <c r="R825" s="57">
        <v>98.692999999999998</v>
      </c>
      <c r="S825" s="80">
        <v>99.171000000000006</v>
      </c>
      <c r="AD825" s="57"/>
      <c r="AE825" s="57"/>
      <c r="AF825" s="57"/>
      <c r="AG825" s="57"/>
      <c r="AH825" s="57"/>
      <c r="AI825" s="57"/>
      <c r="AJ825" s="57"/>
      <c r="AK825" s="57"/>
      <c r="AL825" s="57"/>
      <c r="AM825" s="57"/>
      <c r="AN825" s="57"/>
      <c r="AO825" s="57"/>
    </row>
    <row r="827" spans="1:41">
      <c r="A827" s="17" t="s">
        <v>428</v>
      </c>
    </row>
    <row r="828" spans="1:41">
      <c r="A828" s="55" t="s">
        <v>429</v>
      </c>
      <c r="B828" s="65" t="s">
        <v>423</v>
      </c>
      <c r="C828" s="59">
        <v>6746911</v>
      </c>
      <c r="D828" s="59">
        <v>7082086</v>
      </c>
      <c r="E828" s="59">
        <v>7584171</v>
      </c>
      <c r="F828" s="59">
        <v>8279783</v>
      </c>
      <c r="G828" s="59">
        <v>8241296</v>
      </c>
      <c r="H828" s="59">
        <v>8197480</v>
      </c>
      <c r="I828" s="59">
        <v>8624408</v>
      </c>
      <c r="J828" s="59">
        <v>9422356</v>
      </c>
      <c r="K828" s="59">
        <v>10421164</v>
      </c>
      <c r="L828" s="59">
        <v>11032067</v>
      </c>
      <c r="M828" s="59">
        <v>11673664</v>
      </c>
      <c r="N828" s="55">
        <v>12107111</v>
      </c>
      <c r="O828" s="55">
        <v>10238496</v>
      </c>
      <c r="P828" s="55">
        <v>11129143</v>
      </c>
      <c r="Q828" s="55">
        <v>12018044</v>
      </c>
      <c r="R828" s="55">
        <v>12540659</v>
      </c>
      <c r="S828" s="64">
        <v>12953232</v>
      </c>
      <c r="AD828" s="57"/>
      <c r="AE828" s="57"/>
      <c r="AF828" s="57"/>
      <c r="AG828" s="57"/>
      <c r="AH828" s="57"/>
      <c r="AI828" s="57"/>
      <c r="AJ828" s="57"/>
      <c r="AK828" s="57"/>
      <c r="AL828" s="57"/>
      <c r="AM828" s="57"/>
      <c r="AN828" s="57"/>
      <c r="AO828" s="57"/>
    </row>
    <row r="829" spans="1:41">
      <c r="A829" s="55" t="s">
        <v>429</v>
      </c>
      <c r="B829" s="65" t="s">
        <v>326</v>
      </c>
      <c r="C829" s="59">
        <v>6230046</v>
      </c>
      <c r="D829" s="59">
        <v>6545085</v>
      </c>
      <c r="E829" s="59">
        <v>7004008</v>
      </c>
      <c r="F829" s="59">
        <v>7654356</v>
      </c>
      <c r="G829" s="59">
        <v>7552536</v>
      </c>
      <c r="H829" s="59">
        <v>7457431</v>
      </c>
      <c r="I829" s="59">
        <v>7834985</v>
      </c>
      <c r="J829" s="59">
        <v>8575331</v>
      </c>
      <c r="K829" s="59">
        <v>9509357</v>
      </c>
      <c r="L829" s="59">
        <v>10048898</v>
      </c>
      <c r="M829" s="59">
        <v>10632253</v>
      </c>
      <c r="N829" s="55">
        <v>10973602</v>
      </c>
      <c r="O829" s="55">
        <v>9072941</v>
      </c>
      <c r="P829" s="55">
        <v>9927449</v>
      </c>
      <c r="Q829" s="55">
        <v>10815698</v>
      </c>
      <c r="R829" s="55">
        <v>11317392</v>
      </c>
      <c r="S829" s="64">
        <v>11735182</v>
      </c>
      <c r="AD829" s="57"/>
      <c r="AE829" s="57"/>
      <c r="AF829" s="57"/>
      <c r="AG829" s="57"/>
      <c r="AH829" s="57"/>
      <c r="AI829" s="57"/>
      <c r="AJ829" s="57"/>
      <c r="AK829" s="57"/>
      <c r="AL829" s="57"/>
      <c r="AM829" s="57"/>
      <c r="AN829" s="57"/>
      <c r="AO829" s="57"/>
    </row>
    <row r="830" spans="1:41">
      <c r="A830" s="55" t="s">
        <v>429</v>
      </c>
      <c r="B830" s="65" t="s">
        <v>327</v>
      </c>
      <c r="C830" s="59">
        <v>148996</v>
      </c>
      <c r="D830" s="59">
        <v>149765</v>
      </c>
      <c r="E830" s="59">
        <v>152441</v>
      </c>
      <c r="F830" s="59">
        <v>145016</v>
      </c>
      <c r="G830" s="59">
        <v>151206</v>
      </c>
      <c r="H830" s="59">
        <v>145537</v>
      </c>
      <c r="I830" s="59">
        <v>152078</v>
      </c>
      <c r="J830" s="59">
        <v>164459</v>
      </c>
      <c r="K830" s="59">
        <v>171062</v>
      </c>
      <c r="L830" s="59">
        <v>175153</v>
      </c>
      <c r="M830" s="59">
        <v>204943</v>
      </c>
      <c r="N830" s="55">
        <v>226015</v>
      </c>
      <c r="O830" s="55">
        <v>204270</v>
      </c>
      <c r="P830" s="55">
        <v>212535</v>
      </c>
      <c r="Q830" s="55">
        <v>237420</v>
      </c>
      <c r="R830" s="55">
        <v>261053</v>
      </c>
      <c r="S830" s="64">
        <v>251699</v>
      </c>
      <c r="T830" s="63"/>
      <c r="AD830" s="57"/>
      <c r="AE830" s="57"/>
      <c r="AF830" s="57"/>
      <c r="AG830" s="57"/>
      <c r="AH830" s="57"/>
      <c r="AI830" s="57"/>
      <c r="AJ830" s="57"/>
      <c r="AK830" s="57"/>
      <c r="AL830" s="57"/>
      <c r="AM830" s="57"/>
      <c r="AN830" s="57"/>
      <c r="AO830" s="57"/>
    </row>
    <row r="831" spans="1:41">
      <c r="A831" s="55" t="s">
        <v>429</v>
      </c>
      <c r="B831" s="65" t="s">
        <v>328</v>
      </c>
      <c r="C831" s="59">
        <v>131244</v>
      </c>
      <c r="D831" s="59">
        <v>128792</v>
      </c>
      <c r="E831" s="59">
        <v>129015</v>
      </c>
      <c r="F831" s="59">
        <v>128272</v>
      </c>
      <c r="G831" s="59">
        <v>134241</v>
      </c>
      <c r="H831" s="59">
        <v>127864</v>
      </c>
      <c r="I831" s="59">
        <v>133736</v>
      </c>
      <c r="J831" s="59">
        <v>142914</v>
      </c>
      <c r="K831" s="59">
        <v>148506</v>
      </c>
      <c r="L831" s="59">
        <v>156408</v>
      </c>
      <c r="M831" s="59">
        <v>188952</v>
      </c>
      <c r="N831" s="55">
        <v>209751</v>
      </c>
      <c r="O831" s="55">
        <v>191372</v>
      </c>
      <c r="P831" s="55">
        <v>198522</v>
      </c>
      <c r="Q831" s="55">
        <v>220731</v>
      </c>
      <c r="R831" s="55">
        <v>243880</v>
      </c>
      <c r="S831" s="64">
        <v>234417</v>
      </c>
      <c r="T831" s="63"/>
      <c r="AD831" s="57"/>
      <c r="AE831" s="57"/>
      <c r="AF831" s="57"/>
      <c r="AG831" s="57"/>
      <c r="AH831" s="57"/>
      <c r="AI831" s="57"/>
      <c r="AJ831" s="57"/>
      <c r="AK831" s="57"/>
      <c r="AL831" s="57"/>
      <c r="AM831" s="57"/>
      <c r="AN831" s="57"/>
      <c r="AO831" s="57"/>
    </row>
    <row r="832" spans="1:41">
      <c r="A832" s="55" t="s">
        <v>429</v>
      </c>
      <c r="B832" s="65" t="s">
        <v>329</v>
      </c>
      <c r="C832" s="59">
        <v>17752</v>
      </c>
      <c r="D832" s="59">
        <v>20973</v>
      </c>
      <c r="E832" s="59">
        <v>23426</v>
      </c>
      <c r="F832" s="59">
        <v>16744</v>
      </c>
      <c r="G832" s="59">
        <v>16965</v>
      </c>
      <c r="H832" s="59">
        <v>17673</v>
      </c>
      <c r="I832" s="59">
        <v>18342</v>
      </c>
      <c r="J832" s="59">
        <v>21545</v>
      </c>
      <c r="K832" s="59">
        <v>22556</v>
      </c>
      <c r="L832" s="59">
        <v>18745</v>
      </c>
      <c r="M832" s="59">
        <v>15991</v>
      </c>
      <c r="N832" s="55">
        <v>16264</v>
      </c>
      <c r="O832" s="55">
        <v>12898</v>
      </c>
      <c r="P832" s="55">
        <v>14013</v>
      </c>
      <c r="Q832" s="55">
        <v>16689</v>
      </c>
      <c r="R832" s="55">
        <v>17173</v>
      </c>
      <c r="S832" s="64">
        <v>17282</v>
      </c>
      <c r="AD832" s="57"/>
      <c r="AE832" s="57"/>
      <c r="AF832" s="57"/>
      <c r="AG832" s="57"/>
      <c r="AH832" s="57"/>
      <c r="AI832" s="57"/>
      <c r="AJ832" s="57"/>
      <c r="AK832" s="57"/>
      <c r="AL832" s="57"/>
      <c r="AM832" s="57"/>
      <c r="AN832" s="57"/>
      <c r="AO832" s="57"/>
    </row>
    <row r="833" spans="1:41">
      <c r="A833" s="55" t="s">
        <v>429</v>
      </c>
      <c r="B833" s="65" t="s">
        <v>330</v>
      </c>
      <c r="C833" s="59">
        <v>79056</v>
      </c>
      <c r="D833" s="59">
        <v>67723</v>
      </c>
      <c r="E833" s="59">
        <v>69687</v>
      </c>
      <c r="F833" s="59">
        <v>105783</v>
      </c>
      <c r="G833" s="59">
        <v>99077</v>
      </c>
      <c r="H833" s="59">
        <v>80578</v>
      </c>
      <c r="I833" s="59">
        <v>110463</v>
      </c>
      <c r="J833" s="59">
        <v>130205</v>
      </c>
      <c r="K833" s="59">
        <v>165118</v>
      </c>
      <c r="L833" s="59">
        <v>166518</v>
      </c>
      <c r="M833" s="59">
        <v>157429</v>
      </c>
      <c r="N833" s="55">
        <v>190907</v>
      </c>
      <c r="O833" s="55">
        <v>90055</v>
      </c>
      <c r="P833" s="55">
        <v>131600</v>
      </c>
      <c r="Q833" s="55">
        <v>157440</v>
      </c>
      <c r="R833" s="55">
        <v>172492</v>
      </c>
      <c r="S833" s="64">
        <v>191239</v>
      </c>
      <c r="T833" s="63"/>
      <c r="AD833" s="57"/>
      <c r="AE833" s="57"/>
      <c r="AF833" s="57"/>
      <c r="AG833" s="57"/>
      <c r="AH833" s="57"/>
      <c r="AI833" s="57"/>
      <c r="AJ833" s="57"/>
      <c r="AK833" s="57"/>
      <c r="AL833" s="57"/>
      <c r="AM833" s="57"/>
      <c r="AN833" s="57"/>
      <c r="AO833" s="57"/>
    </row>
    <row r="834" spans="1:41">
      <c r="A834" s="55" t="s">
        <v>429</v>
      </c>
      <c r="B834" s="65" t="s">
        <v>331</v>
      </c>
      <c r="C834" s="59">
        <v>42637</v>
      </c>
      <c r="D834" s="59">
        <v>33280</v>
      </c>
      <c r="E834" s="59">
        <v>41228</v>
      </c>
      <c r="F834" s="59">
        <v>76659</v>
      </c>
      <c r="G834" s="59">
        <v>65456</v>
      </c>
      <c r="H834" s="59">
        <v>46379</v>
      </c>
      <c r="I834" s="59">
        <v>72620</v>
      </c>
      <c r="J834" s="59">
        <v>85466</v>
      </c>
      <c r="K834" s="59">
        <v>104396</v>
      </c>
      <c r="L834" s="59">
        <v>92776</v>
      </c>
      <c r="M834" s="59">
        <v>88353</v>
      </c>
      <c r="N834" s="55">
        <v>114845</v>
      </c>
      <c r="O834" s="55">
        <v>39042</v>
      </c>
      <c r="P834" s="55">
        <v>80347</v>
      </c>
      <c r="Q834" s="55">
        <v>91172</v>
      </c>
      <c r="R834" s="55">
        <v>88041</v>
      </c>
      <c r="S834" s="64">
        <v>107258</v>
      </c>
      <c r="T834" s="63"/>
      <c r="AD834" s="57"/>
      <c r="AE834" s="57"/>
      <c r="AF834" s="57"/>
      <c r="AG834" s="57"/>
      <c r="AH834" s="57"/>
      <c r="AI834" s="57"/>
      <c r="AJ834" s="57"/>
      <c r="AK834" s="57"/>
      <c r="AL834" s="57"/>
      <c r="AM834" s="57"/>
      <c r="AN834" s="57"/>
      <c r="AO834" s="57"/>
    </row>
    <row r="835" spans="1:41">
      <c r="A835" s="55" t="s">
        <v>429</v>
      </c>
      <c r="B835" s="65" t="s">
        <v>332</v>
      </c>
      <c r="C835" s="59">
        <v>29179</v>
      </c>
      <c r="D835" s="59">
        <v>25895</v>
      </c>
      <c r="E835" s="59">
        <v>23341</v>
      </c>
      <c r="F835" s="59">
        <v>25803</v>
      </c>
      <c r="G835" s="59">
        <v>26331</v>
      </c>
      <c r="H835" s="59">
        <v>26582</v>
      </c>
      <c r="I835" s="59">
        <v>27367</v>
      </c>
      <c r="J835" s="59">
        <v>32881</v>
      </c>
      <c r="K835" s="59">
        <v>40371</v>
      </c>
      <c r="L835" s="59">
        <v>47052</v>
      </c>
      <c r="M835" s="59">
        <v>45126</v>
      </c>
      <c r="N835" s="55">
        <v>53522</v>
      </c>
      <c r="O835" s="55">
        <v>38604</v>
      </c>
      <c r="P835" s="55">
        <v>37423</v>
      </c>
      <c r="Q835" s="55">
        <v>47425</v>
      </c>
      <c r="R835" s="55">
        <v>52000</v>
      </c>
      <c r="S835" s="64">
        <v>49166</v>
      </c>
      <c r="T835" s="63"/>
      <c r="AD835" s="57"/>
      <c r="AE835" s="57"/>
      <c r="AF835" s="57"/>
      <c r="AG835" s="57"/>
      <c r="AH835" s="57"/>
      <c r="AI835" s="57"/>
      <c r="AJ835" s="57"/>
      <c r="AK835" s="57"/>
      <c r="AL835" s="57"/>
      <c r="AM835" s="57"/>
      <c r="AN835" s="57"/>
      <c r="AO835" s="57"/>
    </row>
    <row r="836" spans="1:41">
      <c r="A836" s="55" t="s">
        <v>429</v>
      </c>
      <c r="B836" s="65" t="s">
        <v>333</v>
      </c>
      <c r="C836" s="59">
        <v>7240</v>
      </c>
      <c r="D836" s="59">
        <v>8548</v>
      </c>
      <c r="E836" s="59">
        <v>5119</v>
      </c>
      <c r="F836" s="59">
        <v>3321</v>
      </c>
      <c r="G836" s="59">
        <v>7290</v>
      </c>
      <c r="H836" s="59">
        <v>7617</v>
      </c>
      <c r="I836" s="59">
        <v>10477</v>
      </c>
      <c r="J836" s="59">
        <v>11858</v>
      </c>
      <c r="K836" s="59">
        <v>20352</v>
      </c>
      <c r="L836" s="59">
        <v>26689</v>
      </c>
      <c r="M836" s="59">
        <v>23951</v>
      </c>
      <c r="N836" s="55">
        <v>22540</v>
      </c>
      <c r="O836" s="55">
        <v>12409</v>
      </c>
      <c r="P836" s="55">
        <v>13830</v>
      </c>
      <c r="Q836" s="55">
        <v>18844</v>
      </c>
      <c r="R836" s="55">
        <v>32450</v>
      </c>
      <c r="S836" s="64">
        <v>34816</v>
      </c>
      <c r="AD836" s="57"/>
      <c r="AE836" s="57"/>
      <c r="AF836" s="57"/>
      <c r="AG836" s="57"/>
      <c r="AH836" s="57"/>
      <c r="AI836" s="57"/>
      <c r="AJ836" s="57"/>
      <c r="AK836" s="57"/>
      <c r="AL836" s="57"/>
      <c r="AM836" s="57"/>
      <c r="AN836" s="57"/>
      <c r="AO836" s="57"/>
    </row>
    <row r="837" spans="1:41">
      <c r="A837" s="55" t="s">
        <v>429</v>
      </c>
      <c r="B837" s="65" t="s">
        <v>334</v>
      </c>
      <c r="C837" s="59">
        <v>82079</v>
      </c>
      <c r="D837" s="59">
        <v>91894</v>
      </c>
      <c r="E837" s="59">
        <v>122529</v>
      </c>
      <c r="F837" s="59">
        <v>180549</v>
      </c>
      <c r="G837" s="59">
        <v>248020</v>
      </c>
      <c r="H837" s="59">
        <v>138900</v>
      </c>
      <c r="I837" s="59">
        <v>149261</v>
      </c>
      <c r="J837" s="59">
        <v>141828</v>
      </c>
      <c r="K837" s="59">
        <v>206851</v>
      </c>
      <c r="L837" s="59">
        <v>180128</v>
      </c>
      <c r="M837" s="59">
        <v>203155</v>
      </c>
      <c r="N837" s="55">
        <v>252892</v>
      </c>
      <c r="O837" s="55">
        <v>138471</v>
      </c>
      <c r="P837" s="55">
        <v>156464</v>
      </c>
      <c r="Q837" s="55">
        <v>128720</v>
      </c>
      <c r="R837" s="55">
        <v>101946</v>
      </c>
      <c r="S837" s="64">
        <v>109940</v>
      </c>
      <c r="AD837" s="57"/>
      <c r="AE837" s="57"/>
      <c r="AF837" s="57"/>
      <c r="AG837" s="57"/>
      <c r="AH837" s="57"/>
      <c r="AI837" s="57"/>
      <c r="AJ837" s="57"/>
      <c r="AK837" s="57"/>
      <c r="AL837" s="57"/>
      <c r="AM837" s="57"/>
      <c r="AN837" s="57"/>
      <c r="AO837" s="57"/>
    </row>
    <row r="838" spans="1:41">
      <c r="A838" s="55" t="s">
        <v>429</v>
      </c>
      <c r="B838" s="65" t="s">
        <v>335</v>
      </c>
      <c r="C838" s="59">
        <v>368892</v>
      </c>
      <c r="D838" s="59">
        <v>394060</v>
      </c>
      <c r="E838" s="59">
        <v>420047</v>
      </c>
      <c r="F838" s="59">
        <v>449462</v>
      </c>
      <c r="G838" s="59">
        <v>467169</v>
      </c>
      <c r="H838" s="59">
        <v>473071</v>
      </c>
      <c r="I838" s="59">
        <v>507994</v>
      </c>
      <c r="J838" s="59">
        <v>564955</v>
      </c>
      <c r="K838" s="59">
        <v>626021</v>
      </c>
      <c r="L838" s="59">
        <v>646770</v>
      </c>
      <c r="M838" s="59">
        <v>614398</v>
      </c>
      <c r="N838" s="55">
        <v>613034</v>
      </c>
      <c r="O838" s="55">
        <v>513060</v>
      </c>
      <c r="P838" s="55">
        <v>466677</v>
      </c>
      <c r="Q838" s="55">
        <v>461944</v>
      </c>
      <c r="R838" s="55">
        <v>483733</v>
      </c>
      <c r="S838" s="64">
        <v>514944</v>
      </c>
      <c r="AD838" s="57"/>
      <c r="AE838" s="57"/>
      <c r="AF838" s="57"/>
      <c r="AG838" s="57"/>
      <c r="AH838" s="57"/>
      <c r="AI838" s="57"/>
      <c r="AJ838" s="57"/>
      <c r="AK838" s="57"/>
      <c r="AL838" s="57"/>
      <c r="AM838" s="57"/>
      <c r="AN838" s="57"/>
      <c r="AO838" s="57"/>
    </row>
    <row r="839" spans="1:41">
      <c r="A839" s="55" t="s">
        <v>429</v>
      </c>
      <c r="B839" s="65" t="s">
        <v>336</v>
      </c>
      <c r="C839" s="59">
        <v>2455903</v>
      </c>
      <c r="D839" s="59">
        <v>2477927</v>
      </c>
      <c r="E839" s="59">
        <v>2551865</v>
      </c>
      <c r="F839" s="59">
        <v>2669976</v>
      </c>
      <c r="G839" s="59">
        <v>2522917</v>
      </c>
      <c r="H839" s="59">
        <v>2467110</v>
      </c>
      <c r="I839" s="59">
        <v>2494721</v>
      </c>
      <c r="J839" s="59">
        <v>2716879</v>
      </c>
      <c r="K839" s="59">
        <v>3066722</v>
      </c>
      <c r="L839" s="59">
        <v>3248539</v>
      </c>
      <c r="M839" s="59">
        <v>3500081</v>
      </c>
      <c r="N839" s="55">
        <v>3643714</v>
      </c>
      <c r="O839" s="55">
        <v>2742613</v>
      </c>
      <c r="P839" s="55">
        <v>3161936</v>
      </c>
      <c r="Q839" s="55">
        <v>3674631</v>
      </c>
      <c r="R839" s="55">
        <v>3806840</v>
      </c>
      <c r="S839" s="64">
        <v>3911850</v>
      </c>
      <c r="AD839" s="57"/>
      <c r="AE839" s="57"/>
      <c r="AF839" s="57"/>
      <c r="AG839" s="57"/>
      <c r="AH839" s="57"/>
      <c r="AI839" s="57"/>
      <c r="AJ839" s="57"/>
      <c r="AK839" s="57"/>
      <c r="AL839" s="57"/>
      <c r="AM839" s="57"/>
      <c r="AN839" s="57"/>
      <c r="AO839" s="57"/>
    </row>
    <row r="840" spans="1:41">
      <c r="A840" s="55" t="s">
        <v>429</v>
      </c>
      <c r="B840" s="65" t="s">
        <v>337</v>
      </c>
      <c r="C840" s="59">
        <v>1332602</v>
      </c>
      <c r="D840" s="59">
        <v>1394949</v>
      </c>
      <c r="E840" s="59">
        <v>1456649</v>
      </c>
      <c r="F840" s="59">
        <v>1461409</v>
      </c>
      <c r="G840" s="59">
        <v>1369803</v>
      </c>
      <c r="H840" s="59">
        <v>1309027</v>
      </c>
      <c r="I840" s="59">
        <v>1291298</v>
      </c>
      <c r="J840" s="59">
        <v>1391698</v>
      </c>
      <c r="K840" s="59">
        <v>1515146</v>
      </c>
      <c r="L840" s="59">
        <v>1608160</v>
      </c>
      <c r="M840" s="59">
        <v>1706091</v>
      </c>
      <c r="N840" s="55">
        <v>1667945</v>
      </c>
      <c r="O840" s="55">
        <v>1244399</v>
      </c>
      <c r="P840" s="55">
        <v>1409333</v>
      </c>
      <c r="Q840" s="55">
        <v>1588578</v>
      </c>
      <c r="R840" s="55">
        <v>1725455</v>
      </c>
      <c r="S840" s="64">
        <v>1808943</v>
      </c>
      <c r="T840" s="63"/>
      <c r="AD840" s="57"/>
      <c r="AE840" s="57"/>
      <c r="AF840" s="57"/>
      <c r="AG840" s="57"/>
      <c r="AH840" s="57"/>
      <c r="AI840" s="57"/>
      <c r="AJ840" s="57"/>
      <c r="AK840" s="57"/>
      <c r="AL840" s="57"/>
      <c r="AM840" s="57"/>
      <c r="AN840" s="57"/>
      <c r="AO840" s="57"/>
    </row>
    <row r="841" spans="1:41">
      <c r="A841" s="55" t="s">
        <v>429</v>
      </c>
      <c r="B841" s="65" t="s">
        <v>338</v>
      </c>
      <c r="C841" s="59">
        <v>60759</v>
      </c>
      <c r="D841" s="59">
        <v>63346</v>
      </c>
      <c r="E841" s="59">
        <v>67856</v>
      </c>
      <c r="F841" s="59">
        <v>64826</v>
      </c>
      <c r="G841" s="59">
        <v>59014</v>
      </c>
      <c r="H841" s="59">
        <v>61382</v>
      </c>
      <c r="I841" s="59">
        <v>62113</v>
      </c>
      <c r="J841" s="59">
        <v>71575</v>
      </c>
      <c r="K841" s="59">
        <v>78190</v>
      </c>
      <c r="L841" s="59">
        <v>81090</v>
      </c>
      <c r="M841" s="59">
        <v>71955</v>
      </c>
      <c r="N841" s="55">
        <v>62195</v>
      </c>
      <c r="O841" s="55">
        <v>43775</v>
      </c>
      <c r="P841" s="55">
        <v>48179</v>
      </c>
      <c r="Q841" s="55">
        <v>48747</v>
      </c>
      <c r="R841" s="55">
        <v>52561</v>
      </c>
      <c r="S841" s="64">
        <v>61575</v>
      </c>
      <c r="T841" s="63"/>
      <c r="AD841" s="57"/>
      <c r="AE841" s="57"/>
      <c r="AF841" s="57"/>
      <c r="AG841" s="57"/>
      <c r="AH841" s="57"/>
      <c r="AI841" s="57"/>
      <c r="AJ841" s="57"/>
      <c r="AK841" s="57"/>
      <c r="AL841" s="57"/>
      <c r="AM841" s="57"/>
      <c r="AN841" s="57"/>
      <c r="AO841" s="57"/>
    </row>
    <row r="842" spans="1:41">
      <c r="A842" s="55" t="s">
        <v>429</v>
      </c>
      <c r="B842" s="65" t="s">
        <v>339</v>
      </c>
      <c r="C842" s="59">
        <v>44902</v>
      </c>
      <c r="D842" s="59">
        <v>49918</v>
      </c>
      <c r="E842" s="59">
        <v>51190</v>
      </c>
      <c r="F842" s="59">
        <v>53125</v>
      </c>
      <c r="G842" s="59">
        <v>51861</v>
      </c>
      <c r="H842" s="59">
        <v>52325</v>
      </c>
      <c r="I842" s="59">
        <v>53362</v>
      </c>
      <c r="J842" s="59">
        <v>55975</v>
      </c>
      <c r="K842" s="59">
        <v>63229</v>
      </c>
      <c r="L842" s="59">
        <v>74244</v>
      </c>
      <c r="M842" s="59">
        <v>76431</v>
      </c>
      <c r="N842" s="55">
        <v>69655</v>
      </c>
      <c r="O842" s="55">
        <v>51602</v>
      </c>
      <c r="P842" s="55">
        <v>54606</v>
      </c>
      <c r="Q842" s="55">
        <v>56311</v>
      </c>
      <c r="R842" s="55">
        <v>57480</v>
      </c>
      <c r="S842" s="64">
        <v>60674</v>
      </c>
      <c r="T842" s="63"/>
      <c r="AD842" s="57"/>
      <c r="AE842" s="57"/>
      <c r="AF842" s="57"/>
      <c r="AG842" s="57"/>
      <c r="AH842" s="57"/>
      <c r="AI842" s="57"/>
      <c r="AJ842" s="57"/>
      <c r="AK842" s="57"/>
      <c r="AL842" s="57"/>
      <c r="AM842" s="57"/>
      <c r="AN842" s="57"/>
      <c r="AO842" s="57"/>
    </row>
    <row r="843" spans="1:41">
      <c r="A843" s="55" t="s">
        <v>429</v>
      </c>
      <c r="B843" s="65" t="s">
        <v>340</v>
      </c>
      <c r="C843" s="59">
        <v>118811</v>
      </c>
      <c r="D843" s="59">
        <v>116343</v>
      </c>
      <c r="E843" s="59">
        <v>109383</v>
      </c>
      <c r="F843" s="59">
        <v>107702</v>
      </c>
      <c r="G843" s="59">
        <v>95444</v>
      </c>
      <c r="H843" s="59">
        <v>96585</v>
      </c>
      <c r="I843" s="59">
        <v>97303</v>
      </c>
      <c r="J843" s="59">
        <v>125739</v>
      </c>
      <c r="K843" s="59">
        <v>145194</v>
      </c>
      <c r="L843" s="59">
        <v>169488</v>
      </c>
      <c r="M843" s="59">
        <v>190840</v>
      </c>
      <c r="N843" s="55">
        <v>212231</v>
      </c>
      <c r="O843" s="55">
        <v>125876</v>
      </c>
      <c r="P843" s="55">
        <v>185688</v>
      </c>
      <c r="Q843" s="55">
        <v>221754</v>
      </c>
      <c r="R843" s="55">
        <v>234631</v>
      </c>
      <c r="S843" s="64">
        <v>235835</v>
      </c>
      <c r="T843" s="63"/>
      <c r="AD843" s="57"/>
      <c r="AE843" s="57"/>
      <c r="AF843" s="57"/>
      <c r="AG843" s="57"/>
      <c r="AH843" s="57"/>
      <c r="AI843" s="57"/>
      <c r="AJ843" s="57"/>
      <c r="AK843" s="57"/>
      <c r="AL843" s="57"/>
      <c r="AM843" s="57"/>
      <c r="AN843" s="57"/>
      <c r="AO843" s="57"/>
    </row>
    <row r="844" spans="1:41">
      <c r="A844" s="55" t="s">
        <v>429</v>
      </c>
      <c r="B844" s="65" t="s">
        <v>341</v>
      </c>
      <c r="C844" s="59">
        <v>131099</v>
      </c>
      <c r="D844" s="59">
        <v>140337</v>
      </c>
      <c r="E844" s="59">
        <v>138973</v>
      </c>
      <c r="F844" s="59">
        <v>145103</v>
      </c>
      <c r="G844" s="59">
        <v>139295</v>
      </c>
      <c r="H844" s="59">
        <v>139145</v>
      </c>
      <c r="I844" s="59">
        <v>134079</v>
      </c>
      <c r="J844" s="59">
        <v>143947</v>
      </c>
      <c r="K844" s="59">
        <v>163994</v>
      </c>
      <c r="L844" s="59">
        <v>188370</v>
      </c>
      <c r="M844" s="59">
        <v>205980</v>
      </c>
      <c r="N844" s="55">
        <v>223750</v>
      </c>
      <c r="O844" s="55">
        <v>162458</v>
      </c>
      <c r="P844" s="55">
        <v>174680</v>
      </c>
      <c r="Q844" s="55">
        <v>200675</v>
      </c>
      <c r="R844" s="55">
        <v>207130</v>
      </c>
      <c r="S844" s="64">
        <v>206586</v>
      </c>
      <c r="T844" s="63"/>
      <c r="AD844" s="57"/>
      <c r="AE844" s="57"/>
      <c r="AF844" s="57"/>
      <c r="AG844" s="57"/>
      <c r="AH844" s="57"/>
      <c r="AI844" s="57"/>
      <c r="AJ844" s="57"/>
      <c r="AK844" s="57"/>
      <c r="AL844" s="57"/>
      <c r="AM844" s="57"/>
      <c r="AN844" s="57"/>
      <c r="AO844" s="57"/>
    </row>
    <row r="845" spans="1:41">
      <c r="A845" s="55" t="s">
        <v>429</v>
      </c>
      <c r="B845" s="65" t="s">
        <v>342</v>
      </c>
      <c r="C845" s="59">
        <v>165460</v>
      </c>
      <c r="D845" s="59">
        <v>162933</v>
      </c>
      <c r="E845" s="59">
        <v>163578</v>
      </c>
      <c r="F845" s="59">
        <v>178543</v>
      </c>
      <c r="G845" s="59">
        <v>156358</v>
      </c>
      <c r="H845" s="59">
        <v>150167</v>
      </c>
      <c r="I845" s="59">
        <v>155534</v>
      </c>
      <c r="J845" s="59">
        <v>163672</v>
      </c>
      <c r="K845" s="59">
        <v>185837</v>
      </c>
      <c r="L845" s="59">
        <v>202741</v>
      </c>
      <c r="M845" s="59">
        <v>215011</v>
      </c>
      <c r="N845" s="55">
        <v>221965</v>
      </c>
      <c r="O845" s="55">
        <v>168868</v>
      </c>
      <c r="P845" s="55">
        <v>193977</v>
      </c>
      <c r="Q845" s="55">
        <v>228872</v>
      </c>
      <c r="R845" s="55">
        <v>259587</v>
      </c>
      <c r="S845" s="64">
        <v>269692</v>
      </c>
      <c r="T845" s="63"/>
      <c r="AD845" s="57"/>
      <c r="AE845" s="57"/>
      <c r="AF845" s="57"/>
      <c r="AG845" s="57"/>
      <c r="AH845" s="57"/>
      <c r="AI845" s="57"/>
      <c r="AJ845" s="57"/>
      <c r="AK845" s="57"/>
      <c r="AL845" s="57"/>
      <c r="AM845" s="57"/>
      <c r="AN845" s="57"/>
      <c r="AO845" s="57"/>
    </row>
    <row r="846" spans="1:41">
      <c r="A846" s="55" t="s">
        <v>429</v>
      </c>
      <c r="B846" s="65" t="s">
        <v>343</v>
      </c>
      <c r="C846" s="59">
        <v>254727</v>
      </c>
      <c r="D846" s="59">
        <v>258011</v>
      </c>
      <c r="E846" s="59">
        <v>288976</v>
      </c>
      <c r="F846" s="59">
        <v>302007</v>
      </c>
      <c r="G846" s="59">
        <v>272206</v>
      </c>
      <c r="H846" s="59">
        <v>204800</v>
      </c>
      <c r="I846" s="59">
        <v>184629</v>
      </c>
      <c r="J846" s="59">
        <v>190108</v>
      </c>
      <c r="K846" s="59">
        <v>187321</v>
      </c>
      <c r="L846" s="59">
        <v>189321</v>
      </c>
      <c r="M846" s="59">
        <v>203822</v>
      </c>
      <c r="N846" s="55">
        <v>185546</v>
      </c>
      <c r="O846" s="55">
        <v>124508</v>
      </c>
      <c r="P846" s="55">
        <v>119703</v>
      </c>
      <c r="Q846" s="55">
        <v>127462</v>
      </c>
      <c r="R846" s="55">
        <v>115469</v>
      </c>
      <c r="S846" s="64">
        <v>109726</v>
      </c>
      <c r="T846" s="63"/>
      <c r="AD846" s="57"/>
      <c r="AE846" s="57"/>
      <c r="AF846" s="57"/>
      <c r="AG846" s="57"/>
      <c r="AH846" s="57"/>
      <c r="AI846" s="57"/>
      <c r="AJ846" s="57"/>
      <c r="AK846" s="57"/>
      <c r="AL846" s="57"/>
      <c r="AM846" s="57"/>
      <c r="AN846" s="57"/>
      <c r="AO846" s="57"/>
    </row>
    <row r="847" spans="1:41">
      <c r="A847" s="55" t="s">
        <v>429</v>
      </c>
      <c r="B847" s="65" t="s">
        <v>344</v>
      </c>
      <c r="C847" s="59">
        <v>63722</v>
      </c>
      <c r="D847" s="59">
        <v>73873</v>
      </c>
      <c r="E847" s="59">
        <v>71247</v>
      </c>
      <c r="F847" s="59">
        <v>76788</v>
      </c>
      <c r="G847" s="59">
        <v>65759</v>
      </c>
      <c r="H847" s="59">
        <v>56842</v>
      </c>
      <c r="I847" s="59">
        <v>52436</v>
      </c>
      <c r="J847" s="59">
        <v>60627</v>
      </c>
      <c r="K847" s="59">
        <v>65924</v>
      </c>
      <c r="L847" s="59">
        <v>65751</v>
      </c>
      <c r="M847" s="59">
        <v>76349</v>
      </c>
      <c r="N847" s="55">
        <v>71350</v>
      </c>
      <c r="O847" s="55">
        <v>51671</v>
      </c>
      <c r="P847" s="55">
        <v>58357</v>
      </c>
      <c r="Q847" s="55">
        <v>69375</v>
      </c>
      <c r="R847" s="55">
        <v>69573</v>
      </c>
      <c r="S847" s="64">
        <v>69033</v>
      </c>
      <c r="T847" s="63"/>
      <c r="AD847" s="57"/>
      <c r="AE847" s="57"/>
      <c r="AF847" s="57"/>
      <c r="AG847" s="57"/>
      <c r="AH847" s="57"/>
      <c r="AI847" s="57"/>
      <c r="AJ847" s="57"/>
      <c r="AK847" s="57"/>
      <c r="AL847" s="57"/>
      <c r="AM847" s="57"/>
      <c r="AN847" s="57"/>
      <c r="AO847" s="57"/>
    </row>
    <row r="848" spans="1:41">
      <c r="A848" s="55" t="s">
        <v>429</v>
      </c>
      <c r="B848" s="65" t="s">
        <v>345</v>
      </c>
      <c r="C848" s="59">
        <v>316245</v>
      </c>
      <c r="D848" s="59">
        <v>322355</v>
      </c>
      <c r="E848" s="59">
        <v>367176</v>
      </c>
      <c r="F848" s="59">
        <v>344078</v>
      </c>
      <c r="G848" s="59">
        <v>330076</v>
      </c>
      <c r="H848" s="59">
        <v>342237</v>
      </c>
      <c r="I848" s="59">
        <v>345243</v>
      </c>
      <c r="J848" s="59">
        <v>369096</v>
      </c>
      <c r="K848" s="59">
        <v>386890</v>
      </c>
      <c r="L848" s="59">
        <v>389824</v>
      </c>
      <c r="M848" s="59">
        <v>388095</v>
      </c>
      <c r="N848" s="55">
        <v>329476</v>
      </c>
      <c r="O848" s="55">
        <v>271571</v>
      </c>
      <c r="P848" s="55">
        <v>329766</v>
      </c>
      <c r="Q848" s="55">
        <v>377708</v>
      </c>
      <c r="R848" s="55">
        <v>414634</v>
      </c>
      <c r="S848" s="64">
        <v>462865</v>
      </c>
      <c r="T848" s="63"/>
      <c r="AD848" s="57"/>
      <c r="AE848" s="57"/>
      <c r="AF848" s="57"/>
      <c r="AG848" s="57"/>
      <c r="AH848" s="57"/>
      <c r="AI848" s="57"/>
      <c r="AJ848" s="57"/>
      <c r="AK848" s="57"/>
      <c r="AL848" s="57"/>
      <c r="AM848" s="57"/>
      <c r="AN848" s="57"/>
      <c r="AO848" s="57"/>
    </row>
    <row r="849" spans="1:41">
      <c r="A849" s="55" t="s">
        <v>429</v>
      </c>
      <c r="B849" s="65" t="s">
        <v>346</v>
      </c>
      <c r="C849" s="59">
        <v>93364</v>
      </c>
      <c r="D849" s="59">
        <v>117719</v>
      </c>
      <c r="E849" s="59">
        <v>106674</v>
      </c>
      <c r="F849" s="59">
        <v>90974</v>
      </c>
      <c r="G849" s="59">
        <v>103247</v>
      </c>
      <c r="H849" s="59">
        <v>99949</v>
      </c>
      <c r="I849" s="59">
        <v>97278</v>
      </c>
      <c r="J849" s="59">
        <v>98960</v>
      </c>
      <c r="K849" s="59">
        <v>111729</v>
      </c>
      <c r="L849" s="59">
        <v>116487</v>
      </c>
      <c r="M849" s="59">
        <v>147216</v>
      </c>
      <c r="N849" s="55">
        <v>159121</v>
      </c>
      <c r="O849" s="55">
        <v>138238</v>
      </c>
      <c r="P849" s="55">
        <v>135935</v>
      </c>
      <c r="Q849" s="55">
        <v>140966</v>
      </c>
      <c r="R849" s="55">
        <v>186176</v>
      </c>
      <c r="S849" s="64">
        <v>201795</v>
      </c>
      <c r="T849" s="63"/>
      <c r="AD849" s="57"/>
      <c r="AE849" s="57"/>
      <c r="AF849" s="57"/>
      <c r="AG849" s="57"/>
      <c r="AH849" s="57"/>
      <c r="AI849" s="57"/>
      <c r="AJ849" s="57"/>
      <c r="AK849" s="57"/>
      <c r="AL849" s="57"/>
      <c r="AM849" s="57"/>
      <c r="AN849" s="57"/>
      <c r="AO849" s="57"/>
    </row>
    <row r="850" spans="1:41">
      <c r="A850" s="55" t="s">
        <v>429</v>
      </c>
      <c r="B850" s="65" t="s">
        <v>347</v>
      </c>
      <c r="C850" s="59">
        <v>36142</v>
      </c>
      <c r="D850" s="59">
        <v>39895</v>
      </c>
      <c r="E850" s="59">
        <v>40881</v>
      </c>
      <c r="F850" s="59">
        <v>41300</v>
      </c>
      <c r="G850" s="59">
        <v>40115</v>
      </c>
      <c r="H850" s="59">
        <v>44362</v>
      </c>
      <c r="I850" s="59">
        <v>44196</v>
      </c>
      <c r="J850" s="59">
        <v>46969</v>
      </c>
      <c r="K850" s="59">
        <v>50268</v>
      </c>
      <c r="L850" s="59">
        <v>50718</v>
      </c>
      <c r="M850" s="59">
        <v>50419</v>
      </c>
      <c r="N850" s="55">
        <v>49253</v>
      </c>
      <c r="O850" s="55">
        <v>36681</v>
      </c>
      <c r="P850" s="55">
        <v>35346</v>
      </c>
      <c r="Q850" s="55">
        <v>37878</v>
      </c>
      <c r="R850" s="55">
        <v>40104</v>
      </c>
      <c r="S850" s="64">
        <v>41610</v>
      </c>
      <c r="T850" s="63"/>
      <c r="AD850" s="57"/>
      <c r="AE850" s="57"/>
      <c r="AF850" s="57"/>
      <c r="AG850" s="57"/>
      <c r="AH850" s="57"/>
      <c r="AI850" s="57"/>
      <c r="AJ850" s="57"/>
      <c r="AK850" s="57"/>
      <c r="AL850" s="57"/>
      <c r="AM850" s="57"/>
      <c r="AN850" s="57"/>
      <c r="AO850" s="57"/>
    </row>
    <row r="851" spans="1:41">
      <c r="A851" s="55" t="s">
        <v>429</v>
      </c>
      <c r="B851" s="65" t="s">
        <v>348</v>
      </c>
      <c r="C851" s="59">
        <v>47370</v>
      </c>
      <c r="D851" s="59">
        <v>50219</v>
      </c>
      <c r="E851" s="59">
        <v>50716</v>
      </c>
      <c r="F851" s="59">
        <v>56964</v>
      </c>
      <c r="G851" s="59">
        <v>56429</v>
      </c>
      <c r="H851" s="59">
        <v>61233</v>
      </c>
      <c r="I851" s="59">
        <v>65125</v>
      </c>
      <c r="J851" s="59">
        <v>65029</v>
      </c>
      <c r="K851" s="59">
        <v>76570</v>
      </c>
      <c r="L851" s="59">
        <v>80128</v>
      </c>
      <c r="M851" s="59">
        <v>79973</v>
      </c>
      <c r="N851" s="55">
        <v>83405</v>
      </c>
      <c r="O851" s="55">
        <v>69151</v>
      </c>
      <c r="P851" s="55">
        <v>73096</v>
      </c>
      <c r="Q851" s="55">
        <v>78831</v>
      </c>
      <c r="R851" s="55">
        <v>88111</v>
      </c>
      <c r="S851" s="64">
        <v>89553</v>
      </c>
      <c r="AD851" s="57"/>
      <c r="AE851" s="57"/>
      <c r="AF851" s="57"/>
      <c r="AG851" s="57"/>
      <c r="AH851" s="57"/>
      <c r="AI851" s="57"/>
      <c r="AJ851" s="57"/>
      <c r="AK851" s="57"/>
      <c r="AL851" s="57"/>
      <c r="AM851" s="57"/>
      <c r="AN851" s="57"/>
      <c r="AO851" s="57"/>
    </row>
    <row r="852" spans="1:41">
      <c r="A852" s="55" t="s">
        <v>429</v>
      </c>
      <c r="B852" s="65" t="s">
        <v>349</v>
      </c>
      <c r="C852" s="59">
        <v>1123302</v>
      </c>
      <c r="D852" s="59">
        <v>1082979</v>
      </c>
      <c r="E852" s="59">
        <v>1095216</v>
      </c>
      <c r="F852" s="59">
        <v>1208567</v>
      </c>
      <c r="G852" s="59">
        <v>1153113</v>
      </c>
      <c r="H852" s="59">
        <v>1158083</v>
      </c>
      <c r="I852" s="59">
        <v>1203423</v>
      </c>
      <c r="J852" s="59">
        <v>1325181</v>
      </c>
      <c r="K852" s="59">
        <v>1551576</v>
      </c>
      <c r="L852" s="59">
        <v>1640379</v>
      </c>
      <c r="M852" s="59">
        <v>1793990</v>
      </c>
      <c r="N852" s="55">
        <v>1975768</v>
      </c>
      <c r="O852" s="55">
        <v>1498215</v>
      </c>
      <c r="P852" s="55">
        <v>1752603</v>
      </c>
      <c r="Q852" s="55">
        <v>2086054</v>
      </c>
      <c r="R852" s="55">
        <v>2081385</v>
      </c>
      <c r="S852" s="64">
        <v>2102908</v>
      </c>
      <c r="AD852" s="57"/>
      <c r="AE852" s="57"/>
      <c r="AF852" s="57"/>
      <c r="AG852" s="57"/>
      <c r="AH852" s="57"/>
      <c r="AI852" s="57"/>
      <c r="AJ852" s="57"/>
      <c r="AK852" s="57"/>
      <c r="AL852" s="57"/>
      <c r="AM852" s="57"/>
      <c r="AN852" s="57"/>
      <c r="AO852" s="57"/>
    </row>
    <row r="853" spans="1:41">
      <c r="A853" s="55" t="s">
        <v>429</v>
      </c>
      <c r="B853" s="65" t="s">
        <v>350</v>
      </c>
      <c r="C853" s="59">
        <v>383631</v>
      </c>
      <c r="D853" s="59">
        <v>389237</v>
      </c>
      <c r="E853" s="59">
        <v>372356</v>
      </c>
      <c r="F853" s="59">
        <v>388052</v>
      </c>
      <c r="G853" s="59">
        <v>398733</v>
      </c>
      <c r="H853" s="59">
        <v>387730</v>
      </c>
      <c r="I853" s="59">
        <v>418101</v>
      </c>
      <c r="J853" s="59">
        <v>449324</v>
      </c>
      <c r="K853" s="59">
        <v>479612</v>
      </c>
      <c r="L853" s="59">
        <v>469896</v>
      </c>
      <c r="M853" s="59">
        <v>521186</v>
      </c>
      <c r="N853" s="55">
        <v>574335</v>
      </c>
      <c r="O853" s="55">
        <v>531696</v>
      </c>
      <c r="P853" s="55">
        <v>574530</v>
      </c>
      <c r="Q853" s="55">
        <v>650108</v>
      </c>
      <c r="R853" s="55">
        <v>659581</v>
      </c>
      <c r="S853" s="64">
        <v>675453</v>
      </c>
      <c r="T853" s="63"/>
      <c r="AD853" s="57"/>
      <c r="AE853" s="57"/>
      <c r="AF853" s="57"/>
      <c r="AG853" s="57"/>
      <c r="AH853" s="57"/>
      <c r="AI853" s="57"/>
      <c r="AJ853" s="57"/>
      <c r="AK853" s="57"/>
      <c r="AL853" s="57"/>
      <c r="AM853" s="57"/>
      <c r="AN853" s="57"/>
      <c r="AO853" s="57"/>
    </row>
    <row r="854" spans="1:41">
      <c r="A854" s="55" t="s">
        <v>429</v>
      </c>
      <c r="B854" s="65" t="s">
        <v>351</v>
      </c>
      <c r="C854" s="59">
        <v>62317</v>
      </c>
      <c r="D854" s="59">
        <v>60447</v>
      </c>
      <c r="E854" s="59">
        <v>58586</v>
      </c>
      <c r="F854" s="59">
        <v>57279</v>
      </c>
      <c r="G854" s="59">
        <v>52202</v>
      </c>
      <c r="H854" s="59">
        <v>51745</v>
      </c>
      <c r="I854" s="59">
        <v>54075</v>
      </c>
      <c r="J854" s="59">
        <v>50762</v>
      </c>
      <c r="K854" s="59">
        <v>55472</v>
      </c>
      <c r="L854" s="59">
        <v>50806</v>
      </c>
      <c r="M854" s="59">
        <v>43701</v>
      </c>
      <c r="N854" s="55">
        <v>39556</v>
      </c>
      <c r="O854" s="55">
        <v>30987</v>
      </c>
      <c r="P854" s="55">
        <v>34317</v>
      </c>
      <c r="Q854" s="55">
        <v>37363</v>
      </c>
      <c r="R854" s="55">
        <v>38117</v>
      </c>
      <c r="S854" s="64">
        <v>39093</v>
      </c>
      <c r="T854" s="63"/>
      <c r="AD854" s="57"/>
      <c r="AE854" s="57"/>
      <c r="AF854" s="57"/>
      <c r="AG854" s="57"/>
      <c r="AH854" s="57"/>
      <c r="AI854" s="57"/>
      <c r="AJ854" s="57"/>
      <c r="AK854" s="57"/>
      <c r="AL854" s="57"/>
      <c r="AM854" s="57"/>
      <c r="AN854" s="57"/>
      <c r="AO854" s="57"/>
    </row>
    <row r="855" spans="1:41">
      <c r="A855" s="55" t="s">
        <v>429</v>
      </c>
      <c r="B855" s="65" t="s">
        <v>352</v>
      </c>
      <c r="C855" s="59">
        <v>55771</v>
      </c>
      <c r="D855" s="59">
        <v>50163</v>
      </c>
      <c r="E855" s="59">
        <v>48704</v>
      </c>
      <c r="F855" s="59">
        <v>45626</v>
      </c>
      <c r="G855" s="59">
        <v>37650</v>
      </c>
      <c r="H855" s="59">
        <v>31403</v>
      </c>
      <c r="I855" s="59">
        <v>28072</v>
      </c>
      <c r="J855" s="59">
        <v>23324</v>
      </c>
      <c r="K855" s="59">
        <v>22898</v>
      </c>
      <c r="L855" s="59">
        <v>21663</v>
      </c>
      <c r="M855" s="59">
        <v>14835</v>
      </c>
      <c r="N855" s="55">
        <v>10068</v>
      </c>
      <c r="O855" s="55">
        <v>7815</v>
      </c>
      <c r="P855" s="55">
        <v>8087</v>
      </c>
      <c r="Q855" s="55">
        <v>15435</v>
      </c>
      <c r="R855" s="55">
        <v>23021</v>
      </c>
      <c r="S855" s="64">
        <v>19310</v>
      </c>
      <c r="T855" s="63"/>
      <c r="AD855" s="57"/>
      <c r="AE855" s="57"/>
      <c r="AF855" s="57"/>
      <c r="AG855" s="57"/>
      <c r="AH855" s="57"/>
      <c r="AI855" s="57"/>
      <c r="AJ855" s="57"/>
      <c r="AK855" s="57"/>
      <c r="AL855" s="57"/>
      <c r="AM855" s="57"/>
      <c r="AN855" s="57"/>
      <c r="AO855" s="57"/>
    </row>
    <row r="856" spans="1:41">
      <c r="A856" s="55" t="s">
        <v>429</v>
      </c>
      <c r="B856" s="65" t="s">
        <v>353</v>
      </c>
      <c r="C856" s="59">
        <v>93377</v>
      </c>
      <c r="D856" s="59">
        <v>97028</v>
      </c>
      <c r="E856" s="59">
        <v>95926</v>
      </c>
      <c r="F856" s="59">
        <v>101224</v>
      </c>
      <c r="G856" s="59">
        <v>101030</v>
      </c>
      <c r="H856" s="59">
        <v>97888</v>
      </c>
      <c r="I856" s="59">
        <v>97441</v>
      </c>
      <c r="J856" s="59">
        <v>99806</v>
      </c>
      <c r="K856" s="59">
        <v>107975</v>
      </c>
      <c r="L856" s="59">
        <v>109257</v>
      </c>
      <c r="M856" s="59">
        <v>118240</v>
      </c>
      <c r="N856" s="55">
        <v>125996</v>
      </c>
      <c r="O856" s="55">
        <v>101500</v>
      </c>
      <c r="P856" s="55">
        <v>113417</v>
      </c>
      <c r="Q856" s="55">
        <v>122018</v>
      </c>
      <c r="R856" s="55">
        <v>120711</v>
      </c>
      <c r="S856" s="64">
        <v>118175</v>
      </c>
      <c r="T856" s="63"/>
      <c r="AD856" s="57"/>
      <c r="AE856" s="57"/>
      <c r="AF856" s="57"/>
      <c r="AG856" s="57"/>
      <c r="AH856" s="57"/>
      <c r="AI856" s="57"/>
      <c r="AJ856" s="57"/>
      <c r="AK856" s="57"/>
      <c r="AL856" s="57"/>
      <c r="AM856" s="57"/>
      <c r="AN856" s="57"/>
      <c r="AO856" s="57"/>
    </row>
    <row r="857" spans="1:41">
      <c r="A857" s="55" t="s">
        <v>429</v>
      </c>
      <c r="B857" s="65" t="s">
        <v>354</v>
      </c>
      <c r="C857" s="59">
        <v>60554</v>
      </c>
      <c r="D857" s="59">
        <v>61937</v>
      </c>
      <c r="E857" s="59">
        <v>62126</v>
      </c>
      <c r="F857" s="59">
        <v>63918</v>
      </c>
      <c r="G857" s="59">
        <v>61755</v>
      </c>
      <c r="H857" s="59">
        <v>57532</v>
      </c>
      <c r="I857" s="59">
        <v>53363</v>
      </c>
      <c r="J857" s="59">
        <v>53396</v>
      </c>
      <c r="K857" s="59">
        <v>54295</v>
      </c>
      <c r="L857" s="59">
        <v>54004</v>
      </c>
      <c r="M857" s="59">
        <v>56096</v>
      </c>
      <c r="N857" s="55">
        <v>54346</v>
      </c>
      <c r="O857" s="55">
        <v>44495</v>
      </c>
      <c r="P857" s="55">
        <v>44699</v>
      </c>
      <c r="Q857" s="55">
        <v>45616</v>
      </c>
      <c r="R857" s="55">
        <v>44113</v>
      </c>
      <c r="S857" s="64">
        <v>42369</v>
      </c>
      <c r="T857" s="63"/>
      <c r="AD857" s="57"/>
      <c r="AE857" s="57"/>
      <c r="AF857" s="57"/>
      <c r="AG857" s="57"/>
      <c r="AH857" s="57"/>
      <c r="AI857" s="57"/>
      <c r="AJ857" s="57"/>
      <c r="AK857" s="57"/>
      <c r="AL857" s="57"/>
      <c r="AM857" s="57"/>
      <c r="AN857" s="57"/>
      <c r="AO857" s="57"/>
    </row>
    <row r="858" spans="1:41">
      <c r="A858" s="55" t="s">
        <v>429</v>
      </c>
      <c r="B858" s="65" t="s">
        <v>355</v>
      </c>
      <c r="C858" s="59">
        <v>127312</v>
      </c>
      <c r="D858" s="59">
        <v>84860</v>
      </c>
      <c r="E858" s="59">
        <v>113530</v>
      </c>
      <c r="F858" s="59">
        <v>177618</v>
      </c>
      <c r="G858" s="59">
        <v>146721</v>
      </c>
      <c r="H858" s="59">
        <v>160400</v>
      </c>
      <c r="I858" s="59">
        <v>161677</v>
      </c>
      <c r="J858" s="59">
        <v>216529</v>
      </c>
      <c r="K858" s="59">
        <v>315674</v>
      </c>
      <c r="L858" s="59">
        <v>392607</v>
      </c>
      <c r="M858" s="59">
        <v>447088</v>
      </c>
      <c r="N858" s="55">
        <v>574829</v>
      </c>
      <c r="O858" s="55">
        <v>364739</v>
      </c>
      <c r="P858" s="55">
        <v>471712</v>
      </c>
      <c r="Q858" s="55">
        <v>638423</v>
      </c>
      <c r="R858" s="55">
        <v>631790</v>
      </c>
      <c r="S858" s="64">
        <v>625894</v>
      </c>
      <c r="T858" s="63"/>
      <c r="AD858" s="57"/>
      <c r="AE858" s="57"/>
      <c r="AF858" s="57"/>
      <c r="AG858" s="57"/>
      <c r="AH858" s="57"/>
      <c r="AI858" s="57"/>
      <c r="AJ858" s="57"/>
      <c r="AK858" s="57"/>
      <c r="AL858" s="57"/>
      <c r="AM858" s="57"/>
      <c r="AN858" s="57"/>
      <c r="AO858" s="57"/>
    </row>
    <row r="859" spans="1:41">
      <c r="A859" s="55" t="s">
        <v>429</v>
      </c>
      <c r="B859" s="65" t="s">
        <v>356</v>
      </c>
      <c r="C859" s="59">
        <v>240035</v>
      </c>
      <c r="D859" s="59">
        <v>238365</v>
      </c>
      <c r="E859" s="59">
        <v>238760</v>
      </c>
      <c r="F859" s="59">
        <v>263719</v>
      </c>
      <c r="G859" s="59">
        <v>249881</v>
      </c>
      <c r="H859" s="59">
        <v>262606</v>
      </c>
      <c r="I859" s="59">
        <v>278851</v>
      </c>
      <c r="J859" s="59">
        <v>314751</v>
      </c>
      <c r="K859" s="59">
        <v>382241</v>
      </c>
      <c r="L859" s="59">
        <v>398080</v>
      </c>
      <c r="M859" s="59">
        <v>451275</v>
      </c>
      <c r="N859" s="55">
        <v>455553</v>
      </c>
      <c r="O859" s="55">
        <v>312351</v>
      </c>
      <c r="P859" s="55">
        <v>384035</v>
      </c>
      <c r="Q859" s="55">
        <v>442515</v>
      </c>
      <c r="R859" s="55">
        <v>425300</v>
      </c>
      <c r="S859" s="64">
        <v>438679</v>
      </c>
      <c r="T859" s="63"/>
      <c r="AD859" s="57"/>
      <c r="AE859" s="57"/>
      <c r="AF859" s="57"/>
      <c r="AG859" s="57"/>
      <c r="AH859" s="57"/>
      <c r="AI859" s="57"/>
      <c r="AJ859" s="57"/>
      <c r="AK859" s="57"/>
      <c r="AL859" s="57"/>
      <c r="AM859" s="57"/>
      <c r="AN859" s="57"/>
      <c r="AO859" s="57"/>
    </row>
    <row r="860" spans="1:41">
      <c r="A860" s="55" t="s">
        <v>429</v>
      </c>
      <c r="B860" s="65" t="s">
        <v>357</v>
      </c>
      <c r="C860" s="59">
        <v>100304</v>
      </c>
      <c r="D860" s="59">
        <v>100942</v>
      </c>
      <c r="E860" s="59">
        <v>105227</v>
      </c>
      <c r="F860" s="59">
        <v>111131</v>
      </c>
      <c r="G860" s="59">
        <v>105141</v>
      </c>
      <c r="H860" s="59">
        <v>108779</v>
      </c>
      <c r="I860" s="59">
        <v>111843</v>
      </c>
      <c r="J860" s="59">
        <v>117290</v>
      </c>
      <c r="K860" s="59">
        <v>133407</v>
      </c>
      <c r="L860" s="59">
        <v>144066</v>
      </c>
      <c r="M860" s="59">
        <v>141570</v>
      </c>
      <c r="N860" s="55">
        <v>141085</v>
      </c>
      <c r="O860" s="55">
        <v>104631</v>
      </c>
      <c r="P860" s="55">
        <v>121805</v>
      </c>
      <c r="Q860" s="55">
        <v>134576</v>
      </c>
      <c r="R860" s="55">
        <v>138751</v>
      </c>
      <c r="S860" s="64">
        <v>143933</v>
      </c>
      <c r="AD860" s="57"/>
      <c r="AE860" s="57"/>
      <c r="AF860" s="57"/>
      <c r="AG860" s="57"/>
      <c r="AH860" s="57"/>
      <c r="AI860" s="57"/>
      <c r="AJ860" s="57"/>
      <c r="AK860" s="57"/>
      <c r="AL860" s="57"/>
      <c r="AM860" s="57"/>
      <c r="AN860" s="57"/>
      <c r="AO860" s="57"/>
    </row>
    <row r="861" spans="1:41">
      <c r="A861" s="55" t="s">
        <v>429</v>
      </c>
      <c r="B861" s="65" t="s">
        <v>358</v>
      </c>
      <c r="C861" s="59">
        <v>218292</v>
      </c>
      <c r="D861" s="59">
        <v>208008</v>
      </c>
      <c r="E861" s="59">
        <v>242039</v>
      </c>
      <c r="F861" s="59">
        <v>259303</v>
      </c>
      <c r="G861" s="59">
        <v>244717</v>
      </c>
      <c r="H861" s="59">
        <v>276679</v>
      </c>
      <c r="I861" s="59">
        <v>278644</v>
      </c>
      <c r="J861" s="59">
        <v>319505</v>
      </c>
      <c r="K861" s="59">
        <v>357430</v>
      </c>
      <c r="L861" s="59">
        <v>380862</v>
      </c>
      <c r="M861" s="59">
        <v>408614</v>
      </c>
      <c r="N861" s="55">
        <v>433620</v>
      </c>
      <c r="O861" s="55">
        <v>269203</v>
      </c>
      <c r="P861" s="55">
        <v>384595</v>
      </c>
      <c r="Q861" s="55">
        <v>450532</v>
      </c>
      <c r="R861" s="55">
        <v>472013</v>
      </c>
      <c r="S861" s="64">
        <v>498230</v>
      </c>
      <c r="AD861" s="57"/>
      <c r="AE861" s="57"/>
      <c r="AF861" s="57"/>
      <c r="AG861" s="57"/>
      <c r="AH861" s="57"/>
      <c r="AI861" s="57"/>
      <c r="AJ861" s="57"/>
      <c r="AK861" s="57"/>
      <c r="AL861" s="57"/>
      <c r="AM861" s="57"/>
      <c r="AN861" s="57"/>
      <c r="AO861" s="57"/>
    </row>
    <row r="862" spans="1:41">
      <c r="A862" s="55" t="s">
        <v>429</v>
      </c>
      <c r="B862" s="65" t="s">
        <v>359</v>
      </c>
      <c r="C862" s="59">
        <v>263776</v>
      </c>
      <c r="D862" s="59">
        <v>250779</v>
      </c>
      <c r="E862" s="59">
        <v>286091</v>
      </c>
      <c r="F862" s="59">
        <v>297192</v>
      </c>
      <c r="G862" s="59">
        <v>275892</v>
      </c>
      <c r="H862" s="59">
        <v>302101</v>
      </c>
      <c r="I862" s="59">
        <v>328763</v>
      </c>
      <c r="J862" s="59">
        <v>382856</v>
      </c>
      <c r="K862" s="59">
        <v>384930</v>
      </c>
      <c r="L862" s="59">
        <v>417066</v>
      </c>
      <c r="M862" s="59">
        <v>443113</v>
      </c>
      <c r="N862" s="55">
        <v>424611</v>
      </c>
      <c r="O862" s="55">
        <v>380397</v>
      </c>
      <c r="P862" s="55">
        <v>458740</v>
      </c>
      <c r="Q862" s="55">
        <v>475956</v>
      </c>
      <c r="R862" s="55">
        <v>518890</v>
      </c>
      <c r="S862" s="64">
        <v>546261</v>
      </c>
      <c r="T862" s="63"/>
      <c r="AD862" s="57"/>
      <c r="AE862" s="57"/>
      <c r="AF862" s="57"/>
      <c r="AG862" s="57"/>
      <c r="AH862" s="57"/>
      <c r="AI862" s="57"/>
      <c r="AJ862" s="57"/>
      <c r="AK862" s="57"/>
      <c r="AL862" s="57"/>
      <c r="AM862" s="57"/>
      <c r="AN862" s="57"/>
      <c r="AO862" s="57"/>
    </row>
    <row r="863" spans="1:41">
      <c r="A863" s="55" t="s">
        <v>429</v>
      </c>
      <c r="B863" s="68" t="s">
        <v>438</v>
      </c>
      <c r="C863" s="59">
        <v>44789</v>
      </c>
      <c r="D863" s="59">
        <v>43087</v>
      </c>
      <c r="E863" s="59">
        <v>52535</v>
      </c>
      <c r="F863" s="59">
        <v>47871</v>
      </c>
      <c r="G863" s="59">
        <v>34820</v>
      </c>
      <c r="H863" s="59">
        <v>54842</v>
      </c>
      <c r="I863" s="59">
        <v>56330</v>
      </c>
      <c r="J863" s="59">
        <v>58279</v>
      </c>
      <c r="K863" s="59">
        <v>49644</v>
      </c>
      <c r="L863" s="59">
        <v>48655</v>
      </c>
      <c r="M863" s="59">
        <v>48376</v>
      </c>
      <c r="N863" s="55">
        <v>37052</v>
      </c>
      <c r="O863" s="55">
        <v>20208</v>
      </c>
      <c r="P863" s="55">
        <v>58544</v>
      </c>
      <c r="Q863" s="55">
        <v>56237</v>
      </c>
      <c r="R863" s="55">
        <v>76605</v>
      </c>
      <c r="S863" s="64">
        <v>77757</v>
      </c>
      <c r="T863" s="63"/>
      <c r="AD863" s="57"/>
      <c r="AE863" s="57"/>
      <c r="AF863" s="57"/>
      <c r="AG863" s="57"/>
      <c r="AH863" s="57"/>
      <c r="AI863" s="57"/>
      <c r="AJ863" s="57"/>
      <c r="AK863" s="57"/>
      <c r="AL863" s="57"/>
      <c r="AM863" s="57"/>
      <c r="AN863" s="57"/>
      <c r="AO863" s="57"/>
    </row>
    <row r="864" spans="1:41">
      <c r="A864" s="55" t="s">
        <v>429</v>
      </c>
      <c r="B864" s="68" t="s">
        <v>439</v>
      </c>
      <c r="C864" s="59">
        <v>39096</v>
      </c>
      <c r="D864" s="59">
        <v>34916</v>
      </c>
      <c r="E864" s="59">
        <v>39908</v>
      </c>
      <c r="F864" s="59">
        <v>38533</v>
      </c>
      <c r="G864" s="59">
        <v>42822</v>
      </c>
      <c r="H864" s="59">
        <v>41068</v>
      </c>
      <c r="I864" s="59">
        <v>42991</v>
      </c>
      <c r="J864" s="59">
        <v>49911</v>
      </c>
      <c r="K864" s="59">
        <v>50727</v>
      </c>
      <c r="L864" s="59">
        <v>56471</v>
      </c>
      <c r="M864" s="59">
        <v>61940</v>
      </c>
      <c r="N864" s="55">
        <v>64896</v>
      </c>
      <c r="O864" s="55">
        <v>58222</v>
      </c>
      <c r="P864" s="55">
        <v>62202</v>
      </c>
      <c r="Q864" s="55">
        <v>68672</v>
      </c>
      <c r="R864" s="55">
        <v>69083</v>
      </c>
      <c r="S864" s="64">
        <v>71030</v>
      </c>
      <c r="T864" s="63"/>
      <c r="AD864" s="57"/>
      <c r="AE864" s="57"/>
      <c r="AF864" s="57"/>
      <c r="AG864" s="57"/>
      <c r="AH864" s="57"/>
      <c r="AI864" s="57"/>
      <c r="AJ864" s="57"/>
      <c r="AK864" s="57"/>
      <c r="AL864" s="57"/>
      <c r="AM864" s="57"/>
      <c r="AN864" s="57"/>
      <c r="AO864" s="57"/>
    </row>
    <row r="865" spans="1:41">
      <c r="A865" s="55" t="s">
        <v>429</v>
      </c>
      <c r="B865" s="68" t="s">
        <v>440</v>
      </c>
      <c r="C865" s="59">
        <v>28166</v>
      </c>
      <c r="D865" s="59">
        <v>27763</v>
      </c>
      <c r="E865" s="59">
        <v>32460</v>
      </c>
      <c r="F865" s="59">
        <v>30510</v>
      </c>
      <c r="G865" s="59">
        <v>30259</v>
      </c>
      <c r="H865" s="59">
        <v>27432</v>
      </c>
      <c r="I865" s="59">
        <v>36381</v>
      </c>
      <c r="J865" s="59">
        <v>46900</v>
      </c>
      <c r="K865" s="59">
        <v>49160</v>
      </c>
      <c r="L865" s="59">
        <v>56960</v>
      </c>
      <c r="M865" s="59">
        <v>69309</v>
      </c>
      <c r="N865" s="55">
        <v>72829</v>
      </c>
      <c r="O865" s="55">
        <v>76954</v>
      </c>
      <c r="P865" s="55">
        <v>83930</v>
      </c>
      <c r="Q865" s="55">
        <v>77346</v>
      </c>
      <c r="R865" s="55">
        <v>72093</v>
      </c>
      <c r="S865" s="64">
        <v>74712</v>
      </c>
      <c r="T865" s="63"/>
      <c r="AD865" s="57"/>
      <c r="AE865" s="57"/>
      <c r="AF865" s="57"/>
      <c r="AG865" s="57"/>
      <c r="AH865" s="57"/>
      <c r="AI865" s="57"/>
      <c r="AJ865" s="57"/>
      <c r="AK865" s="57"/>
      <c r="AL865" s="57"/>
      <c r="AM865" s="57"/>
      <c r="AN865" s="57"/>
      <c r="AO865" s="57"/>
    </row>
    <row r="866" spans="1:41">
      <c r="A866" s="55" t="s">
        <v>429</v>
      </c>
      <c r="B866" s="68" t="s">
        <v>441</v>
      </c>
      <c r="C866" s="59">
        <v>151725</v>
      </c>
      <c r="D866" s="59">
        <v>145012</v>
      </c>
      <c r="E866" s="59">
        <v>161189</v>
      </c>
      <c r="F866" s="59">
        <v>180278</v>
      </c>
      <c r="G866" s="59">
        <v>167992</v>
      </c>
      <c r="H866" s="59">
        <v>178759</v>
      </c>
      <c r="I866" s="59">
        <v>193059</v>
      </c>
      <c r="J866" s="59">
        <v>227765</v>
      </c>
      <c r="K866" s="59">
        <v>235399</v>
      </c>
      <c r="L866" s="59">
        <v>254979</v>
      </c>
      <c r="M866" s="59">
        <v>263488</v>
      </c>
      <c r="N866" s="55">
        <v>249835</v>
      </c>
      <c r="O866" s="55">
        <v>225014</v>
      </c>
      <c r="P866" s="55">
        <v>254064</v>
      </c>
      <c r="Q866" s="55">
        <v>273701</v>
      </c>
      <c r="R866" s="55">
        <v>301110</v>
      </c>
      <c r="S866" s="64">
        <v>322762</v>
      </c>
      <c r="AD866" s="57"/>
      <c r="AE866" s="57"/>
      <c r="AF866" s="57"/>
      <c r="AG866" s="57"/>
      <c r="AH866" s="57"/>
      <c r="AI866" s="57"/>
      <c r="AJ866" s="57"/>
      <c r="AK866" s="57"/>
      <c r="AL866" s="57"/>
      <c r="AM866" s="57"/>
      <c r="AN866" s="57"/>
      <c r="AO866" s="57"/>
    </row>
    <row r="867" spans="1:41">
      <c r="A867" s="55" t="s">
        <v>429</v>
      </c>
      <c r="B867" s="65" t="s">
        <v>360</v>
      </c>
      <c r="C867" s="59">
        <v>244581</v>
      </c>
      <c r="D867" s="59">
        <v>246244</v>
      </c>
      <c r="E867" s="59">
        <v>265371</v>
      </c>
      <c r="F867" s="59">
        <v>285237</v>
      </c>
      <c r="G867" s="59">
        <v>274742</v>
      </c>
      <c r="H867" s="59">
        <v>282198</v>
      </c>
      <c r="I867" s="59">
        <v>299828</v>
      </c>
      <c r="J867" s="59">
        <v>335312</v>
      </c>
      <c r="K867" s="59">
        <v>374745</v>
      </c>
      <c r="L867" s="59">
        <v>410417</v>
      </c>
      <c r="M867" s="59">
        <v>457337</v>
      </c>
      <c r="N867" s="55">
        <v>485534</v>
      </c>
      <c r="O867" s="55">
        <v>374638</v>
      </c>
      <c r="P867" s="55">
        <v>419606</v>
      </c>
      <c r="Q867" s="55">
        <v>478038</v>
      </c>
      <c r="R867" s="55">
        <v>502561</v>
      </c>
      <c r="S867" s="64">
        <v>515010</v>
      </c>
      <c r="T867" s="63"/>
      <c r="AD867" s="57"/>
      <c r="AE867" s="57"/>
      <c r="AF867" s="57"/>
      <c r="AG867" s="57"/>
      <c r="AH867" s="57"/>
      <c r="AI867" s="57"/>
      <c r="AJ867" s="57"/>
      <c r="AK867" s="57"/>
      <c r="AL867" s="57"/>
      <c r="AM867" s="57"/>
      <c r="AN867" s="57"/>
      <c r="AO867" s="57"/>
    </row>
    <row r="868" spans="1:41">
      <c r="A868" s="55" t="s">
        <v>429</v>
      </c>
      <c r="B868" s="65" t="s">
        <v>361</v>
      </c>
      <c r="C868" s="59">
        <v>61166</v>
      </c>
      <c r="D868" s="59">
        <v>57567</v>
      </c>
      <c r="E868" s="59">
        <v>58548</v>
      </c>
      <c r="F868" s="59">
        <v>67686</v>
      </c>
      <c r="G868" s="59">
        <v>59198</v>
      </c>
      <c r="H868" s="59">
        <v>49734</v>
      </c>
      <c r="I868" s="59">
        <v>56775</v>
      </c>
      <c r="J868" s="59">
        <v>61895</v>
      </c>
      <c r="K868" s="59">
        <v>73604</v>
      </c>
      <c r="L868" s="59">
        <v>80457</v>
      </c>
      <c r="M868" s="59">
        <v>87232</v>
      </c>
      <c r="N868" s="55">
        <v>101007</v>
      </c>
      <c r="O868" s="55">
        <v>72602</v>
      </c>
      <c r="P868" s="55">
        <v>81418</v>
      </c>
      <c r="Q868" s="55">
        <v>96076</v>
      </c>
      <c r="R868" s="55">
        <v>96271</v>
      </c>
      <c r="S868" s="64">
        <v>93971</v>
      </c>
      <c r="T868" s="63"/>
      <c r="AD868" s="57"/>
      <c r="AE868" s="57"/>
      <c r="AF868" s="57"/>
      <c r="AG868" s="57"/>
      <c r="AH868" s="57"/>
      <c r="AI868" s="57"/>
      <c r="AJ868" s="57"/>
      <c r="AK868" s="57"/>
      <c r="AL868" s="57"/>
      <c r="AM868" s="57"/>
      <c r="AN868" s="57"/>
      <c r="AO868" s="57"/>
    </row>
    <row r="869" spans="1:41">
      <c r="A869" s="55" t="s">
        <v>429</v>
      </c>
      <c r="B869" s="65" t="s">
        <v>362</v>
      </c>
      <c r="C869" s="59">
        <v>18957</v>
      </c>
      <c r="D869" s="59">
        <v>16700</v>
      </c>
      <c r="E869" s="59">
        <v>16840</v>
      </c>
      <c r="F869" s="59">
        <v>16752</v>
      </c>
      <c r="G869" s="59">
        <v>17281</v>
      </c>
      <c r="H869" s="59">
        <v>19552</v>
      </c>
      <c r="I869" s="59">
        <v>18792</v>
      </c>
      <c r="J869" s="59">
        <v>21278</v>
      </c>
      <c r="K869" s="59">
        <v>24489</v>
      </c>
      <c r="L869" s="59">
        <v>27148</v>
      </c>
      <c r="M869" s="59">
        <v>29543</v>
      </c>
      <c r="N869" s="55">
        <v>31952</v>
      </c>
      <c r="O869" s="55">
        <v>21688</v>
      </c>
      <c r="P869" s="55">
        <v>31963</v>
      </c>
      <c r="Q869" s="55">
        <v>38214</v>
      </c>
      <c r="R869" s="55">
        <v>37176</v>
      </c>
      <c r="S869" s="64">
        <v>37821</v>
      </c>
      <c r="T869" s="63"/>
      <c r="AD869" s="57"/>
      <c r="AE869" s="57"/>
      <c r="AF869" s="57"/>
      <c r="AG869" s="57"/>
      <c r="AH869" s="57"/>
      <c r="AI869" s="57"/>
      <c r="AJ869" s="57"/>
      <c r="AK869" s="57"/>
      <c r="AL869" s="57"/>
      <c r="AM869" s="57"/>
      <c r="AN869" s="57"/>
      <c r="AO869" s="57"/>
    </row>
    <row r="870" spans="1:41">
      <c r="A870" s="55" t="s">
        <v>429</v>
      </c>
      <c r="B870" s="65" t="s">
        <v>363</v>
      </c>
      <c r="C870" s="59">
        <v>17955</v>
      </c>
      <c r="D870" s="59">
        <v>18333</v>
      </c>
      <c r="E870" s="59">
        <v>19573</v>
      </c>
      <c r="F870" s="59">
        <v>19494</v>
      </c>
      <c r="G870" s="59">
        <v>19211</v>
      </c>
      <c r="H870" s="59">
        <v>19625</v>
      </c>
      <c r="I870" s="59">
        <v>22688</v>
      </c>
      <c r="J870" s="59">
        <v>28314</v>
      </c>
      <c r="K870" s="59">
        <v>29985</v>
      </c>
      <c r="L870" s="59">
        <v>29025</v>
      </c>
      <c r="M870" s="59">
        <v>33656</v>
      </c>
      <c r="N870" s="55">
        <v>37882</v>
      </c>
      <c r="O870" s="55">
        <v>32608</v>
      </c>
      <c r="P870" s="55">
        <v>38091</v>
      </c>
      <c r="Q870" s="55">
        <v>41038</v>
      </c>
      <c r="R870" s="55">
        <v>41372</v>
      </c>
      <c r="S870" s="64">
        <v>42150</v>
      </c>
      <c r="T870" s="63"/>
      <c r="AD870" s="57"/>
      <c r="AE870" s="57"/>
      <c r="AF870" s="57"/>
      <c r="AG870" s="57"/>
      <c r="AH870" s="57"/>
      <c r="AI870" s="57"/>
      <c r="AJ870" s="57"/>
      <c r="AK870" s="57"/>
      <c r="AL870" s="57"/>
      <c r="AM870" s="57"/>
      <c r="AN870" s="57"/>
      <c r="AO870" s="57"/>
    </row>
    <row r="871" spans="1:41">
      <c r="A871" s="55" t="s">
        <v>429</v>
      </c>
      <c r="B871" s="65" t="s">
        <v>364</v>
      </c>
      <c r="C871" s="59">
        <v>86828</v>
      </c>
      <c r="D871" s="59">
        <v>90746</v>
      </c>
      <c r="E871" s="59">
        <v>95833</v>
      </c>
      <c r="F871" s="59">
        <v>102983</v>
      </c>
      <c r="G871" s="59">
        <v>104569</v>
      </c>
      <c r="H871" s="59">
        <v>108746</v>
      </c>
      <c r="I871" s="59">
        <v>110263</v>
      </c>
      <c r="J871" s="59">
        <v>125025</v>
      </c>
      <c r="K871" s="59">
        <v>142832</v>
      </c>
      <c r="L871" s="59">
        <v>151585</v>
      </c>
      <c r="M871" s="59">
        <v>160143</v>
      </c>
      <c r="N871" s="55">
        <v>167718</v>
      </c>
      <c r="O871" s="55">
        <v>123914</v>
      </c>
      <c r="P871" s="55">
        <v>140149</v>
      </c>
      <c r="Q871" s="55">
        <v>159761</v>
      </c>
      <c r="R871" s="55">
        <v>174329</v>
      </c>
      <c r="S871" s="64">
        <v>178590</v>
      </c>
      <c r="T871" s="63"/>
      <c r="AD871" s="57"/>
      <c r="AE871" s="57"/>
      <c r="AF871" s="57"/>
      <c r="AG871" s="57"/>
      <c r="AH871" s="57"/>
      <c r="AI871" s="57"/>
      <c r="AJ871" s="57"/>
      <c r="AK871" s="57"/>
      <c r="AL871" s="57"/>
      <c r="AM871" s="57"/>
      <c r="AN871" s="57"/>
      <c r="AO871" s="57"/>
    </row>
    <row r="872" spans="1:41">
      <c r="A872" s="55" t="s">
        <v>429</v>
      </c>
      <c r="B872" s="65" t="s">
        <v>365</v>
      </c>
      <c r="C872" s="59">
        <v>9122</v>
      </c>
      <c r="D872" s="59">
        <v>10327</v>
      </c>
      <c r="E872" s="59">
        <v>8633</v>
      </c>
      <c r="F872" s="59">
        <v>7545</v>
      </c>
      <c r="G872" s="59">
        <v>7705</v>
      </c>
      <c r="H872" s="59">
        <v>7900</v>
      </c>
      <c r="I872" s="59">
        <v>6537</v>
      </c>
      <c r="J872" s="59">
        <v>10148</v>
      </c>
      <c r="K872" s="59">
        <v>13314</v>
      </c>
      <c r="L872" s="59">
        <v>16312</v>
      </c>
      <c r="M872" s="59">
        <v>18525</v>
      </c>
      <c r="N872" s="55">
        <v>18451</v>
      </c>
      <c r="O872" s="55">
        <v>17904</v>
      </c>
      <c r="P872" s="55">
        <v>17796</v>
      </c>
      <c r="Q872" s="55">
        <v>19363</v>
      </c>
      <c r="R872" s="55">
        <v>21893</v>
      </c>
      <c r="S872" s="64">
        <v>23159</v>
      </c>
      <c r="T872" s="63"/>
      <c r="AD872" s="57"/>
      <c r="AE872" s="57"/>
      <c r="AF872" s="57"/>
      <c r="AG872" s="57"/>
      <c r="AH872" s="57"/>
      <c r="AI872" s="57"/>
      <c r="AJ872" s="57"/>
      <c r="AK872" s="57"/>
      <c r="AL872" s="57"/>
      <c r="AM872" s="57"/>
      <c r="AN872" s="57"/>
      <c r="AO872" s="57"/>
    </row>
    <row r="873" spans="1:41">
      <c r="A873" s="55" t="s">
        <v>429</v>
      </c>
      <c r="B873" s="65" t="s">
        <v>366</v>
      </c>
      <c r="C873" s="59">
        <v>17328</v>
      </c>
      <c r="D873" s="59">
        <v>14403</v>
      </c>
      <c r="E873" s="59">
        <v>13745</v>
      </c>
      <c r="F873" s="59">
        <v>13904</v>
      </c>
      <c r="G873" s="59">
        <v>6412</v>
      </c>
      <c r="H873" s="59">
        <v>12048</v>
      </c>
      <c r="I873" s="59">
        <v>11936</v>
      </c>
      <c r="J873" s="59">
        <v>12265</v>
      </c>
      <c r="K873" s="59">
        <v>12817</v>
      </c>
      <c r="L873" s="59">
        <v>13352</v>
      </c>
      <c r="M873" s="59">
        <v>12523</v>
      </c>
      <c r="N873" s="55">
        <v>13510</v>
      </c>
      <c r="O873" s="55">
        <v>9953</v>
      </c>
      <c r="P873" s="55">
        <v>7101</v>
      </c>
      <c r="Q873" s="55">
        <v>7938</v>
      </c>
      <c r="R873" s="55">
        <v>7047</v>
      </c>
      <c r="S873" s="64">
        <v>8550</v>
      </c>
      <c r="T873" s="63"/>
      <c r="AD873" s="57"/>
      <c r="AE873" s="57"/>
      <c r="AF873" s="57"/>
      <c r="AG873" s="57"/>
      <c r="AH873" s="57"/>
      <c r="AI873" s="57"/>
      <c r="AJ873" s="57"/>
      <c r="AK873" s="57"/>
      <c r="AL873" s="57"/>
      <c r="AM873" s="57"/>
      <c r="AN873" s="57"/>
      <c r="AO873" s="57"/>
    </row>
    <row r="874" spans="1:41">
      <c r="A874" s="55" t="s">
        <v>429</v>
      </c>
      <c r="B874" s="65" t="s">
        <v>367</v>
      </c>
      <c r="C874" s="59">
        <v>27886</v>
      </c>
      <c r="D874" s="59">
        <v>34153</v>
      </c>
      <c r="E874" s="59">
        <v>45525</v>
      </c>
      <c r="F874" s="59">
        <v>49518</v>
      </c>
      <c r="G874" s="59">
        <v>49632</v>
      </c>
      <c r="H874" s="59">
        <v>51295</v>
      </c>
      <c r="I874" s="59">
        <v>56204</v>
      </c>
      <c r="J874" s="59">
        <v>60264</v>
      </c>
      <c r="K874" s="59">
        <v>62615</v>
      </c>
      <c r="L874" s="59">
        <v>71846</v>
      </c>
      <c r="M874" s="59">
        <v>87945</v>
      </c>
      <c r="N874" s="55">
        <v>87507</v>
      </c>
      <c r="O874" s="55">
        <v>70769</v>
      </c>
      <c r="P874" s="55">
        <v>72992</v>
      </c>
      <c r="Q874" s="55">
        <v>81802</v>
      </c>
      <c r="R874" s="55">
        <v>88362</v>
      </c>
      <c r="S874" s="64">
        <v>93463</v>
      </c>
      <c r="T874" s="63"/>
      <c r="AD874" s="57"/>
      <c r="AE874" s="57"/>
      <c r="AF874" s="57"/>
      <c r="AG874" s="57"/>
      <c r="AH874" s="57"/>
      <c r="AI874" s="57"/>
      <c r="AJ874" s="57"/>
      <c r="AK874" s="57"/>
      <c r="AL874" s="57"/>
      <c r="AM874" s="57"/>
      <c r="AN874" s="57"/>
      <c r="AO874" s="57"/>
    </row>
    <row r="875" spans="1:41">
      <c r="A875" s="55" t="s">
        <v>429</v>
      </c>
      <c r="B875" s="65" t="s">
        <v>368</v>
      </c>
      <c r="C875" s="59">
        <v>5340</v>
      </c>
      <c r="D875" s="59">
        <v>4015</v>
      </c>
      <c r="E875" s="59">
        <v>6674</v>
      </c>
      <c r="F875" s="59">
        <v>7356</v>
      </c>
      <c r="G875" s="59">
        <v>10734</v>
      </c>
      <c r="H875" s="59">
        <v>13299</v>
      </c>
      <c r="I875" s="59">
        <v>16633</v>
      </c>
      <c r="J875" s="59">
        <v>16124</v>
      </c>
      <c r="K875" s="59">
        <v>15089</v>
      </c>
      <c r="L875" s="59">
        <v>20692</v>
      </c>
      <c r="M875" s="59">
        <v>27770</v>
      </c>
      <c r="N875" s="55">
        <v>27507</v>
      </c>
      <c r="O875" s="55">
        <v>25199</v>
      </c>
      <c r="P875" s="55">
        <v>30096</v>
      </c>
      <c r="Q875" s="55">
        <v>33846</v>
      </c>
      <c r="R875" s="55">
        <v>36111</v>
      </c>
      <c r="S875" s="64">
        <v>37307</v>
      </c>
      <c r="AD875" s="57"/>
      <c r="AE875" s="57"/>
      <c r="AF875" s="57"/>
      <c r="AG875" s="57"/>
      <c r="AH875" s="57"/>
      <c r="AI875" s="57"/>
      <c r="AJ875" s="57"/>
      <c r="AK875" s="57"/>
      <c r="AL875" s="57"/>
      <c r="AM875" s="57"/>
      <c r="AN875" s="57"/>
      <c r="AO875" s="57"/>
    </row>
    <row r="876" spans="1:41">
      <c r="A876" s="55" t="s">
        <v>429</v>
      </c>
      <c r="B876" s="65" t="s">
        <v>369</v>
      </c>
      <c r="C876" s="59">
        <v>331919</v>
      </c>
      <c r="D876" s="59">
        <v>368706</v>
      </c>
      <c r="E876" s="59">
        <v>420201</v>
      </c>
      <c r="F876" s="59">
        <v>528719</v>
      </c>
      <c r="G876" s="59">
        <v>526716</v>
      </c>
      <c r="H876" s="59">
        <v>491771</v>
      </c>
      <c r="I876" s="59">
        <v>481200</v>
      </c>
      <c r="J876" s="59">
        <v>459368</v>
      </c>
      <c r="K876" s="59">
        <v>481671</v>
      </c>
      <c r="L876" s="59">
        <v>516025</v>
      </c>
      <c r="M876" s="59">
        <v>506190</v>
      </c>
      <c r="N876" s="55">
        <v>512229</v>
      </c>
      <c r="O876" s="55">
        <v>500075</v>
      </c>
      <c r="P876" s="55">
        <v>525702</v>
      </c>
      <c r="Q876" s="55">
        <v>580383</v>
      </c>
      <c r="R876" s="55">
        <v>627850</v>
      </c>
      <c r="S876" s="64">
        <v>664048</v>
      </c>
      <c r="T876" s="63"/>
      <c r="AD876" s="57"/>
      <c r="AE876" s="57"/>
      <c r="AF876" s="57"/>
      <c r="AG876" s="57"/>
      <c r="AH876" s="57"/>
      <c r="AI876" s="57"/>
      <c r="AJ876" s="57"/>
      <c r="AK876" s="57"/>
      <c r="AL876" s="57"/>
      <c r="AM876" s="57"/>
      <c r="AN876" s="57"/>
      <c r="AO876" s="57"/>
    </row>
    <row r="877" spans="1:41">
      <c r="A877" s="55" t="s">
        <v>429</v>
      </c>
      <c r="B877" s="65" t="s">
        <v>442</v>
      </c>
      <c r="C877" s="59">
        <v>93262</v>
      </c>
      <c r="D877" s="59">
        <v>105567</v>
      </c>
      <c r="E877" s="59">
        <v>98510</v>
      </c>
      <c r="F877" s="59">
        <v>138068</v>
      </c>
      <c r="G877" s="59">
        <v>143613</v>
      </c>
      <c r="H877" s="59">
        <v>125417</v>
      </c>
      <c r="I877" s="59">
        <v>113457</v>
      </c>
      <c r="J877" s="59">
        <v>112741</v>
      </c>
      <c r="K877" s="59">
        <v>110690</v>
      </c>
      <c r="L877" s="59">
        <v>131275</v>
      </c>
      <c r="M877" s="59">
        <v>114046</v>
      </c>
      <c r="N877" s="55">
        <v>120997</v>
      </c>
      <c r="O877" s="55">
        <v>110839</v>
      </c>
      <c r="P877" s="55">
        <v>105871</v>
      </c>
      <c r="Q877" s="55">
        <v>110461</v>
      </c>
      <c r="R877" s="55">
        <v>108630</v>
      </c>
      <c r="S877" s="64">
        <v>108941</v>
      </c>
      <c r="T877" s="63"/>
      <c r="AD877" s="57"/>
      <c r="AE877" s="57"/>
      <c r="AF877" s="57"/>
      <c r="AG877" s="57"/>
      <c r="AH877" s="57"/>
      <c r="AI877" s="57"/>
      <c r="AJ877" s="57"/>
      <c r="AK877" s="57"/>
      <c r="AL877" s="57"/>
      <c r="AM877" s="57"/>
      <c r="AN877" s="57"/>
      <c r="AO877" s="57"/>
    </row>
    <row r="878" spans="1:41">
      <c r="A878" s="55" t="s">
        <v>429</v>
      </c>
      <c r="B878" s="65" t="s">
        <v>371</v>
      </c>
      <c r="C878" s="59">
        <v>45855</v>
      </c>
      <c r="D878" s="59">
        <v>44725</v>
      </c>
      <c r="E878" s="59">
        <v>40706</v>
      </c>
      <c r="F878" s="59">
        <v>56032</v>
      </c>
      <c r="G878" s="59">
        <v>48373</v>
      </c>
      <c r="H878" s="59">
        <v>49628</v>
      </c>
      <c r="I878" s="59">
        <v>60682</v>
      </c>
      <c r="J878" s="59">
        <v>54776</v>
      </c>
      <c r="K878" s="59">
        <v>70666</v>
      </c>
      <c r="L878" s="59">
        <v>69258</v>
      </c>
      <c r="M878" s="59">
        <v>62016</v>
      </c>
      <c r="N878" s="55">
        <v>49477</v>
      </c>
      <c r="O878" s="55">
        <v>35086</v>
      </c>
      <c r="P878" s="55">
        <v>28565</v>
      </c>
      <c r="Q878" s="55">
        <v>31984</v>
      </c>
      <c r="R878" s="55">
        <v>32389</v>
      </c>
      <c r="S878" s="64">
        <v>36593</v>
      </c>
      <c r="T878" s="63"/>
      <c r="AD878" s="57"/>
      <c r="AE878" s="57"/>
      <c r="AF878" s="57"/>
      <c r="AG878" s="57"/>
      <c r="AH878" s="57"/>
      <c r="AI878" s="57"/>
      <c r="AJ878" s="57"/>
      <c r="AK878" s="57"/>
      <c r="AL878" s="57"/>
      <c r="AM878" s="57"/>
      <c r="AN878" s="57"/>
      <c r="AO878" s="57"/>
    </row>
    <row r="879" spans="1:41">
      <c r="A879" s="55" t="s">
        <v>429</v>
      </c>
      <c r="B879" s="65" t="s">
        <v>372</v>
      </c>
      <c r="C879" s="59">
        <v>176302</v>
      </c>
      <c r="D879" s="59">
        <v>202864</v>
      </c>
      <c r="E879" s="59">
        <v>248771</v>
      </c>
      <c r="F879" s="59">
        <v>284867</v>
      </c>
      <c r="G879" s="59">
        <v>297173</v>
      </c>
      <c r="H879" s="59">
        <v>295043</v>
      </c>
      <c r="I879" s="59">
        <v>285417</v>
      </c>
      <c r="J879" s="59">
        <v>273938</v>
      </c>
      <c r="K879" s="59">
        <v>273760</v>
      </c>
      <c r="L879" s="59">
        <v>286279</v>
      </c>
      <c r="M879" s="59">
        <v>274952</v>
      </c>
      <c r="N879" s="55">
        <v>280424</v>
      </c>
      <c r="O879" s="55">
        <v>288173</v>
      </c>
      <c r="P879" s="55">
        <v>319579</v>
      </c>
      <c r="Q879" s="55">
        <v>355415</v>
      </c>
      <c r="R879" s="55">
        <v>381492</v>
      </c>
      <c r="S879" s="64">
        <v>406481</v>
      </c>
      <c r="T879" s="63"/>
      <c r="AD879" s="57"/>
      <c r="AE879" s="57"/>
      <c r="AF879" s="57"/>
      <c r="AG879" s="57"/>
      <c r="AH879" s="57"/>
      <c r="AI879" s="57"/>
      <c r="AJ879" s="57"/>
      <c r="AK879" s="57"/>
      <c r="AL879" s="57"/>
      <c r="AM879" s="57"/>
      <c r="AN879" s="57"/>
      <c r="AO879" s="57"/>
    </row>
    <row r="880" spans="1:41">
      <c r="A880" s="55" t="s">
        <v>429</v>
      </c>
      <c r="B880" s="65" t="s">
        <v>443</v>
      </c>
      <c r="C880" s="59">
        <v>16502</v>
      </c>
      <c r="D880" s="59">
        <v>15549</v>
      </c>
      <c r="E880" s="59">
        <v>32214</v>
      </c>
      <c r="F880" s="59">
        <v>49751</v>
      </c>
      <c r="G880" s="59">
        <v>37557</v>
      </c>
      <c r="H880" s="59">
        <v>21683</v>
      </c>
      <c r="I880" s="59">
        <v>21644</v>
      </c>
      <c r="J880" s="59">
        <v>17913</v>
      </c>
      <c r="K880" s="59">
        <v>26554</v>
      </c>
      <c r="L880" s="59">
        <v>29214</v>
      </c>
      <c r="M880" s="59">
        <v>55176</v>
      </c>
      <c r="N880" s="55">
        <v>61332</v>
      </c>
      <c r="O880" s="55">
        <v>65977</v>
      </c>
      <c r="P880" s="55">
        <v>71687</v>
      </c>
      <c r="Q880" s="55">
        <v>82522</v>
      </c>
      <c r="R880" s="55">
        <v>105339</v>
      </c>
      <c r="S880" s="64">
        <v>112034</v>
      </c>
      <c r="AD880" s="57"/>
      <c r="AE880" s="57"/>
      <c r="AF880" s="57"/>
      <c r="AG880" s="57"/>
      <c r="AH880" s="57"/>
      <c r="AI880" s="57"/>
      <c r="AJ880" s="57"/>
      <c r="AK880" s="57"/>
      <c r="AL880" s="57"/>
      <c r="AM880" s="57"/>
      <c r="AN880" s="57"/>
      <c r="AO880" s="57"/>
    </row>
    <row r="881" spans="1:41">
      <c r="A881" s="55" t="s">
        <v>429</v>
      </c>
      <c r="B881" s="65" t="s">
        <v>374</v>
      </c>
      <c r="C881" s="59">
        <v>810129</v>
      </c>
      <c r="D881" s="59">
        <v>911799</v>
      </c>
      <c r="E881" s="59">
        <v>1012748</v>
      </c>
      <c r="F881" s="59">
        <v>1173125</v>
      </c>
      <c r="G881" s="59">
        <v>1109678</v>
      </c>
      <c r="H881" s="59">
        <v>1150206</v>
      </c>
      <c r="I881" s="59">
        <v>1279952</v>
      </c>
      <c r="J881" s="59">
        <v>1496924</v>
      </c>
      <c r="K881" s="59">
        <v>1660986</v>
      </c>
      <c r="L881" s="59">
        <v>1763107</v>
      </c>
      <c r="M881" s="59">
        <v>1825662</v>
      </c>
      <c r="N881" s="55">
        <v>1810327</v>
      </c>
      <c r="O881" s="55">
        <v>1546650</v>
      </c>
      <c r="P881" s="55">
        <v>1570898</v>
      </c>
      <c r="Q881" s="55">
        <v>1566250</v>
      </c>
      <c r="R881" s="55">
        <v>1616944</v>
      </c>
      <c r="S881" s="64">
        <v>1680605</v>
      </c>
      <c r="AD881" s="57"/>
      <c r="AE881" s="57"/>
      <c r="AF881" s="57"/>
      <c r="AG881" s="57"/>
      <c r="AH881" s="57"/>
      <c r="AI881" s="57"/>
      <c r="AJ881" s="57"/>
      <c r="AK881" s="57"/>
      <c r="AL881" s="57"/>
      <c r="AM881" s="57"/>
      <c r="AN881" s="57"/>
      <c r="AO881" s="57"/>
    </row>
    <row r="882" spans="1:41">
      <c r="A882" s="55" t="s">
        <v>429</v>
      </c>
      <c r="B882" s="65" t="s">
        <v>375</v>
      </c>
      <c r="C882" s="59">
        <v>469893</v>
      </c>
      <c r="D882" s="59">
        <v>518370</v>
      </c>
      <c r="E882" s="59">
        <v>606477</v>
      </c>
      <c r="F882" s="59">
        <v>700024</v>
      </c>
      <c r="G882" s="59">
        <v>637638</v>
      </c>
      <c r="H882" s="59">
        <v>643082</v>
      </c>
      <c r="I882" s="59">
        <v>695377</v>
      </c>
      <c r="J882" s="59">
        <v>783749</v>
      </c>
      <c r="K882" s="59">
        <v>816101</v>
      </c>
      <c r="L882" s="59">
        <v>885588</v>
      </c>
      <c r="M882" s="59">
        <v>1020987</v>
      </c>
      <c r="N882" s="55">
        <v>1072657</v>
      </c>
      <c r="O882" s="55">
        <v>885060</v>
      </c>
      <c r="P882" s="55">
        <v>882932</v>
      </c>
      <c r="Q882" s="55">
        <v>869058</v>
      </c>
      <c r="R882" s="55">
        <v>834317</v>
      </c>
      <c r="S882" s="64">
        <v>849010</v>
      </c>
      <c r="T882" s="63"/>
      <c r="AD882" s="57"/>
      <c r="AE882" s="57"/>
      <c r="AF882" s="57"/>
      <c r="AG882" s="57"/>
      <c r="AH882" s="57"/>
      <c r="AI882" s="57"/>
      <c r="AJ882" s="57"/>
      <c r="AK882" s="57"/>
      <c r="AL882" s="57"/>
      <c r="AM882" s="57"/>
      <c r="AN882" s="57"/>
      <c r="AO882" s="57"/>
    </row>
    <row r="883" spans="1:41">
      <c r="A883" s="55" t="s">
        <v>429</v>
      </c>
      <c r="B883" s="65" t="s">
        <v>376</v>
      </c>
      <c r="C883" s="59">
        <v>194394</v>
      </c>
      <c r="D883" s="59">
        <v>194737</v>
      </c>
      <c r="E883" s="59">
        <v>206317</v>
      </c>
      <c r="F883" s="59">
        <v>235037</v>
      </c>
      <c r="G883" s="59">
        <v>246405</v>
      </c>
      <c r="H883" s="59">
        <v>239945</v>
      </c>
      <c r="I883" s="59">
        <v>244159</v>
      </c>
      <c r="J883" s="59">
        <v>284783</v>
      </c>
      <c r="K883" s="59">
        <v>282659</v>
      </c>
      <c r="L883" s="59">
        <v>291795</v>
      </c>
      <c r="M883" s="59">
        <v>317442</v>
      </c>
      <c r="N883" s="55">
        <v>299304</v>
      </c>
      <c r="O883" s="55">
        <v>290333</v>
      </c>
      <c r="P883" s="55">
        <v>253996</v>
      </c>
      <c r="Q883" s="55">
        <v>203117</v>
      </c>
      <c r="R883" s="55">
        <v>199950</v>
      </c>
      <c r="S883" s="64">
        <v>169047</v>
      </c>
      <c r="T883" s="63"/>
      <c r="AD883" s="57"/>
      <c r="AE883" s="57"/>
      <c r="AF883" s="57"/>
      <c r="AG883" s="57"/>
      <c r="AH883" s="57"/>
      <c r="AI883" s="57"/>
      <c r="AJ883" s="57"/>
      <c r="AK883" s="57"/>
      <c r="AL883" s="57"/>
      <c r="AM883" s="57"/>
      <c r="AN883" s="57"/>
      <c r="AO883" s="57"/>
    </row>
    <row r="884" spans="1:41">
      <c r="A884" s="55" t="s">
        <v>429</v>
      </c>
      <c r="B884" s="65" t="s">
        <v>377</v>
      </c>
      <c r="C884" s="59">
        <v>84573</v>
      </c>
      <c r="D884" s="59">
        <v>124583</v>
      </c>
      <c r="E884" s="59">
        <v>172494</v>
      </c>
      <c r="F884" s="59">
        <v>226069</v>
      </c>
      <c r="G884" s="59">
        <v>130434</v>
      </c>
      <c r="H884" s="59">
        <v>124016</v>
      </c>
      <c r="I884" s="59">
        <v>164166</v>
      </c>
      <c r="J884" s="59">
        <v>189613</v>
      </c>
      <c r="K884" s="59">
        <v>187826</v>
      </c>
      <c r="L884" s="59">
        <v>224899</v>
      </c>
      <c r="M884" s="59">
        <v>302822</v>
      </c>
      <c r="N884" s="55">
        <v>312747</v>
      </c>
      <c r="O884" s="55">
        <v>216271</v>
      </c>
      <c r="P884" s="55">
        <v>218888</v>
      </c>
      <c r="Q884" s="55">
        <v>219902</v>
      </c>
      <c r="R884" s="55">
        <v>208300</v>
      </c>
      <c r="S884" s="64">
        <v>226502</v>
      </c>
      <c r="T884" s="63"/>
      <c r="AD884" s="57"/>
      <c r="AE884" s="57"/>
      <c r="AF884" s="57"/>
      <c r="AG884" s="57"/>
      <c r="AH884" s="57"/>
      <c r="AI884" s="57"/>
      <c r="AJ884" s="57"/>
      <c r="AK884" s="57"/>
      <c r="AL884" s="57"/>
      <c r="AM884" s="57"/>
      <c r="AN884" s="57"/>
      <c r="AO884" s="57"/>
    </row>
    <row r="885" spans="1:41">
      <c r="A885" s="55" t="s">
        <v>429</v>
      </c>
      <c r="B885" s="65" t="s">
        <v>378</v>
      </c>
      <c r="C885" s="59">
        <v>142010</v>
      </c>
      <c r="D885" s="59">
        <v>147184</v>
      </c>
      <c r="E885" s="59">
        <v>170037</v>
      </c>
      <c r="F885" s="59">
        <v>163061</v>
      </c>
      <c r="G885" s="59">
        <v>195215</v>
      </c>
      <c r="H885" s="59">
        <v>225074</v>
      </c>
      <c r="I885" s="59">
        <v>237977</v>
      </c>
      <c r="J885" s="59">
        <v>250817</v>
      </c>
      <c r="K885" s="59">
        <v>282314</v>
      </c>
      <c r="L885" s="59">
        <v>293740</v>
      </c>
      <c r="M885" s="59">
        <v>310963</v>
      </c>
      <c r="N885" s="55">
        <v>370718</v>
      </c>
      <c r="O885" s="55">
        <v>304805</v>
      </c>
      <c r="P885" s="55">
        <v>334262</v>
      </c>
      <c r="Q885" s="55">
        <v>364326</v>
      </c>
      <c r="R885" s="55">
        <v>349842</v>
      </c>
      <c r="S885" s="64">
        <v>368313</v>
      </c>
      <c r="T885" s="63"/>
      <c r="AD885" s="57"/>
      <c r="AE885" s="57"/>
      <c r="AF885" s="57"/>
      <c r="AG885" s="57"/>
      <c r="AH885" s="57"/>
      <c r="AI885" s="57"/>
      <c r="AJ885" s="57"/>
      <c r="AK885" s="57"/>
      <c r="AL885" s="57"/>
      <c r="AM885" s="57"/>
      <c r="AN885" s="57"/>
      <c r="AO885" s="57"/>
    </row>
    <row r="886" spans="1:41">
      <c r="A886" s="55" t="s">
        <v>429</v>
      </c>
      <c r="B886" s="65" t="s">
        <v>379</v>
      </c>
      <c r="C886" s="59">
        <v>48915</v>
      </c>
      <c r="D886" s="59">
        <v>51867</v>
      </c>
      <c r="E886" s="59">
        <v>57628</v>
      </c>
      <c r="F886" s="59">
        <v>75858</v>
      </c>
      <c r="G886" s="59">
        <v>65584</v>
      </c>
      <c r="H886" s="59">
        <v>54046</v>
      </c>
      <c r="I886" s="59">
        <v>49075</v>
      </c>
      <c r="J886" s="59">
        <v>58537</v>
      </c>
      <c r="K886" s="59">
        <v>63302</v>
      </c>
      <c r="L886" s="59">
        <v>75154</v>
      </c>
      <c r="M886" s="59">
        <v>89760</v>
      </c>
      <c r="N886" s="55">
        <v>89888</v>
      </c>
      <c r="O886" s="55">
        <v>73649</v>
      </c>
      <c r="P886" s="55">
        <v>75786</v>
      </c>
      <c r="Q886" s="55">
        <v>81713</v>
      </c>
      <c r="R886" s="55">
        <v>76226</v>
      </c>
      <c r="S886" s="64">
        <v>85148</v>
      </c>
      <c r="AD886" s="57"/>
      <c r="AE886" s="57"/>
      <c r="AF886" s="57"/>
      <c r="AG886" s="57"/>
      <c r="AH886" s="57"/>
      <c r="AI886" s="57"/>
      <c r="AJ886" s="57"/>
      <c r="AK886" s="57"/>
      <c r="AL886" s="57"/>
      <c r="AM886" s="57"/>
      <c r="AN886" s="57"/>
      <c r="AO886" s="57"/>
    </row>
    <row r="887" spans="1:41">
      <c r="A887" s="55" t="s">
        <v>429</v>
      </c>
      <c r="B887" s="65" t="s">
        <v>380</v>
      </c>
      <c r="C887" s="59">
        <v>340236</v>
      </c>
      <c r="D887" s="59">
        <v>393429</v>
      </c>
      <c r="E887" s="59">
        <v>406271</v>
      </c>
      <c r="F887" s="59">
        <v>473102</v>
      </c>
      <c r="G887" s="59">
        <v>472041</v>
      </c>
      <c r="H887" s="59">
        <v>507123</v>
      </c>
      <c r="I887" s="59">
        <v>584575</v>
      </c>
      <c r="J887" s="59">
        <v>713174</v>
      </c>
      <c r="K887" s="59">
        <v>844885</v>
      </c>
      <c r="L887" s="59">
        <v>877519</v>
      </c>
      <c r="M887" s="59">
        <v>804675</v>
      </c>
      <c r="N887" s="55">
        <v>737670</v>
      </c>
      <c r="O887" s="55">
        <v>661591</v>
      </c>
      <c r="P887" s="55">
        <v>687966</v>
      </c>
      <c r="Q887" s="55">
        <v>697192</v>
      </c>
      <c r="R887" s="55">
        <v>782626</v>
      </c>
      <c r="S887" s="64">
        <v>831594</v>
      </c>
      <c r="T887" s="63"/>
      <c r="AD887" s="57"/>
      <c r="AE887" s="57"/>
      <c r="AF887" s="57"/>
      <c r="AG887" s="57"/>
      <c r="AH887" s="57"/>
      <c r="AI887" s="57"/>
      <c r="AJ887" s="57"/>
      <c r="AK887" s="57"/>
      <c r="AL887" s="57"/>
      <c r="AM887" s="57"/>
      <c r="AN887" s="57"/>
      <c r="AO887" s="57"/>
    </row>
    <row r="888" spans="1:41">
      <c r="A888" s="55" t="s">
        <v>429</v>
      </c>
      <c r="B888" s="65" t="s">
        <v>381</v>
      </c>
      <c r="C888" s="59">
        <v>298941</v>
      </c>
      <c r="D888" s="59">
        <v>338346</v>
      </c>
      <c r="E888" s="59">
        <v>347701</v>
      </c>
      <c r="F888" s="59">
        <v>401420</v>
      </c>
      <c r="G888" s="59">
        <v>414115</v>
      </c>
      <c r="H888" s="59">
        <v>455230</v>
      </c>
      <c r="I888" s="59">
        <v>511738</v>
      </c>
      <c r="J888" s="59">
        <v>625078</v>
      </c>
      <c r="K888" s="59">
        <v>742316</v>
      </c>
      <c r="L888" s="59">
        <v>788034</v>
      </c>
      <c r="M888" s="59">
        <v>702478</v>
      </c>
      <c r="N888" s="55">
        <v>628226</v>
      </c>
      <c r="O888" s="55">
        <v>576824</v>
      </c>
      <c r="P888" s="55">
        <v>583187</v>
      </c>
      <c r="Q888" s="55">
        <v>577924</v>
      </c>
      <c r="R888" s="55">
        <v>660594</v>
      </c>
      <c r="S888" s="64">
        <v>708045</v>
      </c>
      <c r="T888" s="63"/>
      <c r="AD888" s="57"/>
      <c r="AE888" s="57"/>
      <c r="AF888" s="57"/>
      <c r="AG888" s="57"/>
      <c r="AH888" s="57"/>
      <c r="AI888" s="57"/>
      <c r="AJ888" s="57"/>
      <c r="AK888" s="57"/>
      <c r="AL888" s="57"/>
      <c r="AM888" s="57"/>
      <c r="AN888" s="57"/>
      <c r="AO888" s="57"/>
    </row>
    <row r="889" spans="1:41">
      <c r="A889" s="55" t="s">
        <v>429</v>
      </c>
      <c r="B889" s="68" t="s">
        <v>444</v>
      </c>
      <c r="C889" s="59">
        <v>73807</v>
      </c>
      <c r="D889" s="59">
        <v>85302</v>
      </c>
      <c r="E889" s="59">
        <v>87145</v>
      </c>
      <c r="F889" s="59">
        <v>92258</v>
      </c>
      <c r="G889" s="59">
        <v>100730</v>
      </c>
      <c r="H889" s="59">
        <v>100705</v>
      </c>
      <c r="I889" s="59">
        <v>107368</v>
      </c>
      <c r="J889" s="59">
        <v>111663</v>
      </c>
      <c r="K889" s="59">
        <v>123568</v>
      </c>
      <c r="L889" s="59">
        <v>133064</v>
      </c>
      <c r="M889" s="59">
        <v>140417</v>
      </c>
      <c r="N889" s="55">
        <v>126460</v>
      </c>
      <c r="O889" s="55">
        <v>126136</v>
      </c>
      <c r="P889" s="55">
        <v>126452</v>
      </c>
      <c r="Q889" s="55">
        <v>133105</v>
      </c>
      <c r="R889" s="55">
        <v>151354</v>
      </c>
      <c r="S889" s="64">
        <v>154843</v>
      </c>
      <c r="T889" s="63"/>
      <c r="AD889" s="57"/>
      <c r="AE889" s="57"/>
      <c r="AF889" s="57"/>
      <c r="AG889" s="57"/>
      <c r="AH889" s="57"/>
      <c r="AI889" s="57"/>
      <c r="AJ889" s="57"/>
      <c r="AK889" s="57"/>
      <c r="AL889" s="57"/>
      <c r="AM889" s="57"/>
      <c r="AN889" s="57"/>
      <c r="AO889" s="57"/>
    </row>
    <row r="890" spans="1:41">
      <c r="A890" s="55" t="s">
        <v>429</v>
      </c>
      <c r="B890" s="68" t="s">
        <v>445</v>
      </c>
      <c r="C890" s="59">
        <v>225134</v>
      </c>
      <c r="D890" s="59">
        <v>253044</v>
      </c>
      <c r="E890" s="59">
        <v>260556</v>
      </c>
      <c r="F890" s="59">
        <v>309161</v>
      </c>
      <c r="G890" s="59">
        <v>313385</v>
      </c>
      <c r="H890" s="59">
        <v>354524</v>
      </c>
      <c r="I890" s="59">
        <v>404369</v>
      </c>
      <c r="J890" s="59">
        <v>513415</v>
      </c>
      <c r="K890" s="59">
        <v>618748</v>
      </c>
      <c r="L890" s="59">
        <v>654970</v>
      </c>
      <c r="M890" s="59">
        <v>562061</v>
      </c>
      <c r="N890" s="55">
        <v>501766</v>
      </c>
      <c r="O890" s="55">
        <v>450688</v>
      </c>
      <c r="P890" s="55">
        <v>456735</v>
      </c>
      <c r="Q890" s="55">
        <v>444818</v>
      </c>
      <c r="R890" s="55">
        <v>509239</v>
      </c>
      <c r="S890" s="64">
        <v>553202</v>
      </c>
      <c r="T890" s="63"/>
      <c r="AD890" s="57"/>
      <c r="AE890" s="57"/>
      <c r="AF890" s="57"/>
      <c r="AG890" s="57"/>
      <c r="AH890" s="57"/>
      <c r="AI890" s="57"/>
      <c r="AJ890" s="57"/>
      <c r="AK890" s="57"/>
      <c r="AL890" s="57"/>
      <c r="AM890" s="57"/>
      <c r="AN890" s="57"/>
      <c r="AO890" s="57"/>
    </row>
    <row r="891" spans="1:41">
      <c r="A891" s="55" t="s">
        <v>429</v>
      </c>
      <c r="B891" s="65" t="s">
        <v>382</v>
      </c>
      <c r="C891" s="59">
        <v>41295</v>
      </c>
      <c r="D891" s="59">
        <v>55083</v>
      </c>
      <c r="E891" s="59">
        <v>58570</v>
      </c>
      <c r="F891" s="59">
        <v>71682</v>
      </c>
      <c r="G891" s="59">
        <v>57926</v>
      </c>
      <c r="H891" s="59">
        <v>51894</v>
      </c>
      <c r="I891" s="59">
        <v>72837</v>
      </c>
      <c r="J891" s="59">
        <v>88097</v>
      </c>
      <c r="K891" s="59">
        <v>102568</v>
      </c>
      <c r="L891" s="59">
        <v>89485</v>
      </c>
      <c r="M891" s="59">
        <v>102197</v>
      </c>
      <c r="N891" s="55">
        <v>109444</v>
      </c>
      <c r="O891" s="55">
        <v>84767</v>
      </c>
      <c r="P891" s="55">
        <v>104780</v>
      </c>
      <c r="Q891" s="55">
        <v>119268</v>
      </c>
      <c r="R891" s="55">
        <v>122033</v>
      </c>
      <c r="S891" s="64">
        <v>123549</v>
      </c>
      <c r="AD891" s="57"/>
      <c r="AE891" s="57"/>
      <c r="AF891" s="57"/>
      <c r="AG891" s="57"/>
      <c r="AH891" s="57"/>
      <c r="AI891" s="57"/>
      <c r="AJ891" s="57"/>
      <c r="AK891" s="57"/>
      <c r="AL891" s="57"/>
      <c r="AM891" s="57"/>
      <c r="AN891" s="57"/>
      <c r="AO891" s="57"/>
    </row>
    <row r="892" spans="1:41">
      <c r="A892" s="55" t="s">
        <v>429</v>
      </c>
      <c r="B892" s="65" t="s">
        <v>383</v>
      </c>
      <c r="C892" s="59">
        <v>507777</v>
      </c>
      <c r="D892" s="59">
        <v>600819</v>
      </c>
      <c r="E892" s="59">
        <v>658799</v>
      </c>
      <c r="F892" s="59">
        <v>706976</v>
      </c>
      <c r="G892" s="59">
        <v>687736</v>
      </c>
      <c r="H892" s="59">
        <v>661181</v>
      </c>
      <c r="I892" s="59">
        <v>697095</v>
      </c>
      <c r="J892" s="59">
        <v>758606</v>
      </c>
      <c r="K892" s="59">
        <v>834263</v>
      </c>
      <c r="L892" s="59">
        <v>894789</v>
      </c>
      <c r="M892" s="59">
        <v>982010</v>
      </c>
      <c r="N892" s="55">
        <v>984892</v>
      </c>
      <c r="O892" s="55">
        <v>935122</v>
      </c>
      <c r="P892" s="55">
        <v>997768</v>
      </c>
      <c r="Q892" s="55">
        <v>1073233</v>
      </c>
      <c r="R892" s="55">
        <v>1131200</v>
      </c>
      <c r="S892" s="64">
        <v>1153915</v>
      </c>
      <c r="AD892" s="57"/>
      <c r="AE892" s="57"/>
      <c r="AF892" s="57"/>
      <c r="AG892" s="57"/>
      <c r="AH892" s="57"/>
      <c r="AI892" s="57"/>
      <c r="AJ892" s="57"/>
      <c r="AK892" s="57"/>
      <c r="AL892" s="57"/>
      <c r="AM892" s="57"/>
      <c r="AN892" s="57"/>
      <c r="AO892" s="57"/>
    </row>
    <row r="893" spans="1:41">
      <c r="A893" s="55" t="s">
        <v>429</v>
      </c>
      <c r="B893" s="65" t="s">
        <v>384</v>
      </c>
      <c r="C893" s="59">
        <v>302299</v>
      </c>
      <c r="D893" s="59">
        <v>352196</v>
      </c>
      <c r="E893" s="59">
        <v>385393</v>
      </c>
      <c r="F893" s="59">
        <v>426150</v>
      </c>
      <c r="G893" s="59">
        <v>426653</v>
      </c>
      <c r="H893" s="59">
        <v>409150</v>
      </c>
      <c r="I893" s="59">
        <v>433612</v>
      </c>
      <c r="J893" s="59">
        <v>461372</v>
      </c>
      <c r="K893" s="59">
        <v>501574</v>
      </c>
      <c r="L893" s="59">
        <v>526203</v>
      </c>
      <c r="M893" s="59">
        <v>575828</v>
      </c>
      <c r="N893" s="55">
        <v>563072</v>
      </c>
      <c r="O893" s="55">
        <v>548377</v>
      </c>
      <c r="P893" s="55">
        <v>587158</v>
      </c>
      <c r="Q893" s="55">
        <v>613958</v>
      </c>
      <c r="R893" s="55">
        <v>643741</v>
      </c>
      <c r="S893" s="64">
        <v>648229</v>
      </c>
      <c r="T893" s="63"/>
      <c r="AD893" s="57"/>
      <c r="AE893" s="57"/>
      <c r="AF893" s="57"/>
      <c r="AG893" s="57"/>
      <c r="AH893" s="57"/>
      <c r="AI893" s="57"/>
      <c r="AJ893" s="57"/>
      <c r="AK893" s="57"/>
      <c r="AL893" s="57"/>
      <c r="AM893" s="57"/>
      <c r="AN893" s="57"/>
      <c r="AO893" s="57"/>
    </row>
    <row r="894" spans="1:41">
      <c r="A894" s="55" t="s">
        <v>429</v>
      </c>
      <c r="B894" s="65" t="s">
        <v>385</v>
      </c>
      <c r="C894" s="59">
        <v>51278</v>
      </c>
      <c r="D894" s="59">
        <v>56239</v>
      </c>
      <c r="E894" s="59">
        <v>59949</v>
      </c>
      <c r="F894" s="59">
        <v>58282</v>
      </c>
      <c r="G894" s="59">
        <v>59496</v>
      </c>
      <c r="H894" s="59">
        <v>62382</v>
      </c>
      <c r="I894" s="59">
        <v>73121</v>
      </c>
      <c r="J894" s="59">
        <v>70412</v>
      </c>
      <c r="K894" s="59">
        <v>74441</v>
      </c>
      <c r="L894" s="59">
        <v>76193</v>
      </c>
      <c r="M894" s="59">
        <v>73180</v>
      </c>
      <c r="N894" s="55">
        <v>49584</v>
      </c>
      <c r="O894" s="55">
        <v>62474</v>
      </c>
      <c r="P894" s="55">
        <v>73858</v>
      </c>
      <c r="Q894" s="55">
        <v>71844</v>
      </c>
      <c r="R894" s="55">
        <v>75751</v>
      </c>
      <c r="S894" s="64">
        <v>75813</v>
      </c>
      <c r="T894" s="63"/>
      <c r="AD894" s="57"/>
      <c r="AE894" s="57"/>
      <c r="AF894" s="57"/>
      <c r="AG894" s="57"/>
      <c r="AH894" s="57"/>
      <c r="AI894" s="57"/>
      <c r="AJ894" s="57"/>
      <c r="AK894" s="57"/>
      <c r="AL894" s="57"/>
      <c r="AM894" s="57"/>
      <c r="AN894" s="57"/>
      <c r="AO894" s="57"/>
    </row>
    <row r="895" spans="1:41">
      <c r="A895" s="55" t="s">
        <v>429</v>
      </c>
      <c r="B895" s="65" t="s">
        <v>386</v>
      </c>
      <c r="C895" s="59">
        <v>46025</v>
      </c>
      <c r="D895" s="59">
        <v>63514</v>
      </c>
      <c r="E895" s="59">
        <v>80503</v>
      </c>
      <c r="F895" s="59">
        <v>93079</v>
      </c>
      <c r="G895" s="59">
        <v>86814</v>
      </c>
      <c r="H895" s="59">
        <v>84308</v>
      </c>
      <c r="I895" s="59">
        <v>76517</v>
      </c>
      <c r="J895" s="59">
        <v>72396</v>
      </c>
      <c r="K895" s="59">
        <v>73680</v>
      </c>
      <c r="L895" s="59">
        <v>72774</v>
      </c>
      <c r="M895" s="59">
        <v>82373</v>
      </c>
      <c r="N895" s="55">
        <v>94027</v>
      </c>
      <c r="O895" s="55">
        <v>85787</v>
      </c>
      <c r="P895" s="55">
        <v>100008</v>
      </c>
      <c r="Q895" s="55">
        <v>104162</v>
      </c>
      <c r="R895" s="55">
        <v>103322</v>
      </c>
      <c r="S895" s="64">
        <v>107276</v>
      </c>
      <c r="T895" s="63"/>
      <c r="AD895" s="57"/>
      <c r="AE895" s="57"/>
      <c r="AF895" s="57"/>
      <c r="AG895" s="57"/>
      <c r="AH895" s="57"/>
      <c r="AI895" s="57"/>
      <c r="AJ895" s="57"/>
      <c r="AK895" s="57"/>
      <c r="AL895" s="57"/>
      <c r="AM895" s="57"/>
      <c r="AN895" s="57"/>
      <c r="AO895" s="57"/>
    </row>
    <row r="896" spans="1:41">
      <c r="A896" s="55" t="s">
        <v>429</v>
      </c>
      <c r="B896" s="65" t="s">
        <v>387</v>
      </c>
      <c r="C896" s="59">
        <v>204997</v>
      </c>
      <c r="D896" s="59">
        <v>232443</v>
      </c>
      <c r="E896" s="59">
        <v>244942</v>
      </c>
      <c r="F896" s="59">
        <v>274789</v>
      </c>
      <c r="G896" s="59">
        <v>280343</v>
      </c>
      <c r="H896" s="59">
        <v>262460</v>
      </c>
      <c r="I896" s="59">
        <v>283974</v>
      </c>
      <c r="J896" s="59">
        <v>318565</v>
      </c>
      <c r="K896" s="59">
        <v>353453</v>
      </c>
      <c r="L896" s="59">
        <v>377235</v>
      </c>
      <c r="M896" s="59">
        <v>420275</v>
      </c>
      <c r="N896" s="55">
        <v>419461</v>
      </c>
      <c r="O896" s="55">
        <v>400116</v>
      </c>
      <c r="P896" s="55">
        <v>413291</v>
      </c>
      <c r="Q896" s="55">
        <v>437952</v>
      </c>
      <c r="R896" s="55">
        <v>464668</v>
      </c>
      <c r="S896" s="64">
        <v>465140</v>
      </c>
      <c r="AD896" s="57"/>
      <c r="AE896" s="57"/>
      <c r="AF896" s="57"/>
      <c r="AG896" s="57"/>
      <c r="AH896" s="57"/>
      <c r="AI896" s="57"/>
      <c r="AJ896" s="57"/>
      <c r="AK896" s="57"/>
      <c r="AL896" s="57"/>
      <c r="AM896" s="57"/>
      <c r="AN896" s="57"/>
      <c r="AO896" s="57"/>
    </row>
    <row r="897" spans="1:41">
      <c r="A897" s="55" t="s">
        <v>429</v>
      </c>
      <c r="B897" s="65" t="s">
        <v>388</v>
      </c>
      <c r="C897" s="59">
        <v>69431</v>
      </c>
      <c r="D897" s="59">
        <v>80917</v>
      </c>
      <c r="E897" s="59">
        <v>89931</v>
      </c>
      <c r="F897" s="59">
        <v>87248</v>
      </c>
      <c r="G897" s="59">
        <v>85172</v>
      </c>
      <c r="H897" s="59">
        <v>85846</v>
      </c>
      <c r="I897" s="59">
        <v>93710</v>
      </c>
      <c r="J897" s="59">
        <v>112726</v>
      </c>
      <c r="K897" s="59">
        <v>133859</v>
      </c>
      <c r="L897" s="59">
        <v>145967</v>
      </c>
      <c r="M897" s="59">
        <v>172167</v>
      </c>
      <c r="N897" s="55">
        <v>177823</v>
      </c>
      <c r="O897" s="55">
        <v>168161</v>
      </c>
      <c r="P897" s="55">
        <v>178864</v>
      </c>
      <c r="Q897" s="55">
        <v>202967</v>
      </c>
      <c r="R897" s="55">
        <v>224879</v>
      </c>
      <c r="S897" s="64">
        <v>236069</v>
      </c>
      <c r="AD897" s="57"/>
      <c r="AE897" s="57"/>
      <c r="AF897" s="57"/>
      <c r="AG897" s="57"/>
      <c r="AH897" s="57"/>
      <c r="AI897" s="57"/>
      <c r="AJ897" s="57"/>
      <c r="AK897" s="57"/>
      <c r="AL897" s="57"/>
      <c r="AM897" s="57"/>
      <c r="AN897" s="57"/>
      <c r="AO897" s="57"/>
    </row>
    <row r="898" spans="1:41">
      <c r="A898" s="55" t="s">
        <v>429</v>
      </c>
      <c r="B898" s="65" t="s">
        <v>389</v>
      </c>
      <c r="C898" s="59">
        <v>136047</v>
      </c>
      <c r="D898" s="59">
        <v>167706</v>
      </c>
      <c r="E898" s="59">
        <v>183475</v>
      </c>
      <c r="F898" s="59">
        <v>193578</v>
      </c>
      <c r="G898" s="59">
        <v>175911</v>
      </c>
      <c r="H898" s="59">
        <v>166185</v>
      </c>
      <c r="I898" s="59">
        <v>169773</v>
      </c>
      <c r="J898" s="59">
        <v>184508</v>
      </c>
      <c r="K898" s="59">
        <v>198830</v>
      </c>
      <c r="L898" s="59">
        <v>222619</v>
      </c>
      <c r="M898" s="59">
        <v>234015</v>
      </c>
      <c r="N898" s="55">
        <v>243997</v>
      </c>
      <c r="O898" s="55">
        <v>218584</v>
      </c>
      <c r="P898" s="55">
        <v>231747</v>
      </c>
      <c r="Q898" s="55">
        <v>256309</v>
      </c>
      <c r="R898" s="55">
        <v>262580</v>
      </c>
      <c r="S898" s="64">
        <v>269616</v>
      </c>
      <c r="T898" s="63"/>
      <c r="AD898" s="57"/>
      <c r="AE898" s="57"/>
      <c r="AF898" s="57"/>
      <c r="AG898" s="57"/>
      <c r="AH898" s="57"/>
      <c r="AI898" s="57"/>
      <c r="AJ898" s="57"/>
      <c r="AK898" s="57"/>
      <c r="AL898" s="57"/>
      <c r="AM898" s="57"/>
      <c r="AN898" s="57"/>
      <c r="AO898" s="57"/>
    </row>
    <row r="899" spans="1:41">
      <c r="A899" s="55" t="s">
        <v>429</v>
      </c>
      <c r="B899" s="65" t="s">
        <v>390</v>
      </c>
      <c r="C899" s="59">
        <v>116213</v>
      </c>
      <c r="D899" s="59">
        <v>144204</v>
      </c>
      <c r="E899" s="59">
        <v>158138</v>
      </c>
      <c r="F899" s="59">
        <v>167446</v>
      </c>
      <c r="G899" s="59">
        <v>151824</v>
      </c>
      <c r="H899" s="59">
        <v>144075</v>
      </c>
      <c r="I899" s="59">
        <v>145757</v>
      </c>
      <c r="J899" s="59">
        <v>155478</v>
      </c>
      <c r="K899" s="59">
        <v>166615</v>
      </c>
      <c r="L899" s="59">
        <v>181768</v>
      </c>
      <c r="M899" s="59">
        <v>193869</v>
      </c>
      <c r="N899" s="55">
        <v>200502</v>
      </c>
      <c r="O899" s="55">
        <v>182005</v>
      </c>
      <c r="P899" s="55">
        <v>194628</v>
      </c>
      <c r="Q899" s="55">
        <v>210777</v>
      </c>
      <c r="R899" s="55">
        <v>218132</v>
      </c>
      <c r="S899" s="64">
        <v>222693</v>
      </c>
      <c r="T899" s="63"/>
      <c r="AD899" s="57"/>
      <c r="AE899" s="57"/>
      <c r="AF899" s="57"/>
      <c r="AG899" s="57"/>
      <c r="AH899" s="57"/>
      <c r="AI899" s="57"/>
      <c r="AJ899" s="57"/>
      <c r="AK899" s="57"/>
      <c r="AL899" s="57"/>
      <c r="AM899" s="57"/>
      <c r="AN899" s="57"/>
      <c r="AO899" s="57"/>
    </row>
    <row r="900" spans="1:41">
      <c r="A900" s="55" t="s">
        <v>429</v>
      </c>
      <c r="B900" s="65" t="s">
        <v>391</v>
      </c>
      <c r="C900" s="59">
        <v>19834</v>
      </c>
      <c r="D900" s="59">
        <v>23502</v>
      </c>
      <c r="E900" s="59">
        <v>25337</v>
      </c>
      <c r="F900" s="59">
        <v>26133</v>
      </c>
      <c r="G900" s="59">
        <v>24087</v>
      </c>
      <c r="H900" s="59">
        <v>22110</v>
      </c>
      <c r="I900" s="59">
        <v>24016</v>
      </c>
      <c r="J900" s="59">
        <v>29029</v>
      </c>
      <c r="K900" s="59">
        <v>32215</v>
      </c>
      <c r="L900" s="59">
        <v>40851</v>
      </c>
      <c r="M900" s="59">
        <v>40146</v>
      </c>
      <c r="N900" s="55">
        <v>43495</v>
      </c>
      <c r="O900" s="55">
        <v>36579</v>
      </c>
      <c r="P900" s="55">
        <v>37119</v>
      </c>
      <c r="Q900" s="55">
        <v>45531</v>
      </c>
      <c r="R900" s="55">
        <v>44448</v>
      </c>
      <c r="S900" s="64">
        <v>46923</v>
      </c>
      <c r="AD900" s="57"/>
      <c r="AE900" s="57"/>
      <c r="AF900" s="57"/>
      <c r="AG900" s="57"/>
      <c r="AH900" s="57"/>
      <c r="AI900" s="57"/>
      <c r="AJ900" s="57"/>
      <c r="AK900" s="57"/>
      <c r="AL900" s="57"/>
      <c r="AM900" s="57"/>
      <c r="AN900" s="57"/>
      <c r="AO900" s="57"/>
    </row>
    <row r="901" spans="1:41">
      <c r="A901" s="55" t="s">
        <v>429</v>
      </c>
      <c r="B901" s="65" t="s">
        <v>392</v>
      </c>
      <c r="C901" s="59">
        <v>351658</v>
      </c>
      <c r="D901" s="59">
        <v>385661</v>
      </c>
      <c r="E901" s="59">
        <v>401342</v>
      </c>
      <c r="F901" s="59">
        <v>432305</v>
      </c>
      <c r="G901" s="59">
        <v>479399</v>
      </c>
      <c r="H901" s="59">
        <v>517377</v>
      </c>
      <c r="I901" s="59">
        <v>553316</v>
      </c>
      <c r="J901" s="59">
        <v>577667</v>
      </c>
      <c r="K901" s="59">
        <v>630162</v>
      </c>
      <c r="L901" s="59">
        <v>660591</v>
      </c>
      <c r="M901" s="59">
        <v>710105</v>
      </c>
      <c r="N901" s="55">
        <v>740482</v>
      </c>
      <c r="O901" s="55">
        <v>761130</v>
      </c>
      <c r="P901" s="55">
        <v>810386</v>
      </c>
      <c r="Q901" s="55">
        <v>861510</v>
      </c>
      <c r="R901" s="55">
        <v>917522</v>
      </c>
      <c r="S901" s="64">
        <v>971953</v>
      </c>
      <c r="AD901" s="57"/>
      <c r="AE901" s="57"/>
      <c r="AF901" s="57"/>
      <c r="AG901" s="57"/>
      <c r="AH901" s="57"/>
      <c r="AI901" s="57"/>
      <c r="AJ901" s="57"/>
      <c r="AK901" s="57"/>
      <c r="AL901" s="57"/>
      <c r="AM901" s="57"/>
      <c r="AN901" s="57"/>
      <c r="AO901" s="57"/>
    </row>
    <row r="902" spans="1:41">
      <c r="A902" s="55" t="s">
        <v>429</v>
      </c>
      <c r="B902" s="65" t="s">
        <v>393</v>
      </c>
      <c r="C902" s="59">
        <v>43724</v>
      </c>
      <c r="D902" s="59">
        <v>49377</v>
      </c>
      <c r="E902" s="59">
        <v>52581</v>
      </c>
      <c r="F902" s="59">
        <v>57932</v>
      </c>
      <c r="G902" s="59">
        <v>65728</v>
      </c>
      <c r="H902" s="59">
        <v>67821</v>
      </c>
      <c r="I902" s="59">
        <v>69571</v>
      </c>
      <c r="J902" s="59">
        <v>66177</v>
      </c>
      <c r="K902" s="59">
        <v>72001</v>
      </c>
      <c r="L902" s="59">
        <v>79437</v>
      </c>
      <c r="M902" s="59">
        <v>88474</v>
      </c>
      <c r="N902" s="55">
        <v>95135</v>
      </c>
      <c r="O902" s="55">
        <v>96052</v>
      </c>
      <c r="P902" s="55">
        <v>110172</v>
      </c>
      <c r="Q902" s="55">
        <v>117321</v>
      </c>
      <c r="R902" s="55">
        <v>122839</v>
      </c>
      <c r="S902" s="64">
        <v>134679</v>
      </c>
      <c r="AD902" s="57"/>
      <c r="AE902" s="57"/>
      <c r="AF902" s="57"/>
      <c r="AG902" s="57"/>
      <c r="AH902" s="57"/>
      <c r="AI902" s="57"/>
      <c r="AJ902" s="57"/>
      <c r="AK902" s="57"/>
      <c r="AL902" s="57"/>
      <c r="AM902" s="57"/>
      <c r="AN902" s="57"/>
      <c r="AO902" s="57"/>
    </row>
    <row r="903" spans="1:41">
      <c r="A903" s="55" t="s">
        <v>429</v>
      </c>
      <c r="B903" s="65" t="s">
        <v>394</v>
      </c>
      <c r="C903" s="59">
        <v>307934</v>
      </c>
      <c r="D903" s="59">
        <v>336284</v>
      </c>
      <c r="E903" s="59">
        <v>348761</v>
      </c>
      <c r="F903" s="59">
        <v>374373</v>
      </c>
      <c r="G903" s="59">
        <v>413671</v>
      </c>
      <c r="H903" s="59">
        <v>449557</v>
      </c>
      <c r="I903" s="59">
        <v>483745</v>
      </c>
      <c r="J903" s="59">
        <v>511490</v>
      </c>
      <c r="K903" s="59">
        <v>558161</v>
      </c>
      <c r="L903" s="59">
        <v>581155</v>
      </c>
      <c r="M903" s="59">
        <v>621631</v>
      </c>
      <c r="N903" s="55">
        <v>645347</v>
      </c>
      <c r="O903" s="55">
        <v>665078</v>
      </c>
      <c r="P903" s="55">
        <v>700214</v>
      </c>
      <c r="Q903" s="55">
        <v>744189</v>
      </c>
      <c r="R903" s="55">
        <v>794683</v>
      </c>
      <c r="S903" s="64">
        <v>837273</v>
      </c>
      <c r="T903" s="63"/>
      <c r="AD903" s="57"/>
      <c r="AE903" s="57"/>
      <c r="AF903" s="57"/>
      <c r="AG903" s="57"/>
      <c r="AH903" s="57"/>
      <c r="AI903" s="57"/>
      <c r="AJ903" s="57"/>
      <c r="AK903" s="57"/>
      <c r="AL903" s="57"/>
      <c r="AM903" s="57"/>
      <c r="AN903" s="57"/>
      <c r="AO903" s="57"/>
    </row>
    <row r="904" spans="1:41">
      <c r="A904" s="55" t="s">
        <v>429</v>
      </c>
      <c r="B904" s="65" t="s">
        <v>395</v>
      </c>
      <c r="C904" s="59">
        <v>137816</v>
      </c>
      <c r="D904" s="59">
        <v>150724</v>
      </c>
      <c r="E904" s="59">
        <v>155559</v>
      </c>
      <c r="F904" s="59">
        <v>165314</v>
      </c>
      <c r="G904" s="59">
        <v>181922</v>
      </c>
      <c r="H904" s="59">
        <v>195720</v>
      </c>
      <c r="I904" s="59">
        <v>216480</v>
      </c>
      <c r="J904" s="59">
        <v>232741</v>
      </c>
      <c r="K904" s="59">
        <v>246705</v>
      </c>
      <c r="L904" s="59">
        <v>249748</v>
      </c>
      <c r="M904" s="59">
        <v>267461</v>
      </c>
      <c r="N904" s="55">
        <v>275050</v>
      </c>
      <c r="O904" s="55">
        <v>279039</v>
      </c>
      <c r="P904" s="55">
        <v>287623</v>
      </c>
      <c r="Q904" s="55">
        <v>304197</v>
      </c>
      <c r="R904" s="55">
        <v>323054</v>
      </c>
      <c r="S904" s="64">
        <v>337326</v>
      </c>
      <c r="T904" s="63"/>
      <c r="AD904" s="57"/>
      <c r="AE904" s="57"/>
      <c r="AF904" s="57"/>
      <c r="AG904" s="57"/>
      <c r="AH904" s="57"/>
      <c r="AI904" s="57"/>
      <c r="AJ904" s="57"/>
      <c r="AK904" s="57"/>
      <c r="AL904" s="57"/>
      <c r="AM904" s="57"/>
      <c r="AN904" s="57"/>
      <c r="AO904" s="57"/>
    </row>
    <row r="905" spans="1:41">
      <c r="A905" s="55" t="s">
        <v>429</v>
      </c>
      <c r="B905" s="65" t="s">
        <v>446</v>
      </c>
      <c r="C905" s="59">
        <v>113570</v>
      </c>
      <c r="D905" s="59">
        <v>124589</v>
      </c>
      <c r="E905" s="59">
        <v>129898</v>
      </c>
      <c r="F905" s="59">
        <v>138933</v>
      </c>
      <c r="G905" s="59">
        <v>150701</v>
      </c>
      <c r="H905" s="59">
        <v>169239</v>
      </c>
      <c r="I905" s="59">
        <v>178405</v>
      </c>
      <c r="J905" s="59">
        <v>186420</v>
      </c>
      <c r="K905" s="59">
        <v>210138</v>
      </c>
      <c r="L905" s="59">
        <v>223425</v>
      </c>
      <c r="M905" s="59">
        <v>235938</v>
      </c>
      <c r="N905" s="55">
        <v>246358</v>
      </c>
      <c r="O905" s="55">
        <v>259200</v>
      </c>
      <c r="P905" s="55">
        <v>277737</v>
      </c>
      <c r="Q905" s="55">
        <v>296111</v>
      </c>
      <c r="R905" s="55">
        <v>324099</v>
      </c>
      <c r="S905" s="64">
        <v>359029</v>
      </c>
      <c r="T905" s="63"/>
      <c r="AD905" s="57"/>
      <c r="AE905" s="57"/>
      <c r="AF905" s="57"/>
      <c r="AG905" s="57"/>
      <c r="AH905" s="57"/>
      <c r="AI905" s="57"/>
      <c r="AJ905" s="57"/>
      <c r="AK905" s="57"/>
      <c r="AL905" s="57"/>
      <c r="AM905" s="57"/>
      <c r="AN905" s="57"/>
      <c r="AO905" s="57"/>
    </row>
    <row r="906" spans="1:41">
      <c r="A906" s="55" t="s">
        <v>429</v>
      </c>
      <c r="B906" s="65" t="s">
        <v>447</v>
      </c>
      <c r="C906" s="59">
        <v>33577</v>
      </c>
      <c r="D906" s="59">
        <v>36788</v>
      </c>
      <c r="E906" s="59">
        <v>36504</v>
      </c>
      <c r="F906" s="59">
        <v>38685</v>
      </c>
      <c r="G906" s="59">
        <v>42432</v>
      </c>
      <c r="H906" s="59">
        <v>42998</v>
      </c>
      <c r="I906" s="59">
        <v>46946</v>
      </c>
      <c r="J906" s="59">
        <v>49415</v>
      </c>
      <c r="K906" s="59">
        <v>56416</v>
      </c>
      <c r="L906" s="59">
        <v>60012</v>
      </c>
      <c r="M906" s="59">
        <v>64514</v>
      </c>
      <c r="N906" s="55">
        <v>66534</v>
      </c>
      <c r="O906" s="55">
        <v>66561</v>
      </c>
      <c r="P906" s="55">
        <v>70210</v>
      </c>
      <c r="Q906" s="55">
        <v>75575</v>
      </c>
      <c r="R906" s="55">
        <v>77873</v>
      </c>
      <c r="S906" s="64">
        <v>78462</v>
      </c>
      <c r="T906" s="63"/>
      <c r="AD906" s="57"/>
      <c r="AE906" s="57"/>
      <c r="AF906" s="57"/>
      <c r="AG906" s="57"/>
      <c r="AH906" s="57"/>
      <c r="AI906" s="57"/>
      <c r="AJ906" s="57"/>
      <c r="AK906" s="57"/>
      <c r="AL906" s="57"/>
      <c r="AM906" s="57"/>
      <c r="AN906" s="57"/>
      <c r="AO906" s="57"/>
    </row>
    <row r="907" spans="1:41">
      <c r="A907" s="55" t="s">
        <v>429</v>
      </c>
      <c r="B907" s="65" t="s">
        <v>397</v>
      </c>
      <c r="C907" s="59">
        <v>22970</v>
      </c>
      <c r="D907" s="59">
        <v>24183</v>
      </c>
      <c r="E907" s="59">
        <v>26801</v>
      </c>
      <c r="F907" s="59">
        <v>31441</v>
      </c>
      <c r="G907" s="59">
        <v>38616</v>
      </c>
      <c r="H907" s="59">
        <v>41600</v>
      </c>
      <c r="I907" s="59">
        <v>41914</v>
      </c>
      <c r="J907" s="59">
        <v>42914</v>
      </c>
      <c r="K907" s="59">
        <v>44902</v>
      </c>
      <c r="L907" s="59">
        <v>47969</v>
      </c>
      <c r="M907" s="59">
        <v>53718</v>
      </c>
      <c r="N907" s="55">
        <v>57405</v>
      </c>
      <c r="O907" s="55">
        <v>60278</v>
      </c>
      <c r="P907" s="55">
        <v>64644</v>
      </c>
      <c r="Q907" s="55">
        <v>68306</v>
      </c>
      <c r="R907" s="55">
        <v>69657</v>
      </c>
      <c r="S907" s="64">
        <v>62456</v>
      </c>
      <c r="AD907" s="57"/>
      <c r="AE907" s="57"/>
      <c r="AF907" s="57"/>
      <c r="AG907" s="57"/>
      <c r="AH907" s="57"/>
      <c r="AI907" s="57"/>
      <c r="AJ907" s="57"/>
      <c r="AK907" s="57"/>
      <c r="AL907" s="57"/>
      <c r="AM907" s="57"/>
      <c r="AN907" s="57"/>
      <c r="AO907" s="57"/>
    </row>
    <row r="908" spans="1:41">
      <c r="A908" s="55" t="s">
        <v>429</v>
      </c>
      <c r="B908" s="65" t="s">
        <v>398</v>
      </c>
      <c r="C908" s="59">
        <v>246478</v>
      </c>
      <c r="D908" s="59">
        <v>257771</v>
      </c>
      <c r="E908" s="59">
        <v>260681</v>
      </c>
      <c r="F908" s="59">
        <v>276993</v>
      </c>
      <c r="G908" s="59">
        <v>290637</v>
      </c>
      <c r="H908" s="59">
        <v>299707</v>
      </c>
      <c r="I908" s="59">
        <v>318459</v>
      </c>
      <c r="J908" s="59">
        <v>338657</v>
      </c>
      <c r="K908" s="59">
        <v>364876</v>
      </c>
      <c r="L908" s="59">
        <v>392393</v>
      </c>
      <c r="M908" s="59">
        <v>415902</v>
      </c>
      <c r="N908" s="55">
        <v>434569</v>
      </c>
      <c r="O908" s="55">
        <v>420779</v>
      </c>
      <c r="P908" s="55">
        <v>423361</v>
      </c>
      <c r="Q908" s="55">
        <v>453857</v>
      </c>
      <c r="R908" s="55">
        <v>478726</v>
      </c>
      <c r="S908" s="64">
        <v>501243</v>
      </c>
      <c r="AD908" s="57"/>
      <c r="AE908" s="57"/>
      <c r="AF908" s="57"/>
      <c r="AG908" s="57"/>
      <c r="AH908" s="57"/>
      <c r="AI908" s="57"/>
      <c r="AJ908" s="57"/>
      <c r="AK908" s="57"/>
      <c r="AL908" s="57"/>
      <c r="AM908" s="57"/>
      <c r="AN908" s="57"/>
      <c r="AO908" s="57"/>
    </row>
    <row r="909" spans="1:41">
      <c r="A909" s="55" t="s">
        <v>429</v>
      </c>
      <c r="B909" s="65" t="s">
        <v>399</v>
      </c>
      <c r="C909" s="59">
        <v>45679</v>
      </c>
      <c r="D909" s="59">
        <v>49755</v>
      </c>
      <c r="E909" s="59">
        <v>51067</v>
      </c>
      <c r="F909" s="59">
        <v>50465</v>
      </c>
      <c r="G909" s="59">
        <v>59357</v>
      </c>
      <c r="H909" s="59">
        <v>61417</v>
      </c>
      <c r="I909" s="59">
        <v>67284</v>
      </c>
      <c r="J909" s="59">
        <v>71665</v>
      </c>
      <c r="K909" s="59">
        <v>77436</v>
      </c>
      <c r="L909" s="59">
        <v>89523</v>
      </c>
      <c r="M909" s="59">
        <v>101320</v>
      </c>
      <c r="N909" s="55">
        <v>106549</v>
      </c>
      <c r="O909" s="55">
        <v>104254</v>
      </c>
      <c r="P909" s="55">
        <v>100790</v>
      </c>
      <c r="Q909" s="55">
        <v>107934</v>
      </c>
      <c r="R909" s="55">
        <v>112994</v>
      </c>
      <c r="S909" s="64">
        <v>116499</v>
      </c>
      <c r="T909" s="63"/>
      <c r="AD909" s="57"/>
      <c r="AE909" s="57"/>
      <c r="AF909" s="57"/>
      <c r="AG909" s="57"/>
      <c r="AH909" s="57"/>
      <c r="AI909" s="57"/>
      <c r="AJ909" s="57"/>
      <c r="AK909" s="57"/>
      <c r="AL909" s="57"/>
      <c r="AM909" s="57"/>
      <c r="AN909" s="57"/>
      <c r="AO909" s="57"/>
    </row>
    <row r="910" spans="1:41">
      <c r="A910" s="55" t="s">
        <v>429</v>
      </c>
      <c r="B910" s="65" t="s">
        <v>400</v>
      </c>
      <c r="C910" s="59">
        <v>21857</v>
      </c>
      <c r="D910" s="59">
        <v>23658</v>
      </c>
      <c r="E910" s="59">
        <v>24381</v>
      </c>
      <c r="F910" s="59">
        <v>25867</v>
      </c>
      <c r="G910" s="59">
        <v>30940</v>
      </c>
      <c r="H910" s="59">
        <v>33865</v>
      </c>
      <c r="I910" s="59">
        <v>35447</v>
      </c>
      <c r="J910" s="59">
        <v>35839</v>
      </c>
      <c r="K910" s="59">
        <v>39169</v>
      </c>
      <c r="L910" s="59">
        <v>42813</v>
      </c>
      <c r="M910" s="59">
        <v>51319</v>
      </c>
      <c r="N910" s="55">
        <v>53665</v>
      </c>
      <c r="O910" s="55">
        <v>53490</v>
      </c>
      <c r="P910" s="55">
        <v>53436</v>
      </c>
      <c r="Q910" s="55">
        <v>55880</v>
      </c>
      <c r="R910" s="55">
        <v>58496</v>
      </c>
      <c r="S910" s="64">
        <v>60218</v>
      </c>
      <c r="T910" s="63"/>
      <c r="AD910" s="57"/>
      <c r="AE910" s="57"/>
      <c r="AF910" s="57"/>
      <c r="AG910" s="57"/>
      <c r="AH910" s="57"/>
      <c r="AI910" s="57"/>
      <c r="AJ910" s="57"/>
      <c r="AK910" s="57"/>
      <c r="AL910" s="57"/>
      <c r="AM910" s="57"/>
      <c r="AN910" s="57"/>
      <c r="AO910" s="57"/>
    </row>
    <row r="911" spans="1:41">
      <c r="A911" s="55" t="s">
        <v>429</v>
      </c>
      <c r="B911" s="65" t="s">
        <v>401</v>
      </c>
      <c r="C911" s="59">
        <v>23821</v>
      </c>
      <c r="D911" s="59">
        <v>26097</v>
      </c>
      <c r="E911" s="59">
        <v>26686</v>
      </c>
      <c r="F911" s="59">
        <v>24598</v>
      </c>
      <c r="G911" s="59">
        <v>28417</v>
      </c>
      <c r="H911" s="59">
        <v>27552</v>
      </c>
      <c r="I911" s="59">
        <v>31837</v>
      </c>
      <c r="J911" s="59">
        <v>35826</v>
      </c>
      <c r="K911" s="59">
        <v>38267</v>
      </c>
      <c r="L911" s="59">
        <v>46710</v>
      </c>
      <c r="M911" s="59">
        <v>50001</v>
      </c>
      <c r="N911" s="55">
        <v>52884</v>
      </c>
      <c r="O911" s="55">
        <v>50765</v>
      </c>
      <c r="P911" s="55">
        <v>47354</v>
      </c>
      <c r="Q911" s="55">
        <v>52054</v>
      </c>
      <c r="R911" s="55">
        <v>54498</v>
      </c>
      <c r="S911" s="64">
        <v>56281</v>
      </c>
      <c r="AD911" s="57"/>
      <c r="AE911" s="57"/>
      <c r="AF911" s="57"/>
      <c r="AG911" s="57"/>
      <c r="AH911" s="57"/>
      <c r="AI911" s="57"/>
      <c r="AJ911" s="57"/>
      <c r="AK911" s="57"/>
      <c r="AL911" s="57"/>
      <c r="AM911" s="57"/>
      <c r="AN911" s="57"/>
      <c r="AO911" s="57"/>
    </row>
    <row r="912" spans="1:41">
      <c r="A912" s="55" t="s">
        <v>429</v>
      </c>
      <c r="B912" s="65" t="s">
        <v>402</v>
      </c>
      <c r="C912" s="59">
        <v>200799</v>
      </c>
      <c r="D912" s="59">
        <v>208016</v>
      </c>
      <c r="E912" s="59">
        <v>209614</v>
      </c>
      <c r="F912" s="59">
        <v>226528</v>
      </c>
      <c r="G912" s="59">
        <v>231280</v>
      </c>
      <c r="H912" s="59">
        <v>238290</v>
      </c>
      <c r="I912" s="59">
        <v>251175</v>
      </c>
      <c r="J912" s="59">
        <v>266991</v>
      </c>
      <c r="K912" s="59">
        <v>287440</v>
      </c>
      <c r="L912" s="59">
        <v>302869</v>
      </c>
      <c r="M912" s="59">
        <v>314582</v>
      </c>
      <c r="N912" s="55">
        <v>328021</v>
      </c>
      <c r="O912" s="55">
        <v>316525</v>
      </c>
      <c r="P912" s="55">
        <v>322571</v>
      </c>
      <c r="Q912" s="55">
        <v>345923</v>
      </c>
      <c r="R912" s="55">
        <v>365733</v>
      </c>
      <c r="S912" s="64">
        <v>384744</v>
      </c>
      <c r="T912" s="63"/>
      <c r="AD912" s="57"/>
      <c r="AE912" s="57"/>
      <c r="AF912" s="57"/>
      <c r="AG912" s="57"/>
      <c r="AH912" s="57"/>
      <c r="AI912" s="57"/>
      <c r="AJ912" s="57"/>
      <c r="AK912" s="57"/>
      <c r="AL912" s="57"/>
      <c r="AM912" s="57"/>
      <c r="AN912" s="57"/>
      <c r="AO912" s="57"/>
    </row>
    <row r="913" spans="1:41">
      <c r="A913" s="55" t="s">
        <v>429</v>
      </c>
      <c r="B913" s="65" t="s">
        <v>403</v>
      </c>
      <c r="C913" s="59">
        <v>47388</v>
      </c>
      <c r="D913" s="59">
        <v>49311</v>
      </c>
      <c r="E913" s="59">
        <v>50646</v>
      </c>
      <c r="F913" s="59">
        <v>57911</v>
      </c>
      <c r="G913" s="59">
        <v>55562</v>
      </c>
      <c r="H913" s="59">
        <v>55950</v>
      </c>
      <c r="I913" s="59">
        <v>59807</v>
      </c>
      <c r="J913" s="59">
        <v>64099</v>
      </c>
      <c r="K913" s="59">
        <v>70258</v>
      </c>
      <c r="L913" s="59">
        <v>73670</v>
      </c>
      <c r="M913" s="59">
        <v>71976</v>
      </c>
      <c r="N913" s="55">
        <v>74923</v>
      </c>
      <c r="O913" s="55">
        <v>71780</v>
      </c>
      <c r="P913" s="55">
        <v>68143</v>
      </c>
      <c r="Q913" s="55">
        <v>69538</v>
      </c>
      <c r="R913" s="55">
        <v>73608</v>
      </c>
      <c r="S913" s="64">
        <v>80116</v>
      </c>
      <c r="T913" s="63"/>
      <c r="AD913" s="57"/>
      <c r="AE913" s="57"/>
      <c r="AF913" s="57"/>
      <c r="AG913" s="57"/>
      <c r="AH913" s="57"/>
      <c r="AI913" s="57"/>
      <c r="AJ913" s="57"/>
      <c r="AK913" s="57"/>
      <c r="AL913" s="57"/>
      <c r="AM913" s="57"/>
      <c r="AN913" s="57"/>
      <c r="AO913" s="57"/>
    </row>
    <row r="914" spans="1:41">
      <c r="A914" s="55" t="s">
        <v>429</v>
      </c>
      <c r="B914" s="65" t="s">
        <v>404</v>
      </c>
      <c r="C914" s="59">
        <v>153411</v>
      </c>
      <c r="D914" s="59">
        <v>158706</v>
      </c>
      <c r="E914" s="59">
        <v>158968</v>
      </c>
      <c r="F914" s="59">
        <v>168617</v>
      </c>
      <c r="G914" s="59">
        <v>175718</v>
      </c>
      <c r="H914" s="59">
        <v>182340</v>
      </c>
      <c r="I914" s="59">
        <v>191368</v>
      </c>
      <c r="J914" s="59">
        <v>202892</v>
      </c>
      <c r="K914" s="59">
        <v>217182</v>
      </c>
      <c r="L914" s="59">
        <v>229199</v>
      </c>
      <c r="M914" s="59">
        <v>242605</v>
      </c>
      <c r="N914" s="55">
        <v>253098</v>
      </c>
      <c r="O914" s="55">
        <v>244745</v>
      </c>
      <c r="P914" s="55">
        <v>254428</v>
      </c>
      <c r="Q914" s="55">
        <v>276385</v>
      </c>
      <c r="R914" s="55">
        <v>292125</v>
      </c>
      <c r="S914" s="64">
        <v>304628</v>
      </c>
      <c r="AD914" s="57"/>
      <c r="AE914" s="57"/>
      <c r="AF914" s="57"/>
      <c r="AG914" s="57"/>
      <c r="AH914" s="57"/>
      <c r="AI914" s="57"/>
      <c r="AJ914" s="57"/>
      <c r="AK914" s="57"/>
      <c r="AL914" s="57"/>
      <c r="AM914" s="57"/>
      <c r="AN914" s="57"/>
      <c r="AO914" s="57"/>
    </row>
    <row r="915" spans="1:41">
      <c r="A915" s="55" t="s">
        <v>429</v>
      </c>
      <c r="B915" s="65" t="s">
        <v>415</v>
      </c>
      <c r="C915" s="59">
        <v>120511</v>
      </c>
      <c r="D915" s="59">
        <v>133929</v>
      </c>
      <c r="E915" s="59">
        <v>140167</v>
      </c>
      <c r="F915" s="59">
        <v>143721</v>
      </c>
      <c r="G915" s="59">
        <v>174629</v>
      </c>
      <c r="H915" s="59">
        <v>171016</v>
      </c>
      <c r="I915" s="59">
        <v>183212</v>
      </c>
      <c r="J915" s="59">
        <v>188110</v>
      </c>
      <c r="K915" s="59">
        <v>184520</v>
      </c>
      <c r="L915" s="59">
        <v>196540</v>
      </c>
      <c r="M915" s="59">
        <v>203314</v>
      </c>
      <c r="N915" s="55">
        <v>220775</v>
      </c>
      <c r="O915" s="55">
        <v>196477</v>
      </c>
      <c r="P915" s="55">
        <v>207181</v>
      </c>
      <c r="Q915" s="55">
        <v>215783</v>
      </c>
      <c r="R915" s="55">
        <v>225622</v>
      </c>
      <c r="S915" s="64">
        <v>224246</v>
      </c>
      <c r="AD915" s="57"/>
      <c r="AE915" s="57"/>
      <c r="AF915" s="57"/>
      <c r="AG915" s="57"/>
      <c r="AH915" s="57"/>
      <c r="AI915" s="57"/>
      <c r="AJ915" s="57"/>
      <c r="AK915" s="57"/>
      <c r="AL915" s="57"/>
      <c r="AM915" s="57"/>
      <c r="AN915" s="57"/>
      <c r="AO915" s="57"/>
    </row>
    <row r="916" spans="1:41">
      <c r="A916" s="55" t="s">
        <v>429</v>
      </c>
      <c r="B916" s="65" t="s">
        <v>174</v>
      </c>
      <c r="C916" s="59">
        <v>516865</v>
      </c>
      <c r="D916" s="59">
        <v>537000</v>
      </c>
      <c r="E916" s="59">
        <v>580162</v>
      </c>
      <c r="F916" s="59">
        <v>625426</v>
      </c>
      <c r="G916" s="59">
        <v>688760</v>
      </c>
      <c r="H916" s="59">
        <v>740049</v>
      </c>
      <c r="I916" s="59">
        <v>789422</v>
      </c>
      <c r="J916" s="59">
        <v>847025</v>
      </c>
      <c r="K916" s="59">
        <v>911806</v>
      </c>
      <c r="L916" s="59">
        <v>983169</v>
      </c>
      <c r="M916" s="59">
        <v>1041410</v>
      </c>
      <c r="N916" s="55">
        <v>1133509</v>
      </c>
      <c r="O916" s="55">
        <v>1165556</v>
      </c>
      <c r="P916" s="55">
        <v>1201694</v>
      </c>
      <c r="Q916" s="55">
        <v>1202346</v>
      </c>
      <c r="R916" s="55">
        <v>1223266</v>
      </c>
      <c r="S916" s="64">
        <v>1218050</v>
      </c>
      <c r="AD916" s="57"/>
      <c r="AE916" s="57"/>
      <c r="AF916" s="57"/>
      <c r="AG916" s="57"/>
      <c r="AH916" s="57"/>
      <c r="AI916" s="57"/>
      <c r="AJ916" s="57"/>
      <c r="AK916" s="57"/>
      <c r="AL916" s="57"/>
      <c r="AM916" s="57"/>
      <c r="AN916" s="57"/>
      <c r="AO916" s="57"/>
    </row>
    <row r="917" spans="1:41">
      <c r="A917" s="55" t="s">
        <v>429</v>
      </c>
      <c r="B917" s="65" t="s">
        <v>219</v>
      </c>
      <c r="C917" s="59">
        <v>147651</v>
      </c>
      <c r="D917" s="59">
        <v>144061</v>
      </c>
      <c r="E917" s="59">
        <v>154610</v>
      </c>
      <c r="F917" s="59">
        <v>161672</v>
      </c>
      <c r="G917" s="59">
        <v>187017</v>
      </c>
      <c r="H917" s="59">
        <v>214006</v>
      </c>
      <c r="I917" s="59">
        <v>249391</v>
      </c>
      <c r="J917" s="59">
        <v>278019</v>
      </c>
      <c r="K917" s="59">
        <v>298187</v>
      </c>
      <c r="L917" s="59">
        <v>321342</v>
      </c>
      <c r="M917" s="59">
        <v>332226</v>
      </c>
      <c r="N917" s="55">
        <v>387768</v>
      </c>
      <c r="O917" s="55">
        <v>410262</v>
      </c>
      <c r="P917" s="55">
        <v>444998</v>
      </c>
      <c r="Q917" s="55">
        <v>434968</v>
      </c>
      <c r="R917" s="55">
        <v>432636</v>
      </c>
      <c r="S917" s="64">
        <v>396153</v>
      </c>
      <c r="T917" s="63"/>
      <c r="AD917" s="57"/>
      <c r="AE917" s="57"/>
      <c r="AF917" s="57"/>
      <c r="AG917" s="57"/>
      <c r="AH917" s="57"/>
      <c r="AI917" s="57"/>
      <c r="AJ917" s="57"/>
      <c r="AK917" s="57"/>
      <c r="AL917" s="57"/>
      <c r="AM917" s="57"/>
      <c r="AN917" s="57"/>
      <c r="AO917" s="57"/>
    </row>
    <row r="918" spans="1:41">
      <c r="A918" s="55" t="s">
        <v>429</v>
      </c>
      <c r="B918" s="55" t="s">
        <v>448</v>
      </c>
      <c r="C918" s="59">
        <v>131946</v>
      </c>
      <c r="D918" s="59">
        <v>128059</v>
      </c>
      <c r="E918" s="59">
        <v>137436</v>
      </c>
      <c r="F918" s="59">
        <v>144563</v>
      </c>
      <c r="G918" s="59">
        <v>165819</v>
      </c>
      <c r="H918" s="55">
        <v>195604</v>
      </c>
      <c r="I918" s="55">
        <v>229924</v>
      </c>
      <c r="J918" s="55">
        <v>258499</v>
      </c>
      <c r="K918" s="55">
        <v>275178</v>
      </c>
      <c r="L918" s="55">
        <v>294354</v>
      </c>
      <c r="M918" s="55">
        <v>302282</v>
      </c>
      <c r="N918" s="55">
        <v>352307</v>
      </c>
      <c r="O918" s="55">
        <v>374432</v>
      </c>
      <c r="P918" s="55">
        <v>406610</v>
      </c>
      <c r="Q918" s="55">
        <v>392579</v>
      </c>
      <c r="R918" s="55">
        <v>384225</v>
      </c>
      <c r="S918" s="64">
        <v>345641</v>
      </c>
      <c r="T918" s="63"/>
      <c r="AD918" s="57"/>
      <c r="AE918" s="57"/>
      <c r="AF918" s="57"/>
      <c r="AG918" s="57"/>
      <c r="AH918" s="57"/>
      <c r="AI918" s="57"/>
      <c r="AJ918" s="57"/>
      <c r="AK918" s="57"/>
      <c r="AL918" s="57"/>
      <c r="AM918" s="57"/>
      <c r="AN918" s="57"/>
      <c r="AO918" s="57"/>
    </row>
    <row r="919" spans="1:41">
      <c r="A919" s="55" t="s">
        <v>429</v>
      </c>
      <c r="B919" s="69" t="s">
        <v>449</v>
      </c>
      <c r="C919" s="59">
        <v>93454</v>
      </c>
      <c r="D919" s="59">
        <v>90980</v>
      </c>
      <c r="E919" s="59">
        <v>101721</v>
      </c>
      <c r="F919" s="59">
        <v>104398</v>
      </c>
      <c r="G919" s="59">
        <v>117168</v>
      </c>
      <c r="H919" s="55">
        <v>135844</v>
      </c>
      <c r="I919" s="55">
        <v>163595</v>
      </c>
      <c r="J919" s="55">
        <v>184730</v>
      </c>
      <c r="K919" s="55">
        <v>194639</v>
      </c>
      <c r="L919" s="55">
        <v>206877</v>
      </c>
      <c r="M919" s="55">
        <v>216623</v>
      </c>
      <c r="N919" s="55">
        <v>252424</v>
      </c>
      <c r="O919" s="55">
        <v>263091</v>
      </c>
      <c r="P919" s="55">
        <v>280638</v>
      </c>
      <c r="Q919" s="55">
        <v>278697</v>
      </c>
      <c r="R919" s="55">
        <v>268313</v>
      </c>
      <c r="S919" s="64">
        <v>239446</v>
      </c>
      <c r="T919" s="63"/>
      <c r="AD919" s="57"/>
      <c r="AE919" s="57"/>
      <c r="AF919" s="57"/>
      <c r="AG919" s="57"/>
      <c r="AH919" s="57"/>
      <c r="AI919" s="57"/>
      <c r="AJ919" s="57"/>
      <c r="AK919" s="57"/>
      <c r="AL919" s="57"/>
      <c r="AM919" s="57"/>
      <c r="AN919" s="57"/>
      <c r="AO919" s="57"/>
    </row>
    <row r="920" spans="1:41">
      <c r="A920" s="55" t="s">
        <v>429</v>
      </c>
      <c r="B920" s="69" t="s">
        <v>450</v>
      </c>
      <c r="C920" s="59">
        <v>38492</v>
      </c>
      <c r="D920" s="59">
        <v>37079</v>
      </c>
      <c r="E920" s="59">
        <v>35715</v>
      </c>
      <c r="F920" s="59">
        <v>40165</v>
      </c>
      <c r="G920" s="59">
        <v>48651</v>
      </c>
      <c r="H920" s="55">
        <v>59760</v>
      </c>
      <c r="I920" s="55">
        <v>66329</v>
      </c>
      <c r="J920" s="55">
        <v>73769</v>
      </c>
      <c r="K920" s="55">
        <v>80539</v>
      </c>
      <c r="L920" s="55">
        <v>87477</v>
      </c>
      <c r="M920" s="55">
        <v>85659</v>
      </c>
      <c r="N920" s="55">
        <v>99883</v>
      </c>
      <c r="O920" s="55">
        <v>111341</v>
      </c>
      <c r="P920" s="55">
        <v>125972</v>
      </c>
      <c r="Q920" s="55">
        <v>113882</v>
      </c>
      <c r="R920" s="55">
        <v>115912</v>
      </c>
      <c r="S920" s="64">
        <v>106195</v>
      </c>
      <c r="T920" s="63"/>
      <c r="AD920" s="57"/>
      <c r="AE920" s="57"/>
      <c r="AF920" s="57"/>
      <c r="AG920" s="57"/>
      <c r="AH920" s="57"/>
      <c r="AI920" s="57"/>
      <c r="AJ920" s="57"/>
      <c r="AK920" s="57"/>
      <c r="AL920" s="57"/>
      <c r="AM920" s="57"/>
      <c r="AN920" s="57"/>
      <c r="AO920" s="57"/>
    </row>
    <row r="921" spans="1:41" ht="15">
      <c r="A921" s="55" t="s">
        <v>429</v>
      </c>
      <c r="B921" s="70" t="s">
        <v>451</v>
      </c>
      <c r="C921" s="59">
        <v>15705</v>
      </c>
      <c r="D921" s="59">
        <v>16002</v>
      </c>
      <c r="E921" s="59">
        <v>17174</v>
      </c>
      <c r="F921" s="59">
        <v>17109</v>
      </c>
      <c r="G921" s="59">
        <v>21198</v>
      </c>
      <c r="H921" s="59">
        <v>18402</v>
      </c>
      <c r="I921" s="59">
        <v>19467</v>
      </c>
      <c r="J921" s="59">
        <v>19520</v>
      </c>
      <c r="K921" s="59">
        <v>23009</v>
      </c>
      <c r="L921" s="59">
        <v>26988</v>
      </c>
      <c r="M921" s="59">
        <v>29944</v>
      </c>
      <c r="N921" s="55">
        <v>35461</v>
      </c>
      <c r="O921" s="55">
        <v>35830</v>
      </c>
      <c r="P921" s="55">
        <v>38388</v>
      </c>
      <c r="Q921" s="55">
        <v>42389</v>
      </c>
      <c r="R921" s="55">
        <v>48411</v>
      </c>
      <c r="S921" s="64">
        <v>50512</v>
      </c>
      <c r="AD921" s="57"/>
      <c r="AE921" s="57"/>
      <c r="AF921" s="57"/>
      <c r="AG921" s="57"/>
      <c r="AH921" s="57"/>
      <c r="AI921" s="57"/>
      <c r="AJ921" s="57"/>
      <c r="AK921" s="57"/>
      <c r="AL921" s="57"/>
      <c r="AM921" s="57"/>
      <c r="AN921" s="57"/>
      <c r="AO921" s="57"/>
    </row>
    <row r="922" spans="1:41">
      <c r="A922" s="55" t="s">
        <v>429</v>
      </c>
      <c r="B922" s="65" t="s">
        <v>221</v>
      </c>
      <c r="C922" s="59">
        <v>369214</v>
      </c>
      <c r="D922" s="59">
        <v>392940</v>
      </c>
      <c r="E922" s="59">
        <v>425552</v>
      </c>
      <c r="F922" s="59">
        <v>463754</v>
      </c>
      <c r="G922" s="59">
        <v>501743</v>
      </c>
      <c r="H922" s="59">
        <v>526043</v>
      </c>
      <c r="I922" s="59">
        <v>540031</v>
      </c>
      <c r="J922" s="59">
        <v>569006</v>
      </c>
      <c r="K922" s="59">
        <v>613619</v>
      </c>
      <c r="L922" s="59">
        <v>661827</v>
      </c>
      <c r="M922" s="59">
        <v>709185</v>
      </c>
      <c r="N922" s="55">
        <v>745741</v>
      </c>
      <c r="O922" s="55">
        <v>755294</v>
      </c>
      <c r="P922" s="55">
        <v>756696</v>
      </c>
      <c r="Q922" s="55">
        <v>767379</v>
      </c>
      <c r="R922" s="55">
        <v>790630</v>
      </c>
      <c r="S922" s="64">
        <v>821897</v>
      </c>
      <c r="T922" s="63"/>
      <c r="AD922" s="57"/>
      <c r="AE922" s="57"/>
      <c r="AF922" s="57"/>
      <c r="AG922" s="57"/>
      <c r="AH922" s="57"/>
      <c r="AI922" s="57"/>
      <c r="AJ922" s="57"/>
      <c r="AK922" s="57"/>
      <c r="AL922" s="57"/>
      <c r="AM922" s="57"/>
      <c r="AN922" s="57"/>
      <c r="AO922" s="57"/>
    </row>
    <row r="923" spans="1:41">
      <c r="A923" s="55" t="s">
        <v>429</v>
      </c>
      <c r="B923" s="65" t="s">
        <v>452</v>
      </c>
      <c r="C923" s="59">
        <v>304055</v>
      </c>
      <c r="D923" s="59">
        <v>326369</v>
      </c>
      <c r="E923" s="59">
        <v>357095</v>
      </c>
      <c r="F923" s="59">
        <v>391873</v>
      </c>
      <c r="G923" s="59">
        <v>425012</v>
      </c>
      <c r="H923" s="59">
        <v>443985</v>
      </c>
      <c r="I923" s="59">
        <v>450834</v>
      </c>
      <c r="J923" s="59">
        <v>472152</v>
      </c>
      <c r="K923" s="59">
        <v>507331</v>
      </c>
      <c r="L923" s="59">
        <v>542202</v>
      </c>
      <c r="M923" s="59">
        <v>577799</v>
      </c>
      <c r="N923" s="55">
        <v>606561</v>
      </c>
      <c r="O923" s="55">
        <v>609912</v>
      </c>
      <c r="P923" s="55">
        <v>609983</v>
      </c>
      <c r="Q923" s="55">
        <v>618805</v>
      </c>
      <c r="R923" s="55">
        <v>637978</v>
      </c>
      <c r="S923" s="64">
        <v>663082</v>
      </c>
      <c r="T923" s="63"/>
      <c r="AD923" s="57"/>
      <c r="AE923" s="57"/>
      <c r="AF923" s="57"/>
      <c r="AG923" s="57"/>
      <c r="AH923" s="57"/>
      <c r="AI923" s="57"/>
      <c r="AJ923" s="57"/>
      <c r="AK923" s="57"/>
      <c r="AL923" s="57"/>
      <c r="AM923" s="57"/>
      <c r="AN923" s="57"/>
      <c r="AO923" s="57"/>
    </row>
    <row r="924" spans="1:41" ht="14.25" customHeight="1">
      <c r="A924" s="55" t="s">
        <v>429</v>
      </c>
      <c r="B924" s="65" t="s">
        <v>453</v>
      </c>
      <c r="C924" s="59">
        <v>65159</v>
      </c>
      <c r="D924" s="59">
        <v>66571</v>
      </c>
      <c r="E924" s="59">
        <v>68457</v>
      </c>
      <c r="F924" s="59">
        <v>71881</v>
      </c>
      <c r="G924" s="59">
        <v>76731</v>
      </c>
      <c r="H924" s="59">
        <v>82058</v>
      </c>
      <c r="I924" s="59">
        <v>89197</v>
      </c>
      <c r="J924" s="59">
        <v>96854</v>
      </c>
      <c r="K924" s="59">
        <v>106288</v>
      </c>
      <c r="L924" s="59">
        <v>119625</v>
      </c>
      <c r="M924" s="59">
        <v>131386</v>
      </c>
      <c r="N924" s="55">
        <v>139180</v>
      </c>
      <c r="O924" s="55">
        <v>145382</v>
      </c>
      <c r="P924" s="55">
        <v>146713</v>
      </c>
      <c r="Q924" s="55">
        <v>148574</v>
      </c>
      <c r="R924" s="55">
        <v>152652</v>
      </c>
      <c r="S924" s="64">
        <v>158815</v>
      </c>
      <c r="AD924" s="57"/>
      <c r="AE924" s="57"/>
      <c r="AF924" s="57"/>
      <c r="AG924" s="57"/>
      <c r="AH924" s="57"/>
      <c r="AI924" s="57"/>
      <c r="AJ924" s="57"/>
      <c r="AK924" s="57"/>
      <c r="AL924" s="57"/>
      <c r="AM924" s="57"/>
      <c r="AN924" s="57"/>
      <c r="AO924" s="57"/>
    </row>
    <row r="925" spans="1:41">
      <c r="B925" s="55" t="s">
        <v>198</v>
      </c>
      <c r="AD925" s="57"/>
      <c r="AE925" s="57"/>
      <c r="AF925" s="57"/>
      <c r="AG925" s="57"/>
      <c r="AH925" s="57"/>
      <c r="AI925" s="57"/>
      <c r="AJ925" s="57"/>
      <c r="AK925" s="57"/>
      <c r="AL925" s="57"/>
      <c r="AM925" s="57"/>
      <c r="AN925" s="57"/>
      <c r="AO925" s="57"/>
    </row>
    <row r="926" spans="1:41" ht="14.25">
      <c r="A926" s="55" t="s">
        <v>429</v>
      </c>
      <c r="B926" s="69" t="s">
        <v>454</v>
      </c>
      <c r="C926" s="55">
        <v>3052846</v>
      </c>
      <c r="D926" s="55">
        <v>3089475</v>
      </c>
      <c r="E926" s="55">
        <v>3194040</v>
      </c>
      <c r="F926" s="55">
        <v>3370237</v>
      </c>
      <c r="G926" s="55">
        <v>3240369</v>
      </c>
      <c r="H926" s="55">
        <v>3166295</v>
      </c>
      <c r="I926" s="55">
        <v>3265256</v>
      </c>
      <c r="J926" s="55">
        <v>3576498</v>
      </c>
      <c r="K926" s="55">
        <v>4028923</v>
      </c>
      <c r="L926" s="55">
        <v>4236981</v>
      </c>
      <c r="M926" s="55">
        <v>4476852</v>
      </c>
      <c r="N926" s="55">
        <v>4673669</v>
      </c>
      <c r="O926" s="55">
        <v>3549998</v>
      </c>
      <c r="P926" s="55">
        <v>3972748</v>
      </c>
      <c r="Q926" s="55">
        <v>4531435</v>
      </c>
      <c r="R926" s="55">
        <v>4724117</v>
      </c>
      <c r="S926" s="64">
        <v>4869733</v>
      </c>
      <c r="AD926" s="57"/>
      <c r="AE926" s="57"/>
      <c r="AF926" s="57"/>
      <c r="AG926" s="57"/>
      <c r="AH926" s="57"/>
      <c r="AI926" s="57"/>
      <c r="AJ926" s="57"/>
      <c r="AK926" s="57"/>
      <c r="AL926" s="57"/>
      <c r="AM926" s="57"/>
      <c r="AN926" s="57"/>
      <c r="AO926" s="57"/>
    </row>
    <row r="927" spans="1:41" ht="14.25">
      <c r="A927" s="55" t="s">
        <v>429</v>
      </c>
      <c r="B927" s="69" t="s">
        <v>455</v>
      </c>
      <c r="C927" s="55">
        <v>3177199</v>
      </c>
      <c r="D927" s="55">
        <v>3455610</v>
      </c>
      <c r="E927" s="55">
        <v>3809968</v>
      </c>
      <c r="F927" s="55">
        <v>4284120</v>
      </c>
      <c r="G927" s="55">
        <v>4312167</v>
      </c>
      <c r="H927" s="55">
        <v>4291136</v>
      </c>
      <c r="I927" s="55">
        <v>4569730</v>
      </c>
      <c r="J927" s="55">
        <v>4998833</v>
      </c>
      <c r="K927" s="55">
        <v>5480434</v>
      </c>
      <c r="L927" s="55">
        <v>5811918</v>
      </c>
      <c r="M927" s="55">
        <v>6155402</v>
      </c>
      <c r="N927" s="55">
        <v>6299933</v>
      </c>
      <c r="O927" s="55">
        <v>5522942</v>
      </c>
      <c r="P927" s="55">
        <v>5954701</v>
      </c>
      <c r="Q927" s="55">
        <v>6284263</v>
      </c>
      <c r="R927" s="55">
        <v>6593275</v>
      </c>
      <c r="S927" s="64">
        <v>6865450</v>
      </c>
      <c r="T927" s="63"/>
      <c r="AD927" s="57"/>
      <c r="AE927" s="57"/>
      <c r="AF927" s="57"/>
      <c r="AG927" s="57"/>
      <c r="AH927" s="57"/>
      <c r="AI927" s="57"/>
      <c r="AJ927" s="57"/>
      <c r="AK927" s="57"/>
      <c r="AL927" s="57"/>
      <c r="AM927" s="57"/>
      <c r="AN927" s="57"/>
      <c r="AO927" s="57"/>
    </row>
    <row r="928" spans="1:41" ht="14.25">
      <c r="A928" s="55" t="s">
        <v>429</v>
      </c>
      <c r="B928" s="71" t="s">
        <v>456</v>
      </c>
      <c r="C928" s="55">
        <v>475455</v>
      </c>
      <c r="D928" s="55">
        <v>532120</v>
      </c>
      <c r="E928" s="55">
        <v>639040</v>
      </c>
      <c r="F928" s="55">
        <v>728778</v>
      </c>
      <c r="G928" s="55">
        <v>698228</v>
      </c>
      <c r="H928" s="55">
        <v>608715</v>
      </c>
      <c r="I928" s="55">
        <v>565175</v>
      </c>
      <c r="J928" s="55">
        <v>543808</v>
      </c>
      <c r="K928" s="55">
        <v>549580</v>
      </c>
      <c r="L928" s="55">
        <v>572846</v>
      </c>
      <c r="M928" s="55">
        <v>592391</v>
      </c>
      <c r="N928" s="55">
        <v>609827</v>
      </c>
      <c r="O928" s="55">
        <v>569962</v>
      </c>
      <c r="P928" s="55">
        <v>621566</v>
      </c>
      <c r="Q928" s="55">
        <v>679697</v>
      </c>
      <c r="R928" s="55">
        <v>719573</v>
      </c>
      <c r="S928" s="64">
        <v>755593</v>
      </c>
      <c r="AD928" s="57"/>
      <c r="AE928" s="57"/>
      <c r="AF928" s="57"/>
      <c r="AG928" s="57"/>
      <c r="AH928" s="57"/>
      <c r="AI928" s="57"/>
      <c r="AJ928" s="57"/>
      <c r="AK928" s="57"/>
      <c r="AL928" s="57"/>
      <c r="AM928" s="57"/>
      <c r="AN928" s="57"/>
      <c r="AO928" s="57"/>
    </row>
    <row r="930" spans="1:41">
      <c r="A930" s="60" t="s">
        <v>464</v>
      </c>
    </row>
    <row r="931" spans="1:41">
      <c r="A931" s="58" t="s">
        <v>431</v>
      </c>
      <c r="B931" s="65" t="s">
        <v>423</v>
      </c>
      <c r="C931" s="84">
        <v>85.814999999999998</v>
      </c>
      <c r="D931" s="84">
        <v>91.436999999999998</v>
      </c>
      <c r="E931" s="84">
        <v>96.951999999999998</v>
      </c>
      <c r="F931" s="84">
        <v>101.672</v>
      </c>
      <c r="G931" s="84">
        <v>101.011</v>
      </c>
      <c r="H931" s="84">
        <v>100.462</v>
      </c>
      <c r="I931" s="84">
        <v>102.15600000000001</v>
      </c>
      <c r="J931" s="84">
        <v>106.143</v>
      </c>
      <c r="K931" s="84">
        <v>111.227</v>
      </c>
      <c r="L931" s="84">
        <v>112.587</v>
      </c>
      <c r="M931" s="84">
        <v>114.974</v>
      </c>
      <c r="N931" s="84">
        <v>111.342</v>
      </c>
      <c r="O931" s="84">
        <v>100</v>
      </c>
      <c r="P931" s="84">
        <v>104.15600000000001</v>
      </c>
      <c r="Q931" s="84">
        <v>106.489</v>
      </c>
      <c r="R931" s="84">
        <v>110.248</v>
      </c>
      <c r="S931" s="80">
        <v>112.86199999999999</v>
      </c>
      <c r="AD931" s="57"/>
      <c r="AE931" s="57"/>
      <c r="AF931" s="57"/>
      <c r="AG931" s="57"/>
      <c r="AH931" s="57"/>
      <c r="AI931" s="57"/>
      <c r="AJ931" s="57"/>
      <c r="AK931" s="57"/>
      <c r="AL931" s="57"/>
      <c r="AM931" s="57"/>
      <c r="AN931" s="57"/>
      <c r="AO931" s="57"/>
    </row>
    <row r="932" spans="1:41">
      <c r="A932" s="58" t="s">
        <v>431</v>
      </c>
      <c r="B932" s="65" t="s">
        <v>326</v>
      </c>
      <c r="C932" s="84">
        <v>88.67</v>
      </c>
      <c r="D932" s="84">
        <v>94.63</v>
      </c>
      <c r="E932" s="84">
        <v>100.37</v>
      </c>
      <c r="F932" s="84">
        <v>105.492</v>
      </c>
      <c r="G932" s="84">
        <v>104.014</v>
      </c>
      <c r="H932" s="84">
        <v>102.764</v>
      </c>
      <c r="I932" s="84">
        <v>104.447</v>
      </c>
      <c r="J932" s="84">
        <v>108.657</v>
      </c>
      <c r="K932" s="84">
        <v>114.28400000000001</v>
      </c>
      <c r="L932" s="84">
        <v>115.49</v>
      </c>
      <c r="M932" s="84">
        <v>117.992</v>
      </c>
      <c r="N932" s="84">
        <v>113.693</v>
      </c>
      <c r="O932" s="84">
        <v>100</v>
      </c>
      <c r="P932" s="84">
        <v>104.77200000000001</v>
      </c>
      <c r="Q932" s="84">
        <v>108.017</v>
      </c>
      <c r="R932" s="84">
        <v>112.227</v>
      </c>
      <c r="S932" s="80">
        <v>115.402</v>
      </c>
      <c r="AD932" s="57"/>
      <c r="AE932" s="57"/>
      <c r="AF932" s="57"/>
      <c r="AG932" s="57"/>
      <c r="AH932" s="57"/>
      <c r="AI932" s="57"/>
      <c r="AJ932" s="57"/>
      <c r="AK932" s="57"/>
      <c r="AL932" s="57"/>
      <c r="AM932" s="57"/>
      <c r="AN932" s="57"/>
      <c r="AO932" s="57"/>
    </row>
    <row r="933" spans="1:41">
      <c r="A933" s="58" t="s">
        <v>431</v>
      </c>
      <c r="B933" s="65" t="s">
        <v>327</v>
      </c>
      <c r="C933" s="84">
        <v>109.542</v>
      </c>
      <c r="D933" s="84">
        <v>116.376</v>
      </c>
      <c r="E933" s="84">
        <v>119.527</v>
      </c>
      <c r="F933" s="84">
        <v>106.866</v>
      </c>
      <c r="G933" s="84">
        <v>109.41</v>
      </c>
      <c r="H933" s="84">
        <v>107.107</v>
      </c>
      <c r="I933" s="84">
        <v>105.315</v>
      </c>
      <c r="J933" s="84">
        <v>106.55200000000001</v>
      </c>
      <c r="K933" s="84">
        <v>104.512</v>
      </c>
      <c r="L933" s="84">
        <v>102.46599999999999</v>
      </c>
      <c r="M933" s="84">
        <v>110.215</v>
      </c>
      <c r="N933" s="84">
        <v>103.14400000000001</v>
      </c>
      <c r="O933" s="84">
        <v>100</v>
      </c>
      <c r="P933" s="84">
        <v>100.816</v>
      </c>
      <c r="Q933" s="84">
        <v>98.385000000000005</v>
      </c>
      <c r="R933" s="84">
        <v>101.88800000000001</v>
      </c>
      <c r="S933" s="80">
        <v>98.046000000000006</v>
      </c>
      <c r="T933" s="63"/>
      <c r="AD933" s="57"/>
      <c r="AE933" s="57"/>
      <c r="AF933" s="57"/>
      <c r="AG933" s="57"/>
      <c r="AH933" s="57"/>
      <c r="AI933" s="57"/>
      <c r="AJ933" s="57"/>
      <c r="AK933" s="57"/>
      <c r="AL933" s="57"/>
      <c r="AM933" s="57"/>
      <c r="AN933" s="57"/>
      <c r="AO933" s="57"/>
    </row>
    <row r="934" spans="1:41">
      <c r="A934" s="58" t="s">
        <v>431</v>
      </c>
      <c r="B934" s="65" t="s">
        <v>328</v>
      </c>
      <c r="C934" s="84">
        <v>105.824</v>
      </c>
      <c r="D934" s="84">
        <v>110.34</v>
      </c>
      <c r="E934" s="84">
        <v>111.501</v>
      </c>
      <c r="F934" s="84">
        <v>103.253</v>
      </c>
      <c r="G934" s="84">
        <v>105.565</v>
      </c>
      <c r="H934" s="84">
        <v>102.411</v>
      </c>
      <c r="I934" s="84">
        <v>100.46899999999999</v>
      </c>
      <c r="J934" s="84">
        <v>100.386</v>
      </c>
      <c r="K934" s="84">
        <v>98.230999999999995</v>
      </c>
      <c r="L934" s="84">
        <v>98.837999999999994</v>
      </c>
      <c r="M934" s="84">
        <v>109.52500000000001</v>
      </c>
      <c r="N934" s="84">
        <v>102.658</v>
      </c>
      <c r="O934" s="84">
        <v>100</v>
      </c>
      <c r="P934" s="84">
        <v>100.861</v>
      </c>
      <c r="Q934" s="84">
        <v>97.623000000000005</v>
      </c>
      <c r="R934" s="84">
        <v>101.28</v>
      </c>
      <c r="S934" s="80">
        <v>97.224999999999994</v>
      </c>
      <c r="T934" s="63"/>
      <c r="AD934" s="57"/>
      <c r="AE934" s="57"/>
      <c r="AF934" s="57"/>
      <c r="AG934" s="57"/>
      <c r="AH934" s="57"/>
      <c r="AI934" s="57"/>
      <c r="AJ934" s="57"/>
      <c r="AK934" s="57"/>
      <c r="AL934" s="57"/>
      <c r="AM934" s="57"/>
      <c r="AN934" s="57"/>
      <c r="AO934" s="57"/>
    </row>
    <row r="935" spans="1:41">
      <c r="A935" s="58" t="s">
        <v>431</v>
      </c>
      <c r="B935" s="65" t="s">
        <v>329</v>
      </c>
      <c r="C935" s="84">
        <v>160.077</v>
      </c>
      <c r="D935" s="84">
        <v>192.91300000000001</v>
      </c>
      <c r="E935" s="84">
        <v>217.77699999999999</v>
      </c>
      <c r="F935" s="84">
        <v>155.06700000000001</v>
      </c>
      <c r="G935" s="84">
        <v>160.47800000000001</v>
      </c>
      <c r="H935" s="84">
        <v>168.24</v>
      </c>
      <c r="I935" s="84">
        <v>168.17400000000001</v>
      </c>
      <c r="J935" s="84">
        <v>185.60499999999999</v>
      </c>
      <c r="K935" s="84">
        <v>184.93</v>
      </c>
      <c r="L935" s="84">
        <v>149.67699999999999</v>
      </c>
      <c r="M935" s="84">
        <v>119.946</v>
      </c>
      <c r="N935" s="84">
        <v>110.10899999999999</v>
      </c>
      <c r="O935" s="84">
        <v>100</v>
      </c>
      <c r="P935" s="84">
        <v>100.172</v>
      </c>
      <c r="Q935" s="84">
        <v>109.36799999999999</v>
      </c>
      <c r="R935" s="84">
        <v>110.52500000000001</v>
      </c>
      <c r="S935" s="80">
        <v>110.001</v>
      </c>
      <c r="AD935" s="57"/>
      <c r="AE935" s="57"/>
      <c r="AF935" s="57"/>
      <c r="AG935" s="57"/>
      <c r="AH935" s="57"/>
      <c r="AI935" s="57"/>
      <c r="AJ935" s="57"/>
      <c r="AK935" s="57"/>
      <c r="AL935" s="57"/>
      <c r="AM935" s="57"/>
      <c r="AN935" s="57"/>
      <c r="AO935" s="57"/>
    </row>
    <row r="936" spans="1:41">
      <c r="A936" s="58" t="s">
        <v>431</v>
      </c>
      <c r="B936" s="65" t="s">
        <v>330</v>
      </c>
      <c r="C936" s="84">
        <v>157.98400000000001</v>
      </c>
      <c r="D936" s="84">
        <v>145.511</v>
      </c>
      <c r="E936" s="84">
        <v>141.102</v>
      </c>
      <c r="F936" s="84">
        <v>179.10400000000001</v>
      </c>
      <c r="G936" s="84">
        <v>167.22200000000001</v>
      </c>
      <c r="H936" s="84">
        <v>140.80600000000001</v>
      </c>
      <c r="I936" s="84">
        <v>168.47</v>
      </c>
      <c r="J936" s="84">
        <v>177.149</v>
      </c>
      <c r="K936" s="84">
        <v>191.28100000000001</v>
      </c>
      <c r="L936" s="84">
        <v>183.131</v>
      </c>
      <c r="M936" s="84">
        <v>166.13499999999999</v>
      </c>
      <c r="N936" s="84">
        <v>174.92</v>
      </c>
      <c r="O936" s="84">
        <v>100</v>
      </c>
      <c r="P936" s="84">
        <v>133.16800000000001</v>
      </c>
      <c r="Q936" s="84">
        <v>148.12799999999999</v>
      </c>
      <c r="R936" s="84">
        <v>166.291</v>
      </c>
      <c r="S936" s="80">
        <v>179.55799999999999</v>
      </c>
      <c r="T936" s="63"/>
      <c r="AD936" s="57"/>
      <c r="AE936" s="57"/>
      <c r="AF936" s="57"/>
      <c r="AG936" s="57"/>
      <c r="AH936" s="57"/>
      <c r="AI936" s="57"/>
      <c r="AJ936" s="57"/>
      <c r="AK936" s="57"/>
      <c r="AL936" s="57"/>
      <c r="AM936" s="57"/>
      <c r="AN936" s="57"/>
      <c r="AO936" s="57"/>
    </row>
    <row r="937" spans="1:41">
      <c r="A937" s="58" t="s">
        <v>431</v>
      </c>
      <c r="B937" s="65" t="s">
        <v>331</v>
      </c>
      <c r="C937" s="84">
        <v>195.04400000000001</v>
      </c>
      <c r="D937" s="84">
        <v>175.101</v>
      </c>
      <c r="E937" s="84">
        <v>195.01300000000001</v>
      </c>
      <c r="F937" s="84">
        <v>282.72199999999998</v>
      </c>
      <c r="G937" s="84">
        <v>242.79300000000001</v>
      </c>
      <c r="H937" s="84">
        <v>183.952</v>
      </c>
      <c r="I937" s="84">
        <v>237.12200000000001</v>
      </c>
      <c r="J937" s="84">
        <v>244.602</v>
      </c>
      <c r="K937" s="84">
        <v>247.56100000000001</v>
      </c>
      <c r="L937" s="84">
        <v>211.81100000000001</v>
      </c>
      <c r="M937" s="84">
        <v>193.94200000000001</v>
      </c>
      <c r="N937" s="84">
        <v>212.596</v>
      </c>
      <c r="O937" s="84">
        <v>100</v>
      </c>
      <c r="P937" s="84">
        <v>180.11699999999999</v>
      </c>
      <c r="Q937" s="84">
        <v>191.63300000000001</v>
      </c>
      <c r="R937" s="84">
        <v>197.16499999999999</v>
      </c>
      <c r="S937" s="80">
        <v>229.22300000000001</v>
      </c>
      <c r="T937" s="63"/>
      <c r="AD937" s="57"/>
      <c r="AE937" s="57"/>
      <c r="AF937" s="57"/>
      <c r="AG937" s="57"/>
      <c r="AH937" s="57"/>
      <c r="AI937" s="57"/>
      <c r="AJ937" s="57"/>
      <c r="AK937" s="57"/>
      <c r="AL937" s="57"/>
      <c r="AM937" s="57"/>
      <c r="AN937" s="57"/>
      <c r="AO937" s="57"/>
    </row>
    <row r="938" spans="1:41">
      <c r="A938" s="58" t="s">
        <v>431</v>
      </c>
      <c r="B938" s="65" t="s">
        <v>332</v>
      </c>
      <c r="C938" s="84">
        <v>126.59</v>
      </c>
      <c r="D938" s="84">
        <v>113.05500000000001</v>
      </c>
      <c r="E938" s="84">
        <v>101.62</v>
      </c>
      <c r="F938" s="84">
        <v>107.015</v>
      </c>
      <c r="G938" s="84">
        <v>106.848</v>
      </c>
      <c r="H938" s="84">
        <v>106.051</v>
      </c>
      <c r="I938" s="84">
        <v>104.61199999999999</v>
      </c>
      <c r="J938" s="84">
        <v>115.337</v>
      </c>
      <c r="K938" s="84">
        <v>125.71599999999999</v>
      </c>
      <c r="L938" s="84">
        <v>135.661</v>
      </c>
      <c r="M938" s="84">
        <v>124.10899999999999</v>
      </c>
      <c r="N938" s="84">
        <v>130.995</v>
      </c>
      <c r="O938" s="84">
        <v>100</v>
      </c>
      <c r="P938" s="84">
        <v>91.558999999999997</v>
      </c>
      <c r="Q938" s="84">
        <v>105.729</v>
      </c>
      <c r="R938" s="84">
        <v>113.986</v>
      </c>
      <c r="S938" s="80">
        <v>107.911</v>
      </c>
      <c r="T938" s="63"/>
      <c r="AD938" s="57"/>
      <c r="AE938" s="57"/>
      <c r="AF938" s="57"/>
      <c r="AG938" s="57"/>
      <c r="AH938" s="57"/>
      <c r="AI938" s="57"/>
      <c r="AJ938" s="57"/>
      <c r="AK938" s="57"/>
      <c r="AL938" s="57"/>
      <c r="AM938" s="57"/>
      <c r="AN938" s="57"/>
      <c r="AO938" s="57"/>
    </row>
    <row r="939" spans="1:41">
      <c r="A939" s="58" t="s">
        <v>431</v>
      </c>
      <c r="B939" s="65" t="s">
        <v>333</v>
      </c>
      <c r="C939" s="84">
        <v>89.704999999999998</v>
      </c>
      <c r="D939" s="84">
        <v>103.846</v>
      </c>
      <c r="E939" s="84">
        <v>61.676000000000002</v>
      </c>
      <c r="F939" s="84">
        <v>38.878</v>
      </c>
      <c r="G939" s="84">
        <v>82.822999999999993</v>
      </c>
      <c r="H939" s="84">
        <v>85.16</v>
      </c>
      <c r="I939" s="84">
        <v>112.521</v>
      </c>
      <c r="J939" s="84">
        <v>119.295</v>
      </c>
      <c r="K939" s="84">
        <v>186.95099999999999</v>
      </c>
      <c r="L939" s="84">
        <v>230.09</v>
      </c>
      <c r="M939" s="84">
        <v>198.846</v>
      </c>
      <c r="N939" s="84">
        <v>174.91</v>
      </c>
      <c r="O939" s="84">
        <v>100</v>
      </c>
      <c r="P939" s="84">
        <v>107.29900000000001</v>
      </c>
      <c r="Q939" s="84">
        <v>137.13800000000001</v>
      </c>
      <c r="R939" s="84">
        <v>228.58500000000001</v>
      </c>
      <c r="S939" s="80">
        <v>243.03399999999999</v>
      </c>
      <c r="AD939" s="57"/>
      <c r="AE939" s="57"/>
      <c r="AF939" s="57"/>
      <c r="AG939" s="57"/>
      <c r="AH939" s="57"/>
      <c r="AI939" s="57"/>
      <c r="AJ939" s="57"/>
      <c r="AK939" s="57"/>
      <c r="AL939" s="57"/>
      <c r="AM939" s="57"/>
      <c r="AN939" s="57"/>
      <c r="AO939" s="57"/>
    </row>
    <row r="940" spans="1:41">
      <c r="A940" s="58" t="s">
        <v>431</v>
      </c>
      <c r="B940" s="65" t="s">
        <v>334</v>
      </c>
      <c r="C940" s="84">
        <v>90.108999999999995</v>
      </c>
      <c r="D940" s="84">
        <v>108.908</v>
      </c>
      <c r="E940" s="84">
        <v>136.63</v>
      </c>
      <c r="F940" s="84">
        <v>166.93299999999999</v>
      </c>
      <c r="G940" s="84">
        <v>225.55</v>
      </c>
      <c r="H940" s="84">
        <v>135.102</v>
      </c>
      <c r="I940" s="84">
        <v>123.643</v>
      </c>
      <c r="J940" s="84">
        <v>108.435</v>
      </c>
      <c r="K940" s="84">
        <v>133.44300000000001</v>
      </c>
      <c r="L940" s="84">
        <v>113.934</v>
      </c>
      <c r="M940" s="84">
        <v>124.449</v>
      </c>
      <c r="N940" s="84">
        <v>132.87</v>
      </c>
      <c r="O940" s="84">
        <v>100</v>
      </c>
      <c r="P940" s="84">
        <v>101.10899999999999</v>
      </c>
      <c r="Q940" s="84">
        <v>80.463999999999999</v>
      </c>
      <c r="R940" s="84">
        <v>68.56</v>
      </c>
      <c r="S940" s="80">
        <v>69.775999999999996</v>
      </c>
      <c r="AD940" s="57"/>
      <c r="AE940" s="57"/>
      <c r="AF940" s="57"/>
      <c r="AG940" s="57"/>
      <c r="AH940" s="57"/>
      <c r="AI940" s="57"/>
      <c r="AJ940" s="57"/>
      <c r="AK940" s="57"/>
      <c r="AL940" s="57"/>
      <c r="AM940" s="57"/>
      <c r="AN940" s="57"/>
      <c r="AO940" s="57"/>
    </row>
    <row r="941" spans="1:41">
      <c r="A941" s="58" t="s">
        <v>431</v>
      </c>
      <c r="B941" s="65" t="s">
        <v>335</v>
      </c>
      <c r="C941" s="84">
        <v>96.644000000000005</v>
      </c>
      <c r="D941" s="84">
        <v>103.49299999999999</v>
      </c>
      <c r="E941" s="84">
        <v>108.5</v>
      </c>
      <c r="F941" s="84">
        <v>113.929</v>
      </c>
      <c r="G941" s="84">
        <v>117.979</v>
      </c>
      <c r="H941" s="84">
        <v>118.604</v>
      </c>
      <c r="I941" s="84">
        <v>124.265</v>
      </c>
      <c r="J941" s="84">
        <v>129.91499999999999</v>
      </c>
      <c r="K941" s="84">
        <v>136.31800000000001</v>
      </c>
      <c r="L941" s="84">
        <v>133.30600000000001</v>
      </c>
      <c r="M941" s="84">
        <v>123.53</v>
      </c>
      <c r="N941" s="84">
        <v>115.887</v>
      </c>
      <c r="O941" s="84">
        <v>100</v>
      </c>
      <c r="P941" s="84">
        <v>89.022999999999996</v>
      </c>
      <c r="Q941" s="84">
        <v>83.950999999999993</v>
      </c>
      <c r="R941" s="84">
        <v>86.215999999999994</v>
      </c>
      <c r="S941" s="80">
        <v>90.167000000000002</v>
      </c>
      <c r="AD941" s="57"/>
      <c r="AE941" s="57"/>
      <c r="AF941" s="57"/>
      <c r="AG941" s="57"/>
      <c r="AH941" s="57"/>
      <c r="AI941" s="57"/>
      <c r="AJ941" s="57"/>
      <c r="AK941" s="57"/>
      <c r="AL941" s="57"/>
      <c r="AM941" s="57"/>
      <c r="AN941" s="57"/>
      <c r="AO941" s="57"/>
    </row>
    <row r="942" spans="1:41">
      <c r="A942" s="58" t="s">
        <v>431</v>
      </c>
      <c r="B942" s="65" t="s">
        <v>336</v>
      </c>
      <c r="C942" s="84">
        <v>118.63</v>
      </c>
      <c r="D942" s="84">
        <v>124.29300000000001</v>
      </c>
      <c r="E942" s="84">
        <v>128.286</v>
      </c>
      <c r="F942" s="84">
        <v>128.114</v>
      </c>
      <c r="G942" s="84">
        <v>122.63200000000001</v>
      </c>
      <c r="H942" s="84">
        <v>120.926</v>
      </c>
      <c r="I942" s="84">
        <v>117.30500000000001</v>
      </c>
      <c r="J942" s="84">
        <v>118.105</v>
      </c>
      <c r="K942" s="84">
        <v>123.854</v>
      </c>
      <c r="L942" s="84">
        <v>123.298</v>
      </c>
      <c r="M942" s="84">
        <v>126.074</v>
      </c>
      <c r="N942" s="84">
        <v>117.581</v>
      </c>
      <c r="O942" s="84">
        <v>100</v>
      </c>
      <c r="P942" s="84">
        <v>105.712</v>
      </c>
      <c r="Q942" s="84">
        <v>110.9</v>
      </c>
      <c r="R942" s="84">
        <v>115.04900000000001</v>
      </c>
      <c r="S942" s="80">
        <v>118.26</v>
      </c>
      <c r="AD942" s="57"/>
      <c r="AE942" s="57"/>
      <c r="AF942" s="57"/>
      <c r="AG942" s="57"/>
      <c r="AH942" s="57"/>
      <c r="AI942" s="57"/>
      <c r="AJ942" s="57"/>
      <c r="AK942" s="57"/>
      <c r="AL942" s="57"/>
      <c r="AM942" s="57"/>
      <c r="AN942" s="57"/>
      <c r="AO942" s="57"/>
    </row>
    <row r="943" spans="1:41">
      <c r="A943" s="58" t="s">
        <v>431</v>
      </c>
      <c r="B943" s="65" t="s">
        <v>337</v>
      </c>
      <c r="C943" s="84">
        <v>126.54900000000001</v>
      </c>
      <c r="D943" s="84">
        <v>135.96799999999999</v>
      </c>
      <c r="E943" s="84">
        <v>144.07400000000001</v>
      </c>
      <c r="F943" s="84">
        <v>143.41399999999999</v>
      </c>
      <c r="G943" s="84">
        <v>136.66399999999999</v>
      </c>
      <c r="H943" s="84">
        <v>131.08099999999999</v>
      </c>
      <c r="I943" s="84">
        <v>127.565</v>
      </c>
      <c r="J943" s="84">
        <v>129.38399999999999</v>
      </c>
      <c r="K943" s="84">
        <v>134.625</v>
      </c>
      <c r="L943" s="84">
        <v>135.29900000000001</v>
      </c>
      <c r="M943" s="84">
        <v>138.863</v>
      </c>
      <c r="N943" s="84">
        <v>128.029</v>
      </c>
      <c r="O943" s="84">
        <v>100</v>
      </c>
      <c r="P943" s="84">
        <v>108.53400000000001</v>
      </c>
      <c r="Q943" s="84">
        <v>116.44799999999999</v>
      </c>
      <c r="R943" s="84">
        <v>126.259</v>
      </c>
      <c r="S943" s="80">
        <v>132.87100000000001</v>
      </c>
      <c r="T943" s="63"/>
      <c r="AD943" s="57"/>
      <c r="AE943" s="57"/>
      <c r="AF943" s="57"/>
      <c r="AG943" s="57"/>
      <c r="AH943" s="57"/>
      <c r="AI943" s="57"/>
      <c r="AJ943" s="57"/>
      <c r="AK943" s="57"/>
      <c r="AL943" s="57"/>
      <c r="AM943" s="57"/>
      <c r="AN943" s="57"/>
      <c r="AO943" s="57"/>
    </row>
    <row r="944" spans="1:41">
      <c r="A944" s="58" t="s">
        <v>431</v>
      </c>
      <c r="B944" s="65" t="s">
        <v>338</v>
      </c>
      <c r="C944" s="84">
        <v>146.58099999999999</v>
      </c>
      <c r="D944" s="84">
        <v>157.97300000000001</v>
      </c>
      <c r="E944" s="84">
        <v>166.36600000000001</v>
      </c>
      <c r="F944" s="84">
        <v>161.08799999999999</v>
      </c>
      <c r="G944" s="84">
        <v>150.15899999999999</v>
      </c>
      <c r="H944" s="84">
        <v>156.61500000000001</v>
      </c>
      <c r="I944" s="84">
        <v>155.209</v>
      </c>
      <c r="J944" s="84">
        <v>163.30000000000001</v>
      </c>
      <c r="K944" s="84">
        <v>174.99600000000001</v>
      </c>
      <c r="L944" s="84">
        <v>179.726</v>
      </c>
      <c r="M944" s="84">
        <v>157.77799999999999</v>
      </c>
      <c r="N944" s="84">
        <v>133.24100000000001</v>
      </c>
      <c r="O944" s="84">
        <v>100</v>
      </c>
      <c r="P944" s="84">
        <v>102.843</v>
      </c>
      <c r="Q944" s="84">
        <v>100.029</v>
      </c>
      <c r="R944" s="84">
        <v>106.428</v>
      </c>
      <c r="S944" s="80">
        <v>120.42700000000001</v>
      </c>
      <c r="T944" s="63"/>
      <c r="AD944" s="57"/>
      <c r="AE944" s="57"/>
      <c r="AF944" s="57"/>
      <c r="AG944" s="57"/>
      <c r="AH944" s="57"/>
      <c r="AI944" s="57"/>
      <c r="AJ944" s="57"/>
      <c r="AK944" s="57"/>
      <c r="AL944" s="57"/>
      <c r="AM944" s="57"/>
      <c r="AN944" s="57"/>
      <c r="AO944" s="57"/>
    </row>
    <row r="945" spans="1:41">
      <c r="A945" s="58" t="s">
        <v>431</v>
      </c>
      <c r="B945" s="65" t="s">
        <v>339</v>
      </c>
      <c r="C945" s="84">
        <v>123.523</v>
      </c>
      <c r="D945" s="84">
        <v>137.13300000000001</v>
      </c>
      <c r="E945" s="84">
        <v>139.309</v>
      </c>
      <c r="F945" s="84">
        <v>140.398</v>
      </c>
      <c r="G945" s="84">
        <v>135.024</v>
      </c>
      <c r="H945" s="84">
        <v>136.56100000000001</v>
      </c>
      <c r="I945" s="84">
        <v>135.559</v>
      </c>
      <c r="J945" s="84">
        <v>134.97300000000001</v>
      </c>
      <c r="K945" s="84">
        <v>141.79599999999999</v>
      </c>
      <c r="L945" s="84">
        <v>157.02199999999999</v>
      </c>
      <c r="M945" s="84">
        <v>155.798</v>
      </c>
      <c r="N945" s="84">
        <v>133.05500000000001</v>
      </c>
      <c r="O945" s="84">
        <v>100</v>
      </c>
      <c r="P945" s="84">
        <v>104.443</v>
      </c>
      <c r="Q945" s="84">
        <v>103.267</v>
      </c>
      <c r="R945" s="84">
        <v>104.05200000000001</v>
      </c>
      <c r="S945" s="80">
        <v>108.633</v>
      </c>
      <c r="T945" s="63"/>
      <c r="AD945" s="57"/>
      <c r="AE945" s="57"/>
      <c r="AF945" s="57"/>
      <c r="AG945" s="57"/>
      <c r="AH945" s="57"/>
      <c r="AI945" s="57"/>
      <c r="AJ945" s="57"/>
      <c r="AK945" s="57"/>
      <c r="AL945" s="57"/>
      <c r="AM945" s="57"/>
      <c r="AN945" s="57"/>
      <c r="AO945" s="57"/>
    </row>
    <row r="946" spans="1:41">
      <c r="A946" s="58" t="s">
        <v>431</v>
      </c>
      <c r="B946" s="65" t="s">
        <v>340</v>
      </c>
      <c r="C946" s="84">
        <v>146.92099999999999</v>
      </c>
      <c r="D946" s="84">
        <v>150.16800000000001</v>
      </c>
      <c r="E946" s="84">
        <v>144.85499999999999</v>
      </c>
      <c r="F946" s="84">
        <v>135.38300000000001</v>
      </c>
      <c r="G946" s="84">
        <v>122.48699999999999</v>
      </c>
      <c r="H946" s="84">
        <v>124.68300000000001</v>
      </c>
      <c r="I946" s="84">
        <v>120.274</v>
      </c>
      <c r="J946" s="84">
        <v>132.477</v>
      </c>
      <c r="K946" s="84">
        <v>137.696</v>
      </c>
      <c r="L946" s="84">
        <v>139.78100000000001</v>
      </c>
      <c r="M946" s="84">
        <v>147.297</v>
      </c>
      <c r="N946" s="84">
        <v>148.24799999999999</v>
      </c>
      <c r="O946" s="84">
        <v>100</v>
      </c>
      <c r="P946" s="84">
        <v>131.38999999999999</v>
      </c>
      <c r="Q946" s="84">
        <v>141.6</v>
      </c>
      <c r="R946" s="84">
        <v>153.48400000000001</v>
      </c>
      <c r="S946" s="80">
        <v>159.47900000000001</v>
      </c>
      <c r="T946" s="63"/>
      <c r="AD946" s="57"/>
      <c r="AE946" s="57"/>
      <c r="AF946" s="57"/>
      <c r="AG946" s="57"/>
      <c r="AH946" s="57"/>
      <c r="AI946" s="57"/>
      <c r="AJ946" s="57"/>
      <c r="AK946" s="57"/>
      <c r="AL946" s="57"/>
      <c r="AM946" s="57"/>
      <c r="AN946" s="57"/>
      <c r="AO946" s="57"/>
    </row>
    <row r="947" spans="1:41">
      <c r="A947" s="58" t="s">
        <v>431</v>
      </c>
      <c r="B947" s="65" t="s">
        <v>341</v>
      </c>
      <c r="C947" s="84">
        <v>108.85599999999999</v>
      </c>
      <c r="D947" s="84">
        <v>118.002</v>
      </c>
      <c r="E947" s="84">
        <v>118.93899999999999</v>
      </c>
      <c r="F947" s="84">
        <v>120.425</v>
      </c>
      <c r="G947" s="84">
        <v>117.051</v>
      </c>
      <c r="H947" s="84">
        <v>116.43300000000001</v>
      </c>
      <c r="I947" s="84">
        <v>109.65600000000001</v>
      </c>
      <c r="J947" s="84">
        <v>105.79600000000001</v>
      </c>
      <c r="K947" s="84">
        <v>113.122</v>
      </c>
      <c r="L947" s="84">
        <v>120.94199999999999</v>
      </c>
      <c r="M947" s="84">
        <v>126.05</v>
      </c>
      <c r="N947" s="84">
        <v>124.986</v>
      </c>
      <c r="O947" s="84">
        <v>100</v>
      </c>
      <c r="P947" s="84">
        <v>101.224</v>
      </c>
      <c r="Q947" s="84">
        <v>109.69</v>
      </c>
      <c r="R947" s="84">
        <v>114.20699999999999</v>
      </c>
      <c r="S947" s="80">
        <v>115.446</v>
      </c>
      <c r="T947" s="63"/>
      <c r="AD947" s="57"/>
      <c r="AE947" s="57"/>
      <c r="AF947" s="57"/>
      <c r="AG947" s="57"/>
      <c r="AH947" s="57"/>
      <c r="AI947" s="57"/>
      <c r="AJ947" s="57"/>
      <c r="AK947" s="57"/>
      <c r="AL947" s="57"/>
      <c r="AM947" s="57"/>
      <c r="AN947" s="57"/>
      <c r="AO947" s="57"/>
    </row>
    <row r="948" spans="1:41">
      <c r="A948" s="58" t="s">
        <v>431</v>
      </c>
      <c r="B948" s="65" t="s">
        <v>342</v>
      </c>
      <c r="C948" s="84">
        <v>125.803</v>
      </c>
      <c r="D948" s="84">
        <v>124.749</v>
      </c>
      <c r="E948" s="84">
        <v>125.498</v>
      </c>
      <c r="F948" s="84">
        <v>134.791</v>
      </c>
      <c r="G948" s="84">
        <v>118.753</v>
      </c>
      <c r="H948" s="84">
        <v>113.821</v>
      </c>
      <c r="I948" s="84">
        <v>116.12</v>
      </c>
      <c r="J948" s="84">
        <v>115.36</v>
      </c>
      <c r="K948" s="84">
        <v>124.64700000000001</v>
      </c>
      <c r="L948" s="84">
        <v>129.19999999999999</v>
      </c>
      <c r="M948" s="84">
        <v>131.809</v>
      </c>
      <c r="N948" s="84">
        <v>127.398</v>
      </c>
      <c r="O948" s="84">
        <v>100</v>
      </c>
      <c r="P948" s="84">
        <v>110.93600000000001</v>
      </c>
      <c r="Q948" s="84">
        <v>125.038</v>
      </c>
      <c r="R948" s="84">
        <v>140.58699999999999</v>
      </c>
      <c r="S948" s="80">
        <v>146.25800000000001</v>
      </c>
      <c r="T948" s="63"/>
      <c r="AD948" s="57"/>
      <c r="AE948" s="57"/>
      <c r="AF948" s="57"/>
      <c r="AG948" s="57"/>
      <c r="AH948" s="57"/>
      <c r="AI948" s="57"/>
      <c r="AJ948" s="57"/>
      <c r="AK948" s="57"/>
      <c r="AL948" s="57"/>
      <c r="AM948" s="57"/>
      <c r="AN948" s="57"/>
      <c r="AO948" s="57"/>
    </row>
    <row r="949" spans="1:41">
      <c r="A949" s="58" t="s">
        <v>431</v>
      </c>
      <c r="B949" s="65" t="s">
        <v>343</v>
      </c>
      <c r="C949" s="84">
        <v>173.29400000000001</v>
      </c>
      <c r="D949" s="84">
        <v>187.57599999999999</v>
      </c>
      <c r="E949" s="84">
        <v>220.61500000000001</v>
      </c>
      <c r="F949" s="84">
        <v>237.27600000000001</v>
      </c>
      <c r="G949" s="84">
        <v>223.703</v>
      </c>
      <c r="H949" s="84">
        <v>171.76300000000001</v>
      </c>
      <c r="I949" s="84">
        <v>156.15700000000001</v>
      </c>
      <c r="J949" s="84">
        <v>158.745</v>
      </c>
      <c r="K949" s="84">
        <v>155.011</v>
      </c>
      <c r="L949" s="84">
        <v>153.13300000000001</v>
      </c>
      <c r="M949" s="84">
        <v>163.453</v>
      </c>
      <c r="N949" s="84">
        <v>146.33699999999999</v>
      </c>
      <c r="O949" s="84">
        <v>100</v>
      </c>
      <c r="P949" s="84">
        <v>95.23</v>
      </c>
      <c r="Q949" s="84">
        <v>99.45</v>
      </c>
      <c r="R949" s="84">
        <v>90.462999999999994</v>
      </c>
      <c r="S949" s="80">
        <v>86.525999999999996</v>
      </c>
      <c r="T949" s="63"/>
      <c r="AD949" s="57"/>
      <c r="AE949" s="57"/>
      <c r="AF949" s="57"/>
      <c r="AG949" s="57"/>
      <c r="AH949" s="57"/>
      <c r="AI949" s="57"/>
      <c r="AJ949" s="57"/>
      <c r="AK949" s="57"/>
      <c r="AL949" s="57"/>
      <c r="AM949" s="57"/>
      <c r="AN949" s="57"/>
      <c r="AO949" s="57"/>
    </row>
    <row r="950" spans="1:41">
      <c r="A950" s="58" t="s">
        <v>431</v>
      </c>
      <c r="B950" s="65" t="s">
        <v>344</v>
      </c>
      <c r="C950" s="84">
        <v>162.809</v>
      </c>
      <c r="D950" s="84">
        <v>193.815</v>
      </c>
      <c r="E950" s="84">
        <v>188.572</v>
      </c>
      <c r="F950" s="84">
        <v>197.66499999999999</v>
      </c>
      <c r="G950" s="84">
        <v>171.96600000000001</v>
      </c>
      <c r="H950" s="84">
        <v>149.66</v>
      </c>
      <c r="I950" s="84">
        <v>135.625</v>
      </c>
      <c r="J950" s="84">
        <v>144.83799999999999</v>
      </c>
      <c r="K950" s="84">
        <v>147.816</v>
      </c>
      <c r="L950" s="84">
        <v>132.42599999999999</v>
      </c>
      <c r="M950" s="84">
        <v>146.715</v>
      </c>
      <c r="N950" s="84">
        <v>129.67099999999999</v>
      </c>
      <c r="O950" s="84">
        <v>100</v>
      </c>
      <c r="P950" s="84">
        <v>105.49</v>
      </c>
      <c r="Q950" s="84">
        <v>117.93899999999999</v>
      </c>
      <c r="R950" s="84">
        <v>119.41200000000001</v>
      </c>
      <c r="S950" s="80">
        <v>120.066</v>
      </c>
      <c r="T950" s="63"/>
      <c r="AD950" s="57"/>
      <c r="AE950" s="57"/>
      <c r="AF950" s="57"/>
      <c r="AG950" s="57"/>
      <c r="AH950" s="57"/>
      <c r="AI950" s="57"/>
      <c r="AJ950" s="57"/>
      <c r="AK950" s="57"/>
      <c r="AL950" s="57"/>
      <c r="AM950" s="57"/>
      <c r="AN950" s="57"/>
      <c r="AO950" s="57"/>
    </row>
    <row r="951" spans="1:41">
      <c r="A951" s="58" t="s">
        <v>431</v>
      </c>
      <c r="B951" s="65" t="s">
        <v>345</v>
      </c>
      <c r="C951" s="84">
        <v>135.05099999999999</v>
      </c>
      <c r="D951" s="84">
        <v>139.34</v>
      </c>
      <c r="E951" s="84">
        <v>159.61099999999999</v>
      </c>
      <c r="F951" s="84">
        <v>148.501</v>
      </c>
      <c r="G951" s="84">
        <v>143.577</v>
      </c>
      <c r="H951" s="84">
        <v>148.929</v>
      </c>
      <c r="I951" s="84">
        <v>149.18700000000001</v>
      </c>
      <c r="J951" s="84">
        <v>153.77699999999999</v>
      </c>
      <c r="K951" s="84">
        <v>155.964</v>
      </c>
      <c r="L951" s="84">
        <v>151.61600000000001</v>
      </c>
      <c r="M951" s="84">
        <v>147.36000000000001</v>
      </c>
      <c r="N951" s="84">
        <v>119.44799999999999</v>
      </c>
      <c r="O951" s="84">
        <v>100</v>
      </c>
      <c r="P951" s="84">
        <v>118.71299999999999</v>
      </c>
      <c r="Q951" s="84">
        <v>131.172</v>
      </c>
      <c r="R951" s="84">
        <v>142.33799999999999</v>
      </c>
      <c r="S951" s="80">
        <v>158.34700000000001</v>
      </c>
      <c r="T951" s="63"/>
      <c r="AD951" s="57"/>
      <c r="AE951" s="57"/>
      <c r="AF951" s="57"/>
      <c r="AG951" s="57"/>
      <c r="AH951" s="57"/>
      <c r="AI951" s="57"/>
      <c r="AJ951" s="57"/>
      <c r="AK951" s="57"/>
      <c r="AL951" s="57"/>
      <c r="AM951" s="57"/>
      <c r="AN951" s="57"/>
      <c r="AO951" s="57"/>
    </row>
    <row r="952" spans="1:41">
      <c r="A952" s="58" t="s">
        <v>431</v>
      </c>
      <c r="B952" s="65" t="s">
        <v>346</v>
      </c>
      <c r="C952" s="84">
        <v>80.055000000000007</v>
      </c>
      <c r="D952" s="84">
        <v>102.783</v>
      </c>
      <c r="E952" s="84">
        <v>94.290999999999997</v>
      </c>
      <c r="F952" s="84">
        <v>80.174999999999997</v>
      </c>
      <c r="G952" s="84">
        <v>91.540999999999997</v>
      </c>
      <c r="H952" s="84">
        <v>88.206999999999994</v>
      </c>
      <c r="I952" s="84">
        <v>84.613</v>
      </c>
      <c r="J952" s="84">
        <v>82.278999999999996</v>
      </c>
      <c r="K952" s="84">
        <v>89.596000000000004</v>
      </c>
      <c r="L952" s="84">
        <v>89.763999999999996</v>
      </c>
      <c r="M952" s="84">
        <v>109.85899999999999</v>
      </c>
      <c r="N952" s="84">
        <v>113.444</v>
      </c>
      <c r="O952" s="84">
        <v>100</v>
      </c>
      <c r="P952" s="84">
        <v>96.39</v>
      </c>
      <c r="Q952" s="84">
        <v>97.057000000000002</v>
      </c>
      <c r="R952" s="84">
        <v>126.497</v>
      </c>
      <c r="S952" s="80">
        <v>136.43</v>
      </c>
      <c r="T952" s="63"/>
      <c r="AD952" s="57"/>
      <c r="AE952" s="57"/>
      <c r="AF952" s="57"/>
      <c r="AG952" s="57"/>
      <c r="AH952" s="57"/>
      <c r="AI952" s="57"/>
      <c r="AJ952" s="57"/>
      <c r="AK952" s="57"/>
      <c r="AL952" s="57"/>
      <c r="AM952" s="57"/>
      <c r="AN952" s="57"/>
      <c r="AO952" s="57"/>
    </row>
    <row r="953" spans="1:41">
      <c r="A953" s="58" t="s">
        <v>431</v>
      </c>
      <c r="B953" s="65" t="s">
        <v>347</v>
      </c>
      <c r="C953" s="84">
        <v>120.812</v>
      </c>
      <c r="D953" s="84">
        <v>135.36000000000001</v>
      </c>
      <c r="E953" s="84">
        <v>137.47</v>
      </c>
      <c r="F953" s="84">
        <v>137.37</v>
      </c>
      <c r="G953" s="84">
        <v>134.29300000000001</v>
      </c>
      <c r="H953" s="84">
        <v>148.07599999999999</v>
      </c>
      <c r="I953" s="84">
        <v>144.72200000000001</v>
      </c>
      <c r="J953" s="84">
        <v>144.09700000000001</v>
      </c>
      <c r="K953" s="84">
        <v>148.73599999999999</v>
      </c>
      <c r="L953" s="84">
        <v>143.33600000000001</v>
      </c>
      <c r="M953" s="84">
        <v>140.84</v>
      </c>
      <c r="N953" s="84">
        <v>130.44999999999999</v>
      </c>
      <c r="O953" s="84">
        <v>100</v>
      </c>
      <c r="P953" s="84">
        <v>93.450999999999993</v>
      </c>
      <c r="Q953" s="84">
        <v>96.802000000000007</v>
      </c>
      <c r="R953" s="84">
        <v>100.898</v>
      </c>
      <c r="S953" s="80">
        <v>102.792</v>
      </c>
      <c r="T953" s="63"/>
      <c r="AD953" s="57"/>
      <c r="AE953" s="57"/>
      <c r="AF953" s="57"/>
      <c r="AG953" s="57"/>
      <c r="AH953" s="57"/>
      <c r="AI953" s="57"/>
      <c r="AJ953" s="57"/>
      <c r="AK953" s="57"/>
      <c r="AL953" s="57"/>
      <c r="AM953" s="57"/>
      <c r="AN953" s="57"/>
      <c r="AO953" s="57"/>
    </row>
    <row r="954" spans="1:41">
      <c r="A954" s="58" t="s">
        <v>431</v>
      </c>
      <c r="B954" s="65" t="s">
        <v>348</v>
      </c>
      <c r="C954" s="84">
        <v>88.628</v>
      </c>
      <c r="D954" s="84">
        <v>94.671999999999997</v>
      </c>
      <c r="E954" s="84">
        <v>95.028999999999996</v>
      </c>
      <c r="F954" s="84">
        <v>104.292</v>
      </c>
      <c r="G954" s="84">
        <v>103.84</v>
      </c>
      <c r="H954" s="84">
        <v>113.014</v>
      </c>
      <c r="I954" s="84">
        <v>117.86499999999999</v>
      </c>
      <c r="J954" s="84">
        <v>111.619</v>
      </c>
      <c r="K954" s="84">
        <v>124.837</v>
      </c>
      <c r="L954" s="84">
        <v>124.517</v>
      </c>
      <c r="M954" s="84">
        <v>120.304</v>
      </c>
      <c r="N954" s="84">
        <v>118.169</v>
      </c>
      <c r="O954" s="84">
        <v>100</v>
      </c>
      <c r="P954" s="84">
        <v>101.733</v>
      </c>
      <c r="Q954" s="84">
        <v>104.295</v>
      </c>
      <c r="R954" s="84">
        <v>115.899</v>
      </c>
      <c r="S954" s="80">
        <v>117.712</v>
      </c>
      <c r="AD954" s="57"/>
      <c r="AE954" s="57"/>
      <c r="AF954" s="57"/>
      <c r="AG954" s="57"/>
      <c r="AH954" s="57"/>
      <c r="AI954" s="57"/>
      <c r="AJ954" s="57"/>
      <c r="AK954" s="57"/>
      <c r="AL954" s="57"/>
      <c r="AM954" s="57"/>
      <c r="AN954" s="57"/>
      <c r="AO954" s="57"/>
    </row>
    <row r="955" spans="1:41">
      <c r="A955" s="58" t="s">
        <v>431</v>
      </c>
      <c r="B955" s="65" t="s">
        <v>349</v>
      </c>
      <c r="C955" s="84">
        <v>113.92100000000001</v>
      </c>
      <c r="D955" s="84">
        <v>115.699</v>
      </c>
      <c r="E955" s="84">
        <v>115.377</v>
      </c>
      <c r="F955" s="84">
        <v>115.69199999999999</v>
      </c>
      <c r="G955" s="84">
        <v>111.33799999999999</v>
      </c>
      <c r="H955" s="84">
        <v>113.36499999999999</v>
      </c>
      <c r="I955" s="84">
        <v>109.584</v>
      </c>
      <c r="J955" s="84">
        <v>109.473</v>
      </c>
      <c r="K955" s="84">
        <v>115.715</v>
      </c>
      <c r="L955" s="84">
        <v>114.13</v>
      </c>
      <c r="M955" s="84">
        <v>116.28100000000001</v>
      </c>
      <c r="N955" s="84">
        <v>109.569</v>
      </c>
      <c r="O955" s="84">
        <v>100</v>
      </c>
      <c r="P955" s="84">
        <v>103.47199999999999</v>
      </c>
      <c r="Q955" s="84">
        <v>106.66500000000001</v>
      </c>
      <c r="R955" s="84">
        <v>106.84099999999999</v>
      </c>
      <c r="S955" s="80">
        <v>107.666</v>
      </c>
      <c r="AD955" s="57"/>
      <c r="AE955" s="57"/>
      <c r="AF955" s="57"/>
      <c r="AG955" s="57"/>
      <c r="AH955" s="57"/>
      <c r="AI955" s="57"/>
      <c r="AJ955" s="57"/>
      <c r="AK955" s="57"/>
      <c r="AL955" s="57"/>
      <c r="AM955" s="57"/>
      <c r="AN955" s="57"/>
      <c r="AO955" s="57"/>
    </row>
    <row r="956" spans="1:41">
      <c r="A956" s="58" t="s">
        <v>431</v>
      </c>
      <c r="B956" s="65" t="s">
        <v>350</v>
      </c>
      <c r="C956" s="84">
        <v>94.972999999999999</v>
      </c>
      <c r="D956" s="84">
        <v>98.968000000000004</v>
      </c>
      <c r="E956" s="84">
        <v>96.503</v>
      </c>
      <c r="F956" s="84">
        <v>98.441999999999993</v>
      </c>
      <c r="G956" s="84">
        <v>97.638999999999996</v>
      </c>
      <c r="H956" s="84">
        <v>97.600999999999999</v>
      </c>
      <c r="I956" s="84">
        <v>98.744</v>
      </c>
      <c r="J956" s="84">
        <v>97.646000000000001</v>
      </c>
      <c r="K956" s="84">
        <v>103.31100000000001</v>
      </c>
      <c r="L956" s="84">
        <v>99.804000000000002</v>
      </c>
      <c r="M956" s="84">
        <v>100.063</v>
      </c>
      <c r="N956" s="84">
        <v>100.68</v>
      </c>
      <c r="O956" s="84">
        <v>100</v>
      </c>
      <c r="P956" s="84">
        <v>101.44799999999999</v>
      </c>
      <c r="Q956" s="84">
        <v>101.554</v>
      </c>
      <c r="R956" s="84">
        <v>100.69499999999999</v>
      </c>
      <c r="S956" s="80">
        <v>102</v>
      </c>
      <c r="T956" s="63"/>
      <c r="AD956" s="57"/>
      <c r="AE956" s="57"/>
      <c r="AF956" s="57"/>
      <c r="AG956" s="57"/>
      <c r="AH956" s="57"/>
      <c r="AI956" s="57"/>
      <c r="AJ956" s="57"/>
      <c r="AK956" s="57"/>
      <c r="AL956" s="57"/>
      <c r="AM956" s="57"/>
      <c r="AN956" s="57"/>
      <c r="AO956" s="57"/>
    </row>
    <row r="957" spans="1:41">
      <c r="A957" s="58" t="s">
        <v>431</v>
      </c>
      <c r="B957" s="65" t="s">
        <v>351</v>
      </c>
      <c r="C957" s="84">
        <v>224.64099999999999</v>
      </c>
      <c r="D957" s="84">
        <v>221.887</v>
      </c>
      <c r="E957" s="84">
        <v>223.98099999999999</v>
      </c>
      <c r="F957" s="84">
        <v>216.077</v>
      </c>
      <c r="G957" s="84">
        <v>198.726</v>
      </c>
      <c r="H957" s="84">
        <v>200.94399999999999</v>
      </c>
      <c r="I957" s="84">
        <v>202.99100000000001</v>
      </c>
      <c r="J957" s="84">
        <v>185.137</v>
      </c>
      <c r="K957" s="84">
        <v>196.41800000000001</v>
      </c>
      <c r="L957" s="84">
        <v>173.29400000000001</v>
      </c>
      <c r="M957" s="84">
        <v>146.13999999999999</v>
      </c>
      <c r="N957" s="84">
        <v>125.047</v>
      </c>
      <c r="O957" s="84">
        <v>100</v>
      </c>
      <c r="P957" s="84">
        <v>106.982</v>
      </c>
      <c r="Q957" s="84">
        <v>108.881</v>
      </c>
      <c r="R957" s="84">
        <v>109.514</v>
      </c>
      <c r="S957" s="80">
        <v>110.82599999999999</v>
      </c>
      <c r="T957" s="63"/>
      <c r="AD957" s="57"/>
      <c r="AE957" s="57"/>
      <c r="AF957" s="57"/>
      <c r="AG957" s="57"/>
      <c r="AH957" s="57"/>
      <c r="AI957" s="57"/>
      <c r="AJ957" s="57"/>
      <c r="AK957" s="57"/>
      <c r="AL957" s="57"/>
      <c r="AM957" s="57"/>
      <c r="AN957" s="57"/>
      <c r="AO957" s="57"/>
    </row>
    <row r="958" spans="1:41">
      <c r="A958" s="58" t="s">
        <v>431</v>
      </c>
      <c r="B958" s="65" t="s">
        <v>352</v>
      </c>
      <c r="C958" s="84">
        <v>832.52</v>
      </c>
      <c r="D958" s="84">
        <v>753.00699999999995</v>
      </c>
      <c r="E958" s="84">
        <v>739.44600000000003</v>
      </c>
      <c r="F958" s="84">
        <v>680.73900000000003</v>
      </c>
      <c r="G958" s="84">
        <v>558.91200000000003</v>
      </c>
      <c r="H958" s="84">
        <v>467.91399999999999</v>
      </c>
      <c r="I958" s="84">
        <v>410.798</v>
      </c>
      <c r="J958" s="84">
        <v>332.71699999999998</v>
      </c>
      <c r="K958" s="84">
        <v>318.84300000000002</v>
      </c>
      <c r="L958" s="84">
        <v>293.72500000000002</v>
      </c>
      <c r="M958" s="84">
        <v>195.83600000000001</v>
      </c>
      <c r="N958" s="84">
        <v>128.35</v>
      </c>
      <c r="O958" s="84">
        <v>100</v>
      </c>
      <c r="P958" s="84">
        <v>98.885000000000005</v>
      </c>
      <c r="Q958" s="84">
        <v>180.285</v>
      </c>
      <c r="R958" s="84">
        <v>263.11399999999998</v>
      </c>
      <c r="S958" s="80">
        <v>216.357</v>
      </c>
      <c r="T958" s="63"/>
      <c r="AD958" s="57"/>
      <c r="AE958" s="57"/>
      <c r="AF958" s="57"/>
      <c r="AG958" s="57"/>
      <c r="AH958" s="57"/>
      <c r="AI958" s="57"/>
      <c r="AJ958" s="57"/>
      <c r="AK958" s="57"/>
      <c r="AL958" s="57"/>
      <c r="AM958" s="57"/>
      <c r="AN958" s="57"/>
      <c r="AO958" s="57"/>
    </row>
    <row r="959" spans="1:41">
      <c r="A959" s="58" t="s">
        <v>431</v>
      </c>
      <c r="B959" s="65" t="s">
        <v>353</v>
      </c>
      <c r="C959" s="84">
        <v>121.74299999999999</v>
      </c>
      <c r="D959" s="84">
        <v>127.86499999999999</v>
      </c>
      <c r="E959" s="84">
        <v>127.093</v>
      </c>
      <c r="F959" s="84">
        <v>126.233</v>
      </c>
      <c r="G959" s="84">
        <v>126.76600000000001</v>
      </c>
      <c r="H959" s="84">
        <v>125.851</v>
      </c>
      <c r="I959" s="84">
        <v>121.57899999999999</v>
      </c>
      <c r="J959" s="84">
        <v>117.726</v>
      </c>
      <c r="K959" s="84">
        <v>119.553</v>
      </c>
      <c r="L959" s="84">
        <v>114.4</v>
      </c>
      <c r="M959" s="84">
        <v>119.93300000000001</v>
      </c>
      <c r="N959" s="84">
        <v>118.77800000000001</v>
      </c>
      <c r="O959" s="84">
        <v>100</v>
      </c>
      <c r="P959" s="84">
        <v>107.331</v>
      </c>
      <c r="Q959" s="84">
        <v>109.74</v>
      </c>
      <c r="R959" s="84">
        <v>108.24</v>
      </c>
      <c r="S959" s="80">
        <v>104.6</v>
      </c>
      <c r="T959" s="63"/>
      <c r="AD959" s="57"/>
      <c r="AE959" s="57"/>
      <c r="AF959" s="57"/>
      <c r="AG959" s="57"/>
      <c r="AH959" s="57"/>
      <c r="AI959" s="57"/>
      <c r="AJ959" s="57"/>
      <c r="AK959" s="57"/>
      <c r="AL959" s="57"/>
      <c r="AM959" s="57"/>
      <c r="AN959" s="57"/>
      <c r="AO959" s="57"/>
    </row>
    <row r="960" spans="1:41">
      <c r="A960" s="58" t="s">
        <v>431</v>
      </c>
      <c r="B960" s="65" t="s">
        <v>354</v>
      </c>
      <c r="C960" s="84">
        <v>170.739</v>
      </c>
      <c r="D960" s="84">
        <v>176.04499999999999</v>
      </c>
      <c r="E960" s="84">
        <v>177.59700000000001</v>
      </c>
      <c r="F960" s="84">
        <v>177.29599999999999</v>
      </c>
      <c r="G960" s="84">
        <v>170.29499999999999</v>
      </c>
      <c r="H960" s="84">
        <v>159.79499999999999</v>
      </c>
      <c r="I960" s="84">
        <v>145.89699999999999</v>
      </c>
      <c r="J960" s="84">
        <v>142.191</v>
      </c>
      <c r="K960" s="84">
        <v>138.18199999999999</v>
      </c>
      <c r="L960" s="84">
        <v>131.18100000000001</v>
      </c>
      <c r="M960" s="84">
        <v>131.71700000000001</v>
      </c>
      <c r="N960" s="84">
        <v>120.19799999999999</v>
      </c>
      <c r="O960" s="84">
        <v>100</v>
      </c>
      <c r="P960" s="84">
        <v>98.162000000000006</v>
      </c>
      <c r="Q960" s="84">
        <v>94.016999999999996</v>
      </c>
      <c r="R960" s="84">
        <v>90.241</v>
      </c>
      <c r="S960" s="80">
        <v>86.119</v>
      </c>
      <c r="T960" s="63"/>
      <c r="AD960" s="57"/>
      <c r="AE960" s="57"/>
      <c r="AF960" s="57"/>
      <c r="AG960" s="57"/>
      <c r="AH960" s="57"/>
      <c r="AI960" s="57"/>
      <c r="AJ960" s="57"/>
      <c r="AK960" s="57"/>
      <c r="AL960" s="57"/>
      <c r="AM960" s="57"/>
      <c r="AN960" s="57"/>
      <c r="AO960" s="57"/>
    </row>
    <row r="961" spans="1:41">
      <c r="A961" s="58" t="s">
        <v>431</v>
      </c>
      <c r="B961" s="65" t="s">
        <v>355</v>
      </c>
      <c r="C961" s="84">
        <v>102.58</v>
      </c>
      <c r="D961" s="84">
        <v>94.12</v>
      </c>
      <c r="E961" s="84">
        <v>101</v>
      </c>
      <c r="F961" s="84">
        <v>101.149</v>
      </c>
      <c r="G961" s="84">
        <v>94.296999999999997</v>
      </c>
      <c r="H961" s="84">
        <v>101.914</v>
      </c>
      <c r="I961" s="84">
        <v>84.489000000000004</v>
      </c>
      <c r="J961" s="84">
        <v>90.744</v>
      </c>
      <c r="K961" s="84">
        <v>99.069000000000003</v>
      </c>
      <c r="L961" s="84">
        <v>104.325</v>
      </c>
      <c r="M961" s="84">
        <v>107.58199999999999</v>
      </c>
      <c r="N961" s="84">
        <v>100.116</v>
      </c>
      <c r="O961" s="84">
        <v>100</v>
      </c>
      <c r="P961" s="84">
        <v>100.96</v>
      </c>
      <c r="Q961" s="84">
        <v>108.33199999999999</v>
      </c>
      <c r="R961" s="84">
        <v>107.578</v>
      </c>
      <c r="S961" s="80">
        <v>107.747</v>
      </c>
      <c r="T961" s="63"/>
      <c r="AD961" s="57"/>
      <c r="AE961" s="57"/>
      <c r="AF961" s="57"/>
      <c r="AG961" s="57"/>
      <c r="AH961" s="57"/>
      <c r="AI961" s="57"/>
      <c r="AJ961" s="57"/>
      <c r="AK961" s="57"/>
      <c r="AL961" s="57"/>
      <c r="AM961" s="57"/>
      <c r="AN961" s="57"/>
      <c r="AO961" s="57"/>
    </row>
    <row r="962" spans="1:41">
      <c r="A962" s="58" t="s">
        <v>431</v>
      </c>
      <c r="B962" s="65" t="s">
        <v>356</v>
      </c>
      <c r="C962" s="84">
        <v>117.152</v>
      </c>
      <c r="D962" s="84">
        <v>120.46899999999999</v>
      </c>
      <c r="E962" s="84">
        <v>118.44199999999999</v>
      </c>
      <c r="F962" s="84">
        <v>119.081</v>
      </c>
      <c r="G962" s="84">
        <v>114.495</v>
      </c>
      <c r="H962" s="84">
        <v>121.197</v>
      </c>
      <c r="I962" s="84">
        <v>120.905</v>
      </c>
      <c r="J962" s="84">
        <v>123.622</v>
      </c>
      <c r="K962" s="84">
        <v>132.369</v>
      </c>
      <c r="L962" s="84">
        <v>128.363</v>
      </c>
      <c r="M962" s="84">
        <v>138.58099999999999</v>
      </c>
      <c r="N962" s="84">
        <v>124.626</v>
      </c>
      <c r="O962" s="84">
        <v>100</v>
      </c>
      <c r="P962" s="84">
        <v>107.176</v>
      </c>
      <c r="Q962" s="84">
        <v>109.126</v>
      </c>
      <c r="R962" s="84">
        <v>110.88200000000001</v>
      </c>
      <c r="S962" s="80">
        <v>114.361</v>
      </c>
      <c r="T962" s="63"/>
      <c r="AD962" s="57"/>
      <c r="AE962" s="57"/>
      <c r="AF962" s="57"/>
      <c r="AG962" s="57"/>
      <c r="AH962" s="57"/>
      <c r="AI962" s="57"/>
      <c r="AJ962" s="57"/>
      <c r="AK962" s="57"/>
      <c r="AL962" s="57"/>
      <c r="AM962" s="57"/>
      <c r="AN962" s="57"/>
      <c r="AO962" s="57"/>
    </row>
    <row r="963" spans="1:41">
      <c r="A963" s="58" t="s">
        <v>431</v>
      </c>
      <c r="B963" s="65" t="s">
        <v>357</v>
      </c>
      <c r="C963" s="84">
        <v>131.12799999999999</v>
      </c>
      <c r="D963" s="84">
        <v>135.035</v>
      </c>
      <c r="E963" s="84">
        <v>140.489</v>
      </c>
      <c r="F963" s="84">
        <v>141.32300000000001</v>
      </c>
      <c r="G963" s="84">
        <v>133.965</v>
      </c>
      <c r="H963" s="84">
        <v>139.774</v>
      </c>
      <c r="I963" s="84">
        <v>137.41</v>
      </c>
      <c r="J963" s="84">
        <v>135.49700000000001</v>
      </c>
      <c r="K963" s="84">
        <v>140.256</v>
      </c>
      <c r="L963" s="84">
        <v>144.625</v>
      </c>
      <c r="M963" s="84">
        <v>139.77500000000001</v>
      </c>
      <c r="N963" s="84">
        <v>127.63500000000001</v>
      </c>
      <c r="O963" s="84">
        <v>100</v>
      </c>
      <c r="P963" s="84">
        <v>109.596</v>
      </c>
      <c r="Q963" s="84">
        <v>112.422</v>
      </c>
      <c r="R963" s="84">
        <v>114.498</v>
      </c>
      <c r="S963" s="80">
        <v>116.904</v>
      </c>
      <c r="AD963" s="57"/>
      <c r="AE963" s="57"/>
      <c r="AF963" s="57"/>
      <c r="AG963" s="57"/>
      <c r="AH963" s="57"/>
      <c r="AI963" s="57"/>
      <c r="AJ963" s="57"/>
      <c r="AK963" s="57"/>
      <c r="AL963" s="57"/>
      <c r="AM963" s="57"/>
      <c r="AN963" s="57"/>
      <c r="AO963" s="57"/>
    </row>
    <row r="964" spans="1:41">
      <c r="A964" s="58" t="s">
        <v>431</v>
      </c>
      <c r="B964" s="65" t="s">
        <v>358</v>
      </c>
      <c r="C964" s="84">
        <v>99.878</v>
      </c>
      <c r="D964" s="84">
        <v>95.158000000000001</v>
      </c>
      <c r="E964" s="84">
        <v>109.398</v>
      </c>
      <c r="F964" s="84">
        <v>114.358</v>
      </c>
      <c r="G964" s="84">
        <v>107.58</v>
      </c>
      <c r="H964" s="84">
        <v>120.959</v>
      </c>
      <c r="I964" s="84">
        <v>119.726</v>
      </c>
      <c r="J964" s="84">
        <v>133.07499999999999</v>
      </c>
      <c r="K964" s="84">
        <v>144.441</v>
      </c>
      <c r="L964" s="84">
        <v>148.59700000000001</v>
      </c>
      <c r="M964" s="84">
        <v>155.06200000000001</v>
      </c>
      <c r="N964" s="84">
        <v>158.935</v>
      </c>
      <c r="O964" s="84">
        <v>100</v>
      </c>
      <c r="P964" s="84">
        <v>139.99</v>
      </c>
      <c r="Q964" s="84">
        <v>160.22200000000001</v>
      </c>
      <c r="R964" s="84">
        <v>165.86699999999999</v>
      </c>
      <c r="S964" s="80">
        <v>172.71199999999999</v>
      </c>
      <c r="AD964" s="57"/>
      <c r="AE964" s="57"/>
      <c r="AF964" s="57"/>
      <c r="AG964" s="57"/>
      <c r="AH964" s="57"/>
      <c r="AI964" s="57"/>
      <c r="AJ964" s="57"/>
      <c r="AK964" s="57"/>
      <c r="AL964" s="57"/>
      <c r="AM964" s="57"/>
      <c r="AN964" s="57"/>
      <c r="AO964" s="57"/>
    </row>
    <row r="965" spans="1:41">
      <c r="A965" s="58" t="s">
        <v>431</v>
      </c>
      <c r="B965" s="65" t="s">
        <v>359</v>
      </c>
      <c r="C965" s="84">
        <v>86.948999999999998</v>
      </c>
      <c r="D965" s="84">
        <v>81.972999999999999</v>
      </c>
      <c r="E965" s="84">
        <v>91.89</v>
      </c>
      <c r="F965" s="84">
        <v>93.131</v>
      </c>
      <c r="G965" s="84">
        <v>85.253</v>
      </c>
      <c r="H965" s="84">
        <v>92.600999999999999</v>
      </c>
      <c r="I965" s="84">
        <v>98.876999999999995</v>
      </c>
      <c r="J965" s="84">
        <v>112.11</v>
      </c>
      <c r="K965" s="84">
        <v>109.47499999999999</v>
      </c>
      <c r="L965" s="84">
        <v>114.584</v>
      </c>
      <c r="M965" s="84">
        <v>119.03100000000001</v>
      </c>
      <c r="N965" s="84">
        <v>110.184</v>
      </c>
      <c r="O965" s="84">
        <v>100</v>
      </c>
      <c r="P965" s="84">
        <v>118.792</v>
      </c>
      <c r="Q965" s="84">
        <v>120.98099999999999</v>
      </c>
      <c r="R965" s="84">
        <v>130.608</v>
      </c>
      <c r="S965" s="80">
        <v>135.73599999999999</v>
      </c>
      <c r="T965" s="63"/>
      <c r="AD965" s="57"/>
      <c r="AE965" s="57"/>
      <c r="AF965" s="57"/>
      <c r="AG965" s="57"/>
      <c r="AH965" s="57"/>
      <c r="AI965" s="57"/>
      <c r="AJ965" s="57"/>
      <c r="AK965" s="57"/>
      <c r="AL965" s="57"/>
      <c r="AM965" s="57"/>
      <c r="AN965" s="57"/>
      <c r="AO965" s="57"/>
    </row>
    <row r="966" spans="1:41">
      <c r="A966" s="58" t="s">
        <v>431</v>
      </c>
      <c r="B966" s="68" t="s">
        <v>438</v>
      </c>
      <c r="C966" s="84">
        <v>263.673</v>
      </c>
      <c r="D966" s="84">
        <v>252.03899999999999</v>
      </c>
      <c r="E966" s="84">
        <v>301.79500000000002</v>
      </c>
      <c r="F966" s="84">
        <v>269.762</v>
      </c>
      <c r="G966" s="84">
        <v>194.29599999999999</v>
      </c>
      <c r="H966" s="84">
        <v>303.18400000000003</v>
      </c>
      <c r="I966" s="84">
        <v>306.81799999999998</v>
      </c>
      <c r="J966" s="84">
        <v>311.65800000000002</v>
      </c>
      <c r="K966" s="84">
        <v>259.20499999999998</v>
      </c>
      <c r="L966" s="84">
        <v>246.09200000000001</v>
      </c>
      <c r="M966" s="84">
        <v>241.18799999999999</v>
      </c>
      <c r="N966" s="84">
        <v>179.69</v>
      </c>
      <c r="O966" s="84">
        <v>100</v>
      </c>
      <c r="P966" s="84">
        <v>281.80700000000002</v>
      </c>
      <c r="Q966" s="84">
        <v>266.16199999999998</v>
      </c>
      <c r="R966" s="84">
        <v>357.97</v>
      </c>
      <c r="S966" s="80">
        <v>359.25700000000001</v>
      </c>
      <c r="T966" s="63"/>
      <c r="AD966" s="57"/>
      <c r="AE966" s="57"/>
      <c r="AF966" s="57"/>
      <c r="AG966" s="57"/>
      <c r="AH966" s="57"/>
      <c r="AI966" s="57"/>
      <c r="AJ966" s="57"/>
      <c r="AK966" s="57"/>
      <c r="AL966" s="57"/>
      <c r="AM966" s="57"/>
      <c r="AN966" s="57"/>
      <c r="AO966" s="57"/>
    </row>
    <row r="967" spans="1:41">
      <c r="A967" s="58" t="s">
        <v>431</v>
      </c>
      <c r="B967" s="68" t="s">
        <v>439</v>
      </c>
      <c r="C967" s="84">
        <v>86.277000000000001</v>
      </c>
      <c r="D967" s="84">
        <v>76.606999999999999</v>
      </c>
      <c r="E967" s="84">
        <v>86.292000000000002</v>
      </c>
      <c r="F967" s="84">
        <v>81.23</v>
      </c>
      <c r="G967" s="84">
        <v>88.308999999999997</v>
      </c>
      <c r="H967" s="84">
        <v>84.012</v>
      </c>
      <c r="I967" s="84">
        <v>85.924999999999997</v>
      </c>
      <c r="J967" s="84">
        <v>96.798000000000002</v>
      </c>
      <c r="K967" s="84">
        <v>95.349000000000004</v>
      </c>
      <c r="L967" s="84">
        <v>102.477</v>
      </c>
      <c r="M967" s="84">
        <v>109.242</v>
      </c>
      <c r="N967" s="84">
        <v>109.206</v>
      </c>
      <c r="O967" s="84">
        <v>100</v>
      </c>
      <c r="P967" s="84">
        <v>105.169</v>
      </c>
      <c r="Q967" s="84">
        <v>113.05200000000001</v>
      </c>
      <c r="R967" s="84">
        <v>112.94199999999999</v>
      </c>
      <c r="S967" s="80">
        <v>114.57</v>
      </c>
      <c r="T967" s="63"/>
      <c r="AD967" s="57"/>
      <c r="AE967" s="57"/>
      <c r="AF967" s="57"/>
      <c r="AG967" s="57"/>
      <c r="AH967" s="57"/>
      <c r="AI967" s="57"/>
      <c r="AJ967" s="57"/>
      <c r="AK967" s="57"/>
      <c r="AL967" s="57"/>
      <c r="AM967" s="57"/>
      <c r="AN967" s="57"/>
      <c r="AO967" s="57"/>
    </row>
    <row r="968" spans="1:41">
      <c r="A968" s="58" t="s">
        <v>431</v>
      </c>
      <c r="B968" s="68" t="s">
        <v>440</v>
      </c>
      <c r="C968" s="84">
        <v>48.043999999999997</v>
      </c>
      <c r="D968" s="84">
        <v>46.683999999999997</v>
      </c>
      <c r="E968" s="84">
        <v>53.374000000000002</v>
      </c>
      <c r="F968" s="84">
        <v>48.905999999999999</v>
      </c>
      <c r="G968" s="84">
        <v>47.765999999999998</v>
      </c>
      <c r="H968" s="84">
        <v>43.091999999999999</v>
      </c>
      <c r="I968" s="84">
        <v>55.930999999999997</v>
      </c>
      <c r="J968" s="84">
        <v>69.724000000000004</v>
      </c>
      <c r="K968" s="84">
        <v>70.858000000000004</v>
      </c>
      <c r="L968" s="84">
        <v>79.150999999999996</v>
      </c>
      <c r="M968" s="84">
        <v>92.950999999999993</v>
      </c>
      <c r="N968" s="84">
        <v>94.027000000000001</v>
      </c>
      <c r="O968" s="84">
        <v>100</v>
      </c>
      <c r="P968" s="84">
        <v>107.93600000000001</v>
      </c>
      <c r="Q968" s="84">
        <v>98.141999999999996</v>
      </c>
      <c r="R968" s="84">
        <v>90.97</v>
      </c>
      <c r="S968" s="80">
        <v>93.290999999999997</v>
      </c>
      <c r="T968" s="63"/>
      <c r="AD968" s="57"/>
      <c r="AE968" s="57"/>
      <c r="AF968" s="57"/>
      <c r="AG968" s="57"/>
      <c r="AH968" s="57"/>
      <c r="AI968" s="57"/>
      <c r="AJ968" s="57"/>
      <c r="AK968" s="57"/>
      <c r="AL968" s="57"/>
      <c r="AM968" s="57"/>
      <c r="AN968" s="57"/>
      <c r="AO968" s="57"/>
    </row>
    <row r="969" spans="1:41">
      <c r="A969" s="58" t="s">
        <v>431</v>
      </c>
      <c r="B969" s="68" t="s">
        <v>441</v>
      </c>
      <c r="C969" s="84">
        <v>84.165000000000006</v>
      </c>
      <c r="D969" s="84">
        <v>79.757999999999996</v>
      </c>
      <c r="E969" s="84">
        <v>87.147999999999996</v>
      </c>
      <c r="F969" s="84">
        <v>94.977000000000004</v>
      </c>
      <c r="G969" s="84">
        <v>87.37</v>
      </c>
      <c r="H969" s="84">
        <v>92.186000000000007</v>
      </c>
      <c r="I969" s="84">
        <v>97.704999999999998</v>
      </c>
      <c r="J969" s="84">
        <v>112.209</v>
      </c>
      <c r="K969" s="84">
        <v>112.58799999999999</v>
      </c>
      <c r="L969" s="84">
        <v>117.81</v>
      </c>
      <c r="M969" s="84">
        <v>119.39400000000001</v>
      </c>
      <c r="N969" s="84">
        <v>109.67400000000001</v>
      </c>
      <c r="O969" s="84">
        <v>100</v>
      </c>
      <c r="P969" s="84">
        <v>111.242</v>
      </c>
      <c r="Q969" s="84">
        <v>117.642</v>
      </c>
      <c r="R969" s="84">
        <v>128.01499999999999</v>
      </c>
      <c r="S969" s="80">
        <v>135.35300000000001</v>
      </c>
      <c r="AD969" s="57"/>
      <c r="AE969" s="57"/>
      <c r="AF969" s="57"/>
      <c r="AG969" s="57"/>
      <c r="AH969" s="57"/>
      <c r="AI969" s="57"/>
      <c r="AJ969" s="57"/>
      <c r="AK969" s="57"/>
      <c r="AL969" s="57"/>
      <c r="AM969" s="57"/>
      <c r="AN969" s="57"/>
      <c r="AO969" s="57"/>
    </row>
    <row r="970" spans="1:41">
      <c r="A970" s="58" t="s">
        <v>431</v>
      </c>
      <c r="B970" s="65" t="s">
        <v>360</v>
      </c>
      <c r="C970" s="84">
        <v>94.853999999999999</v>
      </c>
      <c r="D970" s="84">
        <v>98.997</v>
      </c>
      <c r="E970" s="84">
        <v>103.236</v>
      </c>
      <c r="F970" s="84">
        <v>101.72799999999999</v>
      </c>
      <c r="G970" s="84">
        <v>98.653999999999996</v>
      </c>
      <c r="H970" s="84">
        <v>100.52500000000001</v>
      </c>
      <c r="I970" s="84">
        <v>101.994</v>
      </c>
      <c r="J970" s="84">
        <v>106.67700000000001</v>
      </c>
      <c r="K970" s="84">
        <v>109.07899999999999</v>
      </c>
      <c r="L970" s="84">
        <v>112.51300000000001</v>
      </c>
      <c r="M970" s="84">
        <v>120.52500000000001</v>
      </c>
      <c r="N970" s="84">
        <v>115.74</v>
      </c>
      <c r="O970" s="84">
        <v>100</v>
      </c>
      <c r="P970" s="84">
        <v>104.32599999999999</v>
      </c>
      <c r="Q970" s="84">
        <v>108.208</v>
      </c>
      <c r="R970" s="84">
        <v>111.465</v>
      </c>
      <c r="S970" s="80">
        <v>113.84</v>
      </c>
      <c r="T970" s="63"/>
      <c r="AD970" s="57"/>
      <c r="AE970" s="57"/>
      <c r="AF970" s="57"/>
      <c r="AG970" s="57"/>
      <c r="AH970" s="57"/>
      <c r="AI970" s="57"/>
      <c r="AJ970" s="57"/>
      <c r="AK970" s="57"/>
      <c r="AL970" s="57"/>
      <c r="AM970" s="57"/>
      <c r="AN970" s="57"/>
      <c r="AO970" s="57"/>
    </row>
    <row r="971" spans="1:41">
      <c r="A971" s="58" t="s">
        <v>431</v>
      </c>
      <c r="B971" s="65" t="s">
        <v>361</v>
      </c>
      <c r="C971" s="84">
        <v>139.75200000000001</v>
      </c>
      <c r="D971" s="84">
        <v>139.33099999999999</v>
      </c>
      <c r="E971" s="84">
        <v>135.304</v>
      </c>
      <c r="F971" s="84">
        <v>132.24100000000001</v>
      </c>
      <c r="G971" s="84">
        <v>119.89700000000001</v>
      </c>
      <c r="H971" s="84">
        <v>101.93</v>
      </c>
      <c r="I971" s="84">
        <v>108.819</v>
      </c>
      <c r="J971" s="84">
        <v>108.152</v>
      </c>
      <c r="K971" s="84">
        <v>110.78100000000001</v>
      </c>
      <c r="L971" s="84">
        <v>111.71</v>
      </c>
      <c r="M971" s="84">
        <v>115.099</v>
      </c>
      <c r="N971" s="84">
        <v>115.33</v>
      </c>
      <c r="O971" s="84">
        <v>100</v>
      </c>
      <c r="P971" s="84">
        <v>100.556</v>
      </c>
      <c r="Q971" s="84">
        <v>104.846</v>
      </c>
      <c r="R971" s="84">
        <v>103.41</v>
      </c>
      <c r="S971" s="80">
        <v>102.28400000000001</v>
      </c>
      <c r="T971" s="63"/>
      <c r="AD971" s="57"/>
      <c r="AE971" s="57"/>
      <c r="AF971" s="57"/>
      <c r="AG971" s="57"/>
      <c r="AH971" s="57"/>
      <c r="AI971" s="57"/>
      <c r="AJ971" s="57"/>
      <c r="AK971" s="57"/>
      <c r="AL971" s="57"/>
      <c r="AM971" s="57"/>
      <c r="AN971" s="57"/>
      <c r="AO971" s="57"/>
    </row>
    <row r="972" spans="1:41">
      <c r="A972" s="58" t="s">
        <v>431</v>
      </c>
      <c r="B972" s="65" t="s">
        <v>362</v>
      </c>
      <c r="C972" s="84">
        <v>117.755</v>
      </c>
      <c r="D972" s="84">
        <v>110.42400000000001</v>
      </c>
      <c r="E972" s="84">
        <v>107.92100000000001</v>
      </c>
      <c r="F972" s="84">
        <v>102.812</v>
      </c>
      <c r="G972" s="84">
        <v>106.78</v>
      </c>
      <c r="H972" s="84">
        <v>119</v>
      </c>
      <c r="I972" s="84">
        <v>110.19</v>
      </c>
      <c r="J972" s="84">
        <v>117.018</v>
      </c>
      <c r="K972" s="84">
        <v>121.36199999999999</v>
      </c>
      <c r="L972" s="84">
        <v>127.07299999999999</v>
      </c>
      <c r="M972" s="84">
        <v>130.69900000000001</v>
      </c>
      <c r="N972" s="84">
        <v>126.63800000000001</v>
      </c>
      <c r="O972" s="84">
        <v>100</v>
      </c>
      <c r="P972" s="84">
        <v>135.37100000000001</v>
      </c>
      <c r="Q972" s="84">
        <v>146.108</v>
      </c>
      <c r="R972" s="84">
        <v>140.667</v>
      </c>
      <c r="S972" s="80">
        <v>141.95099999999999</v>
      </c>
      <c r="T972" s="63"/>
      <c r="AD972" s="57"/>
      <c r="AE972" s="57"/>
      <c r="AF972" s="57"/>
      <c r="AG972" s="57"/>
      <c r="AH972" s="57"/>
      <c r="AI972" s="57"/>
      <c r="AJ972" s="57"/>
      <c r="AK972" s="57"/>
      <c r="AL972" s="57"/>
      <c r="AM972" s="57"/>
      <c r="AN972" s="57"/>
      <c r="AO972" s="57"/>
    </row>
    <row r="973" spans="1:41">
      <c r="A973" s="58" t="s">
        <v>431</v>
      </c>
      <c r="B973" s="65" t="s">
        <v>363</v>
      </c>
      <c r="C973" s="84">
        <v>90.049000000000007</v>
      </c>
      <c r="D973" s="84">
        <v>95.578000000000003</v>
      </c>
      <c r="E973" s="84">
        <v>96.712999999999994</v>
      </c>
      <c r="F973" s="84">
        <v>86.453000000000003</v>
      </c>
      <c r="G973" s="84">
        <v>85.444000000000003</v>
      </c>
      <c r="H973" s="84">
        <v>86.933000000000007</v>
      </c>
      <c r="I973" s="84">
        <v>93.805999999999997</v>
      </c>
      <c r="J973" s="84">
        <v>107.556</v>
      </c>
      <c r="K973" s="84">
        <v>102.961</v>
      </c>
      <c r="L973" s="84">
        <v>94.832999999999998</v>
      </c>
      <c r="M973" s="84">
        <v>103.66200000000001</v>
      </c>
      <c r="N973" s="84">
        <v>102.996</v>
      </c>
      <c r="O973" s="84">
        <v>100</v>
      </c>
      <c r="P973" s="84">
        <v>109.74</v>
      </c>
      <c r="Q973" s="84">
        <v>107.527</v>
      </c>
      <c r="R973" s="84">
        <v>107.33499999999999</v>
      </c>
      <c r="S973" s="80">
        <v>108.431</v>
      </c>
      <c r="T973" s="63"/>
      <c r="AD973" s="57"/>
      <c r="AE973" s="57"/>
      <c r="AF973" s="57"/>
      <c r="AG973" s="57"/>
      <c r="AH973" s="57"/>
      <c r="AI973" s="57"/>
      <c r="AJ973" s="57"/>
      <c r="AK973" s="57"/>
      <c r="AL973" s="57"/>
      <c r="AM973" s="57"/>
      <c r="AN973" s="57"/>
      <c r="AO973" s="57"/>
    </row>
    <row r="974" spans="1:41">
      <c r="A974" s="58" t="s">
        <v>431</v>
      </c>
      <c r="B974" s="65" t="s">
        <v>364</v>
      </c>
      <c r="C974" s="84">
        <v>96.412000000000006</v>
      </c>
      <c r="D974" s="84">
        <v>103.60299999999999</v>
      </c>
      <c r="E974" s="84">
        <v>106.621</v>
      </c>
      <c r="F974" s="84">
        <v>107.883</v>
      </c>
      <c r="G974" s="84">
        <v>109.652</v>
      </c>
      <c r="H974" s="84">
        <v>112.26900000000001</v>
      </c>
      <c r="I974" s="84">
        <v>109.654</v>
      </c>
      <c r="J974" s="84">
        <v>116.749</v>
      </c>
      <c r="K974" s="84">
        <v>123.926</v>
      </c>
      <c r="L974" s="84">
        <v>123.983</v>
      </c>
      <c r="M974" s="84">
        <v>127.673</v>
      </c>
      <c r="N974" s="84">
        <v>121.95099999999999</v>
      </c>
      <c r="O974" s="84">
        <v>100</v>
      </c>
      <c r="P974" s="84">
        <v>104.506</v>
      </c>
      <c r="Q974" s="84">
        <v>107.28400000000001</v>
      </c>
      <c r="R974" s="84">
        <v>113.1</v>
      </c>
      <c r="S974" s="80">
        <v>115.884</v>
      </c>
      <c r="T974" s="63"/>
      <c r="AD974" s="57"/>
      <c r="AE974" s="57"/>
      <c r="AF974" s="57"/>
      <c r="AG974" s="57"/>
      <c r="AH974" s="57"/>
      <c r="AI974" s="57"/>
      <c r="AJ974" s="57"/>
      <c r="AK974" s="57"/>
      <c r="AL974" s="57"/>
      <c r="AM974" s="57"/>
      <c r="AN974" s="57"/>
      <c r="AO974" s="57"/>
    </row>
    <row r="975" spans="1:41">
      <c r="A975" s="58" t="s">
        <v>431</v>
      </c>
      <c r="B975" s="65" t="s">
        <v>365</v>
      </c>
      <c r="C975" s="84">
        <v>66.840999999999994</v>
      </c>
      <c r="D975" s="84">
        <v>76.552999999999997</v>
      </c>
      <c r="E975" s="84">
        <v>63.94</v>
      </c>
      <c r="F975" s="84">
        <v>53.436</v>
      </c>
      <c r="G975" s="84">
        <v>54.835000000000001</v>
      </c>
      <c r="H975" s="84">
        <v>55.459000000000003</v>
      </c>
      <c r="I975" s="84">
        <v>45.497999999999998</v>
      </c>
      <c r="J975" s="84">
        <v>65.548000000000002</v>
      </c>
      <c r="K975" s="84">
        <v>80.228999999999999</v>
      </c>
      <c r="L975" s="84">
        <v>93.569000000000003</v>
      </c>
      <c r="M975" s="84">
        <v>103.96</v>
      </c>
      <c r="N975" s="84">
        <v>96.944000000000003</v>
      </c>
      <c r="O975" s="84">
        <v>100</v>
      </c>
      <c r="P975" s="84">
        <v>92.718999999999994</v>
      </c>
      <c r="Q975" s="84">
        <v>92.144999999999996</v>
      </c>
      <c r="R975" s="84">
        <v>102.65300000000001</v>
      </c>
      <c r="S975" s="80">
        <v>107.881</v>
      </c>
      <c r="T975" s="63"/>
      <c r="AD975" s="57"/>
      <c r="AE975" s="57"/>
      <c r="AF975" s="57"/>
      <c r="AG975" s="57"/>
      <c r="AH975" s="57"/>
      <c r="AI975" s="57"/>
      <c r="AJ975" s="57"/>
      <c r="AK975" s="57"/>
      <c r="AL975" s="57"/>
      <c r="AM975" s="57"/>
      <c r="AN975" s="57"/>
      <c r="AO975" s="57"/>
    </row>
    <row r="976" spans="1:41">
      <c r="A976" s="58" t="s">
        <v>431</v>
      </c>
      <c r="B976" s="65" t="s">
        <v>366</v>
      </c>
      <c r="C976" s="84">
        <v>293.68400000000003</v>
      </c>
      <c r="D976" s="84">
        <v>262.392</v>
      </c>
      <c r="E976" s="84">
        <v>240.18</v>
      </c>
      <c r="F976" s="84">
        <v>211.18600000000001</v>
      </c>
      <c r="G976" s="84">
        <v>100.916</v>
      </c>
      <c r="H976" s="84">
        <v>186.554</v>
      </c>
      <c r="I976" s="84">
        <v>163.38800000000001</v>
      </c>
      <c r="J976" s="84">
        <v>149.31399999999999</v>
      </c>
      <c r="K976" s="84">
        <v>137.41200000000001</v>
      </c>
      <c r="L976" s="84">
        <v>131.649</v>
      </c>
      <c r="M976" s="84">
        <v>114.824</v>
      </c>
      <c r="N976" s="84">
        <v>103.06100000000001</v>
      </c>
      <c r="O976" s="84">
        <v>100</v>
      </c>
      <c r="P976" s="84">
        <v>66.247</v>
      </c>
      <c r="Q976" s="84">
        <v>66.248999999999995</v>
      </c>
      <c r="R976" s="84">
        <v>62.396000000000001</v>
      </c>
      <c r="S976" s="80">
        <v>74.272000000000006</v>
      </c>
      <c r="T976" s="63"/>
      <c r="AD976" s="57"/>
      <c r="AE976" s="57"/>
      <c r="AF976" s="57"/>
      <c r="AG976" s="57"/>
      <c r="AH976" s="57"/>
      <c r="AI976" s="57"/>
      <c r="AJ976" s="57"/>
      <c r="AK976" s="57"/>
      <c r="AL976" s="57"/>
      <c r="AM976" s="57"/>
      <c r="AN976" s="57"/>
      <c r="AO976" s="57"/>
    </row>
    <row r="977" spans="1:41">
      <c r="A977" s="58" t="s">
        <v>431</v>
      </c>
      <c r="B977" s="65" t="s">
        <v>367</v>
      </c>
      <c r="C977" s="84">
        <v>54.908999999999999</v>
      </c>
      <c r="D977" s="84">
        <v>66.965999999999994</v>
      </c>
      <c r="E977" s="84">
        <v>86.909000000000006</v>
      </c>
      <c r="F977" s="84">
        <v>90.632999999999996</v>
      </c>
      <c r="G977" s="84">
        <v>89.363</v>
      </c>
      <c r="H977" s="84">
        <v>91.578999999999994</v>
      </c>
      <c r="I977" s="84">
        <v>97.197999999999993</v>
      </c>
      <c r="J977" s="84">
        <v>99.918000000000006</v>
      </c>
      <c r="K977" s="84">
        <v>98.224000000000004</v>
      </c>
      <c r="L977" s="84">
        <v>107.51300000000001</v>
      </c>
      <c r="M977" s="84">
        <v>126.02200000000001</v>
      </c>
      <c r="N977" s="84">
        <v>117.054</v>
      </c>
      <c r="O977" s="84">
        <v>100</v>
      </c>
      <c r="P977" s="84">
        <v>99.468000000000004</v>
      </c>
      <c r="Q977" s="84">
        <v>104.756</v>
      </c>
      <c r="R977" s="84">
        <v>110.76600000000001</v>
      </c>
      <c r="S977" s="80">
        <v>115.196</v>
      </c>
      <c r="T977" s="63"/>
      <c r="AD977" s="57"/>
      <c r="AE977" s="57"/>
      <c r="AF977" s="57"/>
      <c r="AG977" s="57"/>
      <c r="AH977" s="57"/>
      <c r="AI977" s="57"/>
      <c r="AJ977" s="57"/>
      <c r="AK977" s="57"/>
      <c r="AL977" s="57"/>
      <c r="AM977" s="57"/>
      <c r="AN977" s="57"/>
      <c r="AO977" s="57"/>
    </row>
    <row r="978" spans="1:41">
      <c r="A978" s="58" t="s">
        <v>431</v>
      </c>
      <c r="B978" s="65" t="s">
        <v>368</v>
      </c>
      <c r="C978" s="84">
        <v>27.663</v>
      </c>
      <c r="D978" s="84">
        <v>20.736000000000001</v>
      </c>
      <c r="E978" s="84">
        <v>33.685000000000002</v>
      </c>
      <c r="F978" s="84">
        <v>36.005000000000003</v>
      </c>
      <c r="G978" s="84">
        <v>51.331000000000003</v>
      </c>
      <c r="H978" s="84">
        <v>62.683</v>
      </c>
      <c r="I978" s="84">
        <v>76.709000000000003</v>
      </c>
      <c r="J978" s="84">
        <v>72.411000000000001</v>
      </c>
      <c r="K978" s="84">
        <v>65.667000000000002</v>
      </c>
      <c r="L978" s="84">
        <v>86.655000000000001</v>
      </c>
      <c r="M978" s="84">
        <v>113.322</v>
      </c>
      <c r="N978" s="84">
        <v>107.765</v>
      </c>
      <c r="O978" s="84">
        <v>100</v>
      </c>
      <c r="P978" s="84">
        <v>117.767</v>
      </c>
      <c r="Q978" s="84">
        <v>129.36199999999999</v>
      </c>
      <c r="R978" s="84">
        <v>137.09399999999999</v>
      </c>
      <c r="S978" s="80">
        <v>139.64400000000001</v>
      </c>
      <c r="AD978" s="57"/>
      <c r="AE978" s="57"/>
      <c r="AF978" s="57"/>
      <c r="AG978" s="57"/>
      <c r="AH978" s="57"/>
      <c r="AI978" s="57"/>
      <c r="AJ978" s="57"/>
      <c r="AK978" s="57"/>
      <c r="AL978" s="57"/>
      <c r="AM978" s="57"/>
      <c r="AN978" s="57"/>
      <c r="AO978" s="57"/>
    </row>
    <row r="979" spans="1:41">
      <c r="A979" s="58" t="s">
        <v>431</v>
      </c>
      <c r="B979" s="65" t="s">
        <v>369</v>
      </c>
      <c r="C979" s="84">
        <v>74.644000000000005</v>
      </c>
      <c r="D979" s="84">
        <v>82.894000000000005</v>
      </c>
      <c r="E979" s="84">
        <v>93.841999999999999</v>
      </c>
      <c r="F979" s="84">
        <v>116.253</v>
      </c>
      <c r="G979" s="84">
        <v>115.28100000000001</v>
      </c>
      <c r="H979" s="84">
        <v>108.197</v>
      </c>
      <c r="I979" s="84">
        <v>104.739</v>
      </c>
      <c r="J979" s="84">
        <v>98.811000000000007</v>
      </c>
      <c r="K979" s="84">
        <v>101.619</v>
      </c>
      <c r="L979" s="84">
        <v>106.07899999999999</v>
      </c>
      <c r="M979" s="84">
        <v>103.23699999999999</v>
      </c>
      <c r="N979" s="84">
        <v>102.22499999999999</v>
      </c>
      <c r="O979" s="84">
        <v>100</v>
      </c>
      <c r="P979" s="84">
        <v>104.381</v>
      </c>
      <c r="Q979" s="84">
        <v>114.123</v>
      </c>
      <c r="R979" s="84">
        <v>122.45699999999999</v>
      </c>
      <c r="S979" s="80">
        <v>128.39699999999999</v>
      </c>
      <c r="T979" s="63"/>
      <c r="AD979" s="57"/>
      <c r="AE979" s="57"/>
      <c r="AF979" s="57"/>
      <c r="AG979" s="57"/>
      <c r="AH979" s="57"/>
      <c r="AI979" s="57"/>
      <c r="AJ979" s="57"/>
      <c r="AK979" s="57"/>
      <c r="AL979" s="57"/>
      <c r="AM979" s="57"/>
      <c r="AN979" s="57"/>
      <c r="AO979" s="57"/>
    </row>
    <row r="980" spans="1:41">
      <c r="A980" s="58" t="s">
        <v>431</v>
      </c>
      <c r="B980" s="65" t="s">
        <v>442</v>
      </c>
      <c r="C980" s="84">
        <v>98.944000000000003</v>
      </c>
      <c r="D980" s="84">
        <v>110.866</v>
      </c>
      <c r="E980" s="84">
        <v>102.986</v>
      </c>
      <c r="F980" s="84">
        <v>140.441</v>
      </c>
      <c r="G980" s="84">
        <v>144.779</v>
      </c>
      <c r="H980" s="84">
        <v>127.38500000000001</v>
      </c>
      <c r="I980" s="84">
        <v>114.063</v>
      </c>
      <c r="J980" s="84">
        <v>111.176</v>
      </c>
      <c r="K980" s="84">
        <v>106.405</v>
      </c>
      <c r="L980" s="84">
        <v>122.018</v>
      </c>
      <c r="M980" s="84">
        <v>104.437</v>
      </c>
      <c r="N980" s="84">
        <v>107.97199999999999</v>
      </c>
      <c r="O980" s="84">
        <v>100</v>
      </c>
      <c r="P980" s="84">
        <v>95.361000000000004</v>
      </c>
      <c r="Q980" s="84">
        <v>98.17</v>
      </c>
      <c r="R980" s="84">
        <v>96.352999999999994</v>
      </c>
      <c r="S980" s="80">
        <v>96.036000000000001</v>
      </c>
      <c r="T980" s="63"/>
      <c r="AD980" s="57"/>
      <c r="AE980" s="57"/>
      <c r="AF980" s="57"/>
      <c r="AG980" s="57"/>
      <c r="AH980" s="57"/>
      <c r="AI980" s="57"/>
      <c r="AJ980" s="57"/>
      <c r="AK980" s="57"/>
      <c r="AL980" s="57"/>
      <c r="AM980" s="57"/>
      <c r="AN980" s="57"/>
      <c r="AO980" s="57"/>
    </row>
    <row r="981" spans="1:41">
      <c r="A981" s="58" t="s">
        <v>431</v>
      </c>
      <c r="B981" s="65" t="s">
        <v>371</v>
      </c>
      <c r="C981" s="84">
        <v>170.28700000000001</v>
      </c>
      <c r="D981" s="84">
        <v>163.55699999999999</v>
      </c>
      <c r="E981" s="84">
        <v>144.23099999999999</v>
      </c>
      <c r="F981" s="84">
        <v>191.13200000000001</v>
      </c>
      <c r="G981" s="84">
        <v>162.12200000000001</v>
      </c>
      <c r="H981" s="84">
        <v>165.173</v>
      </c>
      <c r="I981" s="84">
        <v>196.54</v>
      </c>
      <c r="J981" s="84">
        <v>173.51400000000001</v>
      </c>
      <c r="K981" s="84">
        <v>216.79900000000001</v>
      </c>
      <c r="L981" s="84">
        <v>206.24700000000001</v>
      </c>
      <c r="M981" s="84">
        <v>180.68700000000001</v>
      </c>
      <c r="N981" s="84">
        <v>140.88300000000001</v>
      </c>
      <c r="O981" s="84">
        <v>100</v>
      </c>
      <c r="P981" s="84">
        <v>80.739999999999995</v>
      </c>
      <c r="Q981" s="84">
        <v>89.382000000000005</v>
      </c>
      <c r="R981" s="84">
        <v>89.302000000000007</v>
      </c>
      <c r="S981" s="80">
        <v>99.388000000000005</v>
      </c>
      <c r="T981" s="63"/>
      <c r="AD981" s="57"/>
      <c r="AE981" s="57"/>
      <c r="AF981" s="57"/>
      <c r="AG981" s="57"/>
      <c r="AH981" s="57"/>
      <c r="AI981" s="57"/>
      <c r="AJ981" s="57"/>
      <c r="AK981" s="57"/>
      <c r="AL981" s="57"/>
      <c r="AM981" s="57"/>
      <c r="AN981" s="57"/>
      <c r="AO981" s="57"/>
    </row>
    <row r="982" spans="1:41">
      <c r="A982" s="58" t="s">
        <v>431</v>
      </c>
      <c r="B982" s="65" t="s">
        <v>372</v>
      </c>
      <c r="C982" s="84">
        <v>65.085999999999999</v>
      </c>
      <c r="D982" s="84">
        <v>75.507999999999996</v>
      </c>
      <c r="E982" s="84">
        <v>92.49</v>
      </c>
      <c r="F982" s="84">
        <v>105.334</v>
      </c>
      <c r="G982" s="84">
        <v>109.77</v>
      </c>
      <c r="H982" s="84">
        <v>109.7</v>
      </c>
      <c r="I982" s="84">
        <v>105.29600000000001</v>
      </c>
      <c r="J982" s="84">
        <v>100.402</v>
      </c>
      <c r="K982" s="84">
        <v>98.998000000000005</v>
      </c>
      <c r="L982" s="84">
        <v>101.37</v>
      </c>
      <c r="M982" s="84">
        <v>97.406999999999996</v>
      </c>
      <c r="N982" s="84">
        <v>97.528000000000006</v>
      </c>
      <c r="O982" s="84">
        <v>100</v>
      </c>
      <c r="P982" s="84">
        <v>110.01600000000001</v>
      </c>
      <c r="Q982" s="84">
        <v>121.5</v>
      </c>
      <c r="R982" s="84">
        <v>129.297</v>
      </c>
      <c r="S982" s="80">
        <v>136.62299999999999</v>
      </c>
      <c r="T982" s="63"/>
      <c r="AD982" s="57"/>
      <c r="AE982" s="57"/>
      <c r="AF982" s="57"/>
      <c r="AG982" s="57"/>
      <c r="AH982" s="57"/>
      <c r="AI982" s="57"/>
      <c r="AJ982" s="57"/>
      <c r="AK982" s="57"/>
      <c r="AL982" s="57"/>
      <c r="AM982" s="57"/>
      <c r="AN982" s="57"/>
      <c r="AO982" s="57"/>
    </row>
    <row r="983" spans="1:41">
      <c r="A983" s="58" t="s">
        <v>431</v>
      </c>
      <c r="B983" s="65" t="s">
        <v>443</v>
      </c>
      <c r="C983" s="84">
        <v>29.550999999999998</v>
      </c>
      <c r="D983" s="84">
        <v>27.951000000000001</v>
      </c>
      <c r="E983" s="84">
        <v>56.488999999999997</v>
      </c>
      <c r="F983" s="84">
        <v>85.412000000000006</v>
      </c>
      <c r="G983" s="84">
        <v>64.558000000000007</v>
      </c>
      <c r="H983" s="84">
        <v>37.348999999999997</v>
      </c>
      <c r="I983" s="84">
        <v>36.872</v>
      </c>
      <c r="J983" s="84">
        <v>30.102</v>
      </c>
      <c r="K983" s="84">
        <v>43.459000000000003</v>
      </c>
      <c r="L983" s="84">
        <v>46.295000000000002</v>
      </c>
      <c r="M983" s="84">
        <v>85.522999999999996</v>
      </c>
      <c r="N983" s="84">
        <v>92.477000000000004</v>
      </c>
      <c r="O983" s="84">
        <v>100</v>
      </c>
      <c r="P983" s="84">
        <v>107.453</v>
      </c>
      <c r="Q983" s="84">
        <v>121.745</v>
      </c>
      <c r="R983" s="84">
        <v>153.61600000000001</v>
      </c>
      <c r="S983" s="80">
        <v>161.67400000000001</v>
      </c>
      <c r="AD983" s="57"/>
      <c r="AE983" s="57"/>
      <c r="AF983" s="57"/>
      <c r="AG983" s="57"/>
      <c r="AH983" s="57"/>
      <c r="AI983" s="57"/>
      <c r="AJ983" s="57"/>
      <c r="AK983" s="57"/>
      <c r="AL983" s="57"/>
      <c r="AM983" s="57"/>
      <c r="AN983" s="57"/>
      <c r="AO983" s="57"/>
    </row>
    <row r="984" spans="1:41">
      <c r="A984" s="58" t="s">
        <v>431</v>
      </c>
      <c r="B984" s="65" t="s">
        <v>374</v>
      </c>
      <c r="C984" s="84">
        <v>63.432000000000002</v>
      </c>
      <c r="D984" s="84">
        <v>70.962999999999994</v>
      </c>
      <c r="E984" s="84">
        <v>78.203999999999994</v>
      </c>
      <c r="F984" s="84">
        <v>89.15</v>
      </c>
      <c r="G984" s="84">
        <v>83.953999999999994</v>
      </c>
      <c r="H984" s="84">
        <v>85.763000000000005</v>
      </c>
      <c r="I984" s="84">
        <v>93.466999999999999</v>
      </c>
      <c r="J984" s="84">
        <v>105.999</v>
      </c>
      <c r="K984" s="84">
        <v>114.148</v>
      </c>
      <c r="L984" s="84">
        <v>117.265</v>
      </c>
      <c r="M984" s="84">
        <v>118.47</v>
      </c>
      <c r="N984" s="84">
        <v>114.599</v>
      </c>
      <c r="O984" s="84">
        <v>100</v>
      </c>
      <c r="P984" s="84">
        <v>99.748000000000005</v>
      </c>
      <c r="Q984" s="84">
        <v>97.816999999999993</v>
      </c>
      <c r="R984" s="84">
        <v>99.903000000000006</v>
      </c>
      <c r="S984" s="80">
        <v>102.51900000000001</v>
      </c>
      <c r="AD984" s="57"/>
      <c r="AE984" s="57"/>
      <c r="AF984" s="57"/>
      <c r="AG984" s="57"/>
      <c r="AH984" s="57"/>
      <c r="AI984" s="57"/>
      <c r="AJ984" s="57"/>
      <c r="AK984" s="57"/>
      <c r="AL984" s="57"/>
      <c r="AM984" s="57"/>
      <c r="AN984" s="57"/>
      <c r="AO984" s="57"/>
    </row>
    <row r="985" spans="1:41">
      <c r="A985" s="58" t="s">
        <v>431</v>
      </c>
      <c r="B985" s="65" t="s">
        <v>375</v>
      </c>
      <c r="C985" s="84">
        <v>61.515999999999998</v>
      </c>
      <c r="D985" s="84">
        <v>67.59</v>
      </c>
      <c r="E985" s="84">
        <v>79.072999999999993</v>
      </c>
      <c r="F985" s="84">
        <v>90.786000000000001</v>
      </c>
      <c r="G985" s="84">
        <v>83.066000000000003</v>
      </c>
      <c r="H985" s="84">
        <v>82.634</v>
      </c>
      <c r="I985" s="84">
        <v>87.549000000000007</v>
      </c>
      <c r="J985" s="84">
        <v>96.088999999999999</v>
      </c>
      <c r="K985" s="84">
        <v>97.881</v>
      </c>
      <c r="L985" s="84">
        <v>103.437</v>
      </c>
      <c r="M985" s="84">
        <v>115.76900000000001</v>
      </c>
      <c r="N985" s="84">
        <v>118.92700000000001</v>
      </c>
      <c r="O985" s="84">
        <v>100</v>
      </c>
      <c r="P985" s="84">
        <v>97.78</v>
      </c>
      <c r="Q985" s="84">
        <v>94.909000000000006</v>
      </c>
      <c r="R985" s="84">
        <v>90.221999999999994</v>
      </c>
      <c r="S985" s="80">
        <v>91.037000000000006</v>
      </c>
      <c r="T985" s="63"/>
      <c r="AD985" s="57"/>
      <c r="AE985" s="57"/>
      <c r="AF985" s="57"/>
      <c r="AG985" s="57"/>
      <c r="AH985" s="57"/>
      <c r="AI985" s="57"/>
      <c r="AJ985" s="57"/>
      <c r="AK985" s="57"/>
      <c r="AL985" s="57"/>
      <c r="AM985" s="57"/>
      <c r="AN985" s="57"/>
      <c r="AO985" s="57"/>
    </row>
    <row r="986" spans="1:41">
      <c r="A986" s="58" t="s">
        <v>431</v>
      </c>
      <c r="B986" s="65" t="s">
        <v>376</v>
      </c>
      <c r="C986" s="84">
        <v>82.549000000000007</v>
      </c>
      <c r="D986" s="84">
        <v>81.88</v>
      </c>
      <c r="E986" s="84">
        <v>85.7</v>
      </c>
      <c r="F986" s="84">
        <v>95.617999999999995</v>
      </c>
      <c r="G986" s="84">
        <v>99.144000000000005</v>
      </c>
      <c r="H986" s="84">
        <v>95.177999999999997</v>
      </c>
      <c r="I986" s="84">
        <v>94.706000000000003</v>
      </c>
      <c r="J986" s="84">
        <v>106.718</v>
      </c>
      <c r="K986" s="84">
        <v>103.036</v>
      </c>
      <c r="L986" s="84">
        <v>103.681</v>
      </c>
      <c r="M986" s="84">
        <v>109.258</v>
      </c>
      <c r="N986" s="84">
        <v>100.137</v>
      </c>
      <c r="O986" s="84">
        <v>100</v>
      </c>
      <c r="P986" s="84">
        <v>85.043999999999997</v>
      </c>
      <c r="Q986" s="84">
        <v>66.608000000000004</v>
      </c>
      <c r="R986" s="84">
        <v>64.146000000000001</v>
      </c>
      <c r="S986" s="80">
        <v>53.44</v>
      </c>
      <c r="T986" s="63"/>
      <c r="AD986" s="57"/>
      <c r="AE986" s="57"/>
      <c r="AF986" s="57"/>
      <c r="AG986" s="57"/>
      <c r="AH986" s="57"/>
      <c r="AI986" s="57"/>
      <c r="AJ986" s="57"/>
      <c r="AK986" s="57"/>
      <c r="AL986" s="57"/>
      <c r="AM986" s="57"/>
      <c r="AN986" s="57"/>
      <c r="AO986" s="57"/>
    </row>
    <row r="987" spans="1:41">
      <c r="A987" s="58" t="s">
        <v>431</v>
      </c>
      <c r="B987" s="65" t="s">
        <v>377</v>
      </c>
      <c r="C987" s="84">
        <v>37.450000000000003</v>
      </c>
      <c r="D987" s="84">
        <v>56.155999999999999</v>
      </c>
      <c r="E987" s="84">
        <v>80.778999999999996</v>
      </c>
      <c r="F987" s="84">
        <v>107.67</v>
      </c>
      <c r="G987" s="84">
        <v>65.460999999999999</v>
      </c>
      <c r="H987" s="84">
        <v>63.325000000000003</v>
      </c>
      <c r="I987" s="84">
        <v>82.932000000000002</v>
      </c>
      <c r="J987" s="84">
        <v>94.087999999999994</v>
      </c>
      <c r="K987" s="84">
        <v>91.234999999999999</v>
      </c>
      <c r="L987" s="84">
        <v>106.58499999999999</v>
      </c>
      <c r="M987" s="84">
        <v>139.52500000000001</v>
      </c>
      <c r="N987" s="84">
        <v>141.18299999999999</v>
      </c>
      <c r="O987" s="84">
        <v>100</v>
      </c>
      <c r="P987" s="84">
        <v>99.477000000000004</v>
      </c>
      <c r="Q987" s="84">
        <v>98.334999999999994</v>
      </c>
      <c r="R987" s="84">
        <v>92.159000000000006</v>
      </c>
      <c r="S987" s="80">
        <v>98.272999999999996</v>
      </c>
      <c r="T987" s="63"/>
      <c r="AD987" s="57"/>
      <c r="AE987" s="57"/>
      <c r="AF987" s="57"/>
      <c r="AG987" s="57"/>
      <c r="AH987" s="57"/>
      <c r="AI987" s="57"/>
      <c r="AJ987" s="57"/>
      <c r="AK987" s="57"/>
      <c r="AL987" s="57"/>
      <c r="AM987" s="57"/>
      <c r="AN987" s="57"/>
      <c r="AO987" s="57"/>
    </row>
    <row r="988" spans="1:41">
      <c r="A988" s="58" t="s">
        <v>431</v>
      </c>
      <c r="B988" s="65" t="s">
        <v>378</v>
      </c>
      <c r="C988" s="84">
        <v>58.45</v>
      </c>
      <c r="D988" s="84">
        <v>59.786000000000001</v>
      </c>
      <c r="E988" s="84">
        <v>67.512</v>
      </c>
      <c r="F988" s="84">
        <v>63.524000000000001</v>
      </c>
      <c r="G988" s="84">
        <v>74.534999999999997</v>
      </c>
      <c r="H988" s="84">
        <v>83.2</v>
      </c>
      <c r="I988" s="84">
        <v>85.93</v>
      </c>
      <c r="J988" s="84">
        <v>88.924999999999997</v>
      </c>
      <c r="K988" s="84">
        <v>98.899000000000001</v>
      </c>
      <c r="L988" s="84">
        <v>100.23</v>
      </c>
      <c r="M988" s="84">
        <v>104.18600000000001</v>
      </c>
      <c r="N988" s="84">
        <v>121.736</v>
      </c>
      <c r="O988" s="84">
        <v>100</v>
      </c>
      <c r="P988" s="84">
        <v>108.215</v>
      </c>
      <c r="Q988" s="84">
        <v>117.364</v>
      </c>
      <c r="R988" s="84">
        <v>112.46299999999999</v>
      </c>
      <c r="S988" s="80">
        <v>118.44</v>
      </c>
      <c r="T988" s="63"/>
      <c r="AD988" s="57"/>
      <c r="AE988" s="57"/>
      <c r="AF988" s="57"/>
      <c r="AG988" s="57"/>
      <c r="AH988" s="57"/>
      <c r="AI988" s="57"/>
      <c r="AJ988" s="57"/>
      <c r="AK988" s="57"/>
      <c r="AL988" s="57"/>
      <c r="AM988" s="57"/>
      <c r="AN988" s="57"/>
      <c r="AO988" s="57"/>
    </row>
    <row r="989" spans="1:41">
      <c r="A989" s="58" t="s">
        <v>431</v>
      </c>
      <c r="B989" s="65" t="s">
        <v>379</v>
      </c>
      <c r="C989" s="84">
        <v>79.326999999999998</v>
      </c>
      <c r="D989" s="84">
        <v>84.15</v>
      </c>
      <c r="E989" s="84">
        <v>94.117999999999995</v>
      </c>
      <c r="F989" s="84">
        <v>125.502</v>
      </c>
      <c r="G989" s="84">
        <v>109.63200000000001</v>
      </c>
      <c r="H989" s="84">
        <v>89.251000000000005</v>
      </c>
      <c r="I989" s="84">
        <v>79.072999999999993</v>
      </c>
      <c r="J989" s="84">
        <v>89.397999999999996</v>
      </c>
      <c r="K989" s="84">
        <v>92.77</v>
      </c>
      <c r="L989" s="84">
        <v>106.154</v>
      </c>
      <c r="M989" s="84">
        <v>118.467</v>
      </c>
      <c r="N989" s="84">
        <v>116.58199999999999</v>
      </c>
      <c r="O989" s="84">
        <v>100</v>
      </c>
      <c r="P989" s="84">
        <v>100.163</v>
      </c>
      <c r="Q989" s="84">
        <v>105.059</v>
      </c>
      <c r="R989" s="84">
        <v>96.843999999999994</v>
      </c>
      <c r="S989" s="80">
        <v>107.809</v>
      </c>
      <c r="AD989" s="57"/>
      <c r="AE989" s="57"/>
      <c r="AF989" s="57"/>
      <c r="AG989" s="57"/>
      <c r="AH989" s="57"/>
      <c r="AI989" s="57"/>
      <c r="AJ989" s="57"/>
      <c r="AK989" s="57"/>
      <c r="AL989" s="57"/>
      <c r="AM989" s="57"/>
      <c r="AN989" s="57"/>
      <c r="AO989" s="57"/>
    </row>
    <row r="990" spans="1:41">
      <c r="A990" s="58" t="s">
        <v>431</v>
      </c>
      <c r="B990" s="65" t="s">
        <v>380</v>
      </c>
      <c r="C990" s="84">
        <v>65.956999999999994</v>
      </c>
      <c r="D990" s="84">
        <v>75.606999999999999</v>
      </c>
      <c r="E990" s="84">
        <v>76.611000000000004</v>
      </c>
      <c r="F990" s="84">
        <v>86.41</v>
      </c>
      <c r="G990" s="84">
        <v>84.762</v>
      </c>
      <c r="H990" s="84">
        <v>89.652000000000001</v>
      </c>
      <c r="I990" s="84">
        <v>101.154</v>
      </c>
      <c r="J990" s="84">
        <v>119.092</v>
      </c>
      <c r="K990" s="84">
        <v>135.80600000000001</v>
      </c>
      <c r="L990" s="84">
        <v>135.67599999999999</v>
      </c>
      <c r="M990" s="84">
        <v>122.084</v>
      </c>
      <c r="N990" s="84">
        <v>108.828</v>
      </c>
      <c r="O990" s="84">
        <v>100</v>
      </c>
      <c r="P990" s="84">
        <v>102.387</v>
      </c>
      <c r="Q990" s="84">
        <v>101.717</v>
      </c>
      <c r="R990" s="84">
        <v>112.84699999999999</v>
      </c>
      <c r="S990" s="80">
        <v>117.855</v>
      </c>
      <c r="T990" s="63"/>
      <c r="AD990" s="57"/>
      <c r="AE990" s="57"/>
      <c r="AF990" s="57"/>
      <c r="AG990" s="57"/>
      <c r="AH990" s="57"/>
      <c r="AI990" s="57"/>
      <c r="AJ990" s="57"/>
      <c r="AK990" s="57"/>
      <c r="AL990" s="57"/>
      <c r="AM990" s="57"/>
      <c r="AN990" s="57"/>
      <c r="AO990" s="57"/>
    </row>
    <row r="991" spans="1:41">
      <c r="A991" s="58" t="s">
        <v>431</v>
      </c>
      <c r="B991" s="65" t="s">
        <v>381</v>
      </c>
      <c r="C991" s="84">
        <v>66.647000000000006</v>
      </c>
      <c r="D991" s="84">
        <v>74.763999999999996</v>
      </c>
      <c r="E991" s="84">
        <v>75.355000000000004</v>
      </c>
      <c r="F991" s="84">
        <v>84.35</v>
      </c>
      <c r="G991" s="84">
        <v>85.417000000000002</v>
      </c>
      <c r="H991" s="84">
        <v>92.332999999999998</v>
      </c>
      <c r="I991" s="84">
        <v>101.682</v>
      </c>
      <c r="J991" s="84">
        <v>119.9</v>
      </c>
      <c r="K991" s="84">
        <v>136.97499999999999</v>
      </c>
      <c r="L991" s="84">
        <v>139.816</v>
      </c>
      <c r="M991" s="84">
        <v>122.392</v>
      </c>
      <c r="N991" s="84">
        <v>106.47199999999999</v>
      </c>
      <c r="O991" s="84">
        <v>100</v>
      </c>
      <c r="P991" s="84">
        <v>99.724999999999994</v>
      </c>
      <c r="Q991" s="84">
        <v>96.960999999999999</v>
      </c>
      <c r="R991" s="84">
        <v>109.604</v>
      </c>
      <c r="S991" s="80">
        <v>115.40600000000001</v>
      </c>
      <c r="T991" s="63"/>
      <c r="AD991" s="57"/>
      <c r="AE991" s="57"/>
      <c r="AF991" s="57"/>
      <c r="AG991" s="57"/>
      <c r="AH991" s="57"/>
      <c r="AI991" s="57"/>
      <c r="AJ991" s="57"/>
      <c r="AK991" s="57"/>
      <c r="AL991" s="57"/>
      <c r="AM991" s="57"/>
      <c r="AN991" s="57"/>
      <c r="AO991" s="57"/>
    </row>
    <row r="992" spans="1:41">
      <c r="A992" s="58" t="s">
        <v>431</v>
      </c>
      <c r="B992" s="68" t="s">
        <v>444</v>
      </c>
      <c r="C992" s="84">
        <v>76.775999999999996</v>
      </c>
      <c r="D992" s="84">
        <v>87.602000000000004</v>
      </c>
      <c r="E992" s="84">
        <v>87.097999999999999</v>
      </c>
      <c r="F992" s="84">
        <v>89.503</v>
      </c>
      <c r="G992" s="84">
        <v>95.325000000000003</v>
      </c>
      <c r="H992" s="84">
        <v>93.277000000000001</v>
      </c>
      <c r="I992" s="84">
        <v>97.245999999999995</v>
      </c>
      <c r="J992" s="84">
        <v>96.894999999999996</v>
      </c>
      <c r="K992" s="84">
        <v>103.593</v>
      </c>
      <c r="L992" s="84">
        <v>107.21</v>
      </c>
      <c r="M992" s="84">
        <v>110.554</v>
      </c>
      <c r="N992" s="84">
        <v>96.858999999999995</v>
      </c>
      <c r="O992" s="84">
        <v>100</v>
      </c>
      <c r="P992" s="84">
        <v>98.375</v>
      </c>
      <c r="Q992" s="84">
        <v>100.854</v>
      </c>
      <c r="R992" s="84">
        <v>111.97</v>
      </c>
      <c r="S992" s="80">
        <v>112.05</v>
      </c>
      <c r="T992" s="63"/>
      <c r="AD992" s="57"/>
      <c r="AE992" s="57"/>
      <c r="AF992" s="57"/>
      <c r="AG992" s="57"/>
      <c r="AH992" s="57"/>
      <c r="AI992" s="57"/>
      <c r="AJ992" s="57"/>
      <c r="AK992" s="57"/>
      <c r="AL992" s="57"/>
      <c r="AM992" s="57"/>
      <c r="AN992" s="57"/>
      <c r="AO992" s="57"/>
    </row>
    <row r="993" spans="1:41">
      <c r="A993" s="58" t="s">
        <v>431</v>
      </c>
      <c r="B993" s="68" t="s">
        <v>445</v>
      </c>
      <c r="C993" s="84">
        <v>63.832000000000001</v>
      </c>
      <c r="D993" s="84">
        <v>71.203000000000003</v>
      </c>
      <c r="E993" s="84">
        <v>72.094999999999999</v>
      </c>
      <c r="F993" s="84">
        <v>82.91</v>
      </c>
      <c r="G993" s="84">
        <v>82.658000000000001</v>
      </c>
      <c r="H993" s="84">
        <v>92.081999999999994</v>
      </c>
      <c r="I993" s="84">
        <v>102.943</v>
      </c>
      <c r="J993" s="84">
        <v>126.402</v>
      </c>
      <c r="K993" s="84">
        <v>146.41200000000001</v>
      </c>
      <c r="L993" s="84">
        <v>149.035</v>
      </c>
      <c r="M993" s="84">
        <v>125.732</v>
      </c>
      <c r="N993" s="84">
        <v>109.182</v>
      </c>
      <c r="O993" s="84">
        <v>100</v>
      </c>
      <c r="P993" s="84">
        <v>100.105</v>
      </c>
      <c r="Q993" s="84">
        <v>95.855999999999995</v>
      </c>
      <c r="R993" s="84">
        <v>108.94</v>
      </c>
      <c r="S993" s="80">
        <v>116.402</v>
      </c>
      <c r="T993" s="63"/>
      <c r="AD993" s="57"/>
      <c r="AE993" s="57"/>
      <c r="AF993" s="57"/>
      <c r="AG993" s="57"/>
      <c r="AH993" s="57"/>
      <c r="AI993" s="57"/>
      <c r="AJ993" s="57"/>
      <c r="AK993" s="57"/>
      <c r="AL993" s="57"/>
      <c r="AM993" s="57"/>
      <c r="AN993" s="57"/>
      <c r="AO993" s="57"/>
    </row>
    <row r="994" spans="1:41">
      <c r="A994" s="58" t="s">
        <v>431</v>
      </c>
      <c r="B994" s="65" t="s">
        <v>382</v>
      </c>
      <c r="C994" s="84">
        <v>61.366</v>
      </c>
      <c r="D994" s="84">
        <v>81.241</v>
      </c>
      <c r="E994" s="84">
        <v>85.010999999999996</v>
      </c>
      <c r="F994" s="84">
        <v>100.179</v>
      </c>
      <c r="G994" s="84">
        <v>80.375</v>
      </c>
      <c r="H994" s="84">
        <v>71.563000000000002</v>
      </c>
      <c r="I994" s="84">
        <v>97.652000000000001</v>
      </c>
      <c r="J994" s="84">
        <v>113.712</v>
      </c>
      <c r="K994" s="84">
        <v>128.006</v>
      </c>
      <c r="L994" s="84">
        <v>107.753</v>
      </c>
      <c r="M994" s="84">
        <v>120.069</v>
      </c>
      <c r="N994" s="84">
        <v>124.754</v>
      </c>
      <c r="O994" s="84">
        <v>100</v>
      </c>
      <c r="P994" s="84">
        <v>120.367</v>
      </c>
      <c r="Q994" s="84">
        <v>133.73099999999999</v>
      </c>
      <c r="R994" s="84">
        <v>134.815</v>
      </c>
      <c r="S994" s="80">
        <v>134.542</v>
      </c>
      <c r="AD994" s="57"/>
      <c r="AE994" s="57"/>
      <c r="AF994" s="57"/>
      <c r="AG994" s="57"/>
      <c r="AH994" s="57"/>
      <c r="AI994" s="57"/>
      <c r="AJ994" s="57"/>
      <c r="AK994" s="57"/>
      <c r="AL994" s="57"/>
      <c r="AM994" s="57"/>
      <c r="AN994" s="57"/>
      <c r="AO994" s="57"/>
    </row>
    <row r="995" spans="1:41">
      <c r="A995" s="58" t="s">
        <v>431</v>
      </c>
      <c r="B995" s="65" t="s">
        <v>383</v>
      </c>
      <c r="C995" s="84">
        <v>68.319000000000003</v>
      </c>
      <c r="D995" s="84">
        <v>79.840999999999994</v>
      </c>
      <c r="E995" s="84">
        <v>85.786000000000001</v>
      </c>
      <c r="F995" s="84">
        <v>89.281999999999996</v>
      </c>
      <c r="G995" s="84">
        <v>86.15</v>
      </c>
      <c r="H995" s="84">
        <v>82.116</v>
      </c>
      <c r="I995" s="84">
        <v>85.09</v>
      </c>
      <c r="J995" s="84">
        <v>90.224000000000004</v>
      </c>
      <c r="K995" s="84">
        <v>96.400999999999996</v>
      </c>
      <c r="L995" s="84">
        <v>100.03</v>
      </c>
      <c r="M995" s="84">
        <v>107.476</v>
      </c>
      <c r="N995" s="84">
        <v>104.413</v>
      </c>
      <c r="O995" s="84">
        <v>100</v>
      </c>
      <c r="P995" s="84">
        <v>105.108</v>
      </c>
      <c r="Q995" s="84">
        <v>110.706</v>
      </c>
      <c r="R995" s="84">
        <v>115.4</v>
      </c>
      <c r="S995" s="80">
        <v>116.32299999999999</v>
      </c>
      <c r="AD995" s="57"/>
      <c r="AE995" s="57"/>
      <c r="AF995" s="57"/>
      <c r="AG995" s="57"/>
      <c r="AH995" s="57"/>
      <c r="AI995" s="57"/>
      <c r="AJ995" s="57"/>
      <c r="AK995" s="57"/>
      <c r="AL995" s="57"/>
      <c r="AM995" s="57"/>
      <c r="AN995" s="57"/>
      <c r="AO995" s="57"/>
    </row>
    <row r="996" spans="1:41">
      <c r="A996" s="58" t="s">
        <v>431</v>
      </c>
      <c r="B996" s="65" t="s">
        <v>384</v>
      </c>
      <c r="C996" s="84">
        <v>68.959000000000003</v>
      </c>
      <c r="D996" s="84">
        <v>79.212999999999994</v>
      </c>
      <c r="E996" s="84">
        <v>85.200999999999993</v>
      </c>
      <c r="F996" s="84">
        <v>91.722999999999999</v>
      </c>
      <c r="G996" s="84">
        <v>90.918000000000006</v>
      </c>
      <c r="H996" s="84">
        <v>86.385000000000005</v>
      </c>
      <c r="I996" s="84">
        <v>90.004000000000005</v>
      </c>
      <c r="J996" s="84">
        <v>93.286000000000001</v>
      </c>
      <c r="K996" s="84">
        <v>98.757000000000005</v>
      </c>
      <c r="L996" s="84">
        <v>100.265</v>
      </c>
      <c r="M996" s="84">
        <v>107.407</v>
      </c>
      <c r="N996" s="84">
        <v>102.029</v>
      </c>
      <c r="O996" s="84">
        <v>100</v>
      </c>
      <c r="P996" s="84">
        <v>105.672</v>
      </c>
      <c r="Q996" s="84">
        <v>108.29900000000001</v>
      </c>
      <c r="R996" s="84">
        <v>112.292</v>
      </c>
      <c r="S996" s="80">
        <v>111.643</v>
      </c>
      <c r="T996" s="63"/>
      <c r="AD996" s="57"/>
      <c r="AE996" s="57"/>
      <c r="AF996" s="57"/>
      <c r="AG996" s="57"/>
      <c r="AH996" s="57"/>
      <c r="AI996" s="57"/>
      <c r="AJ996" s="57"/>
      <c r="AK996" s="57"/>
      <c r="AL996" s="57"/>
      <c r="AM996" s="57"/>
      <c r="AN996" s="57"/>
      <c r="AO996" s="57"/>
    </row>
    <row r="997" spans="1:41">
      <c r="A997" s="58" t="s">
        <v>431</v>
      </c>
      <c r="B997" s="65" t="s">
        <v>385</v>
      </c>
      <c r="C997" s="84">
        <v>100.346</v>
      </c>
      <c r="D997" s="84">
        <v>108.741</v>
      </c>
      <c r="E997" s="84">
        <v>114.313</v>
      </c>
      <c r="F997" s="84">
        <v>108.729</v>
      </c>
      <c r="G997" s="84">
        <v>109.854</v>
      </c>
      <c r="H997" s="84">
        <v>113.911</v>
      </c>
      <c r="I997" s="84">
        <v>131.18100000000001</v>
      </c>
      <c r="J997" s="84">
        <v>123.35599999999999</v>
      </c>
      <c r="K997" s="84">
        <v>127.361</v>
      </c>
      <c r="L997" s="84">
        <v>126.48699999999999</v>
      </c>
      <c r="M997" s="84">
        <v>119.68600000000001</v>
      </c>
      <c r="N997" s="84">
        <v>79.251000000000005</v>
      </c>
      <c r="O997" s="84">
        <v>100</v>
      </c>
      <c r="P997" s="84">
        <v>116.559</v>
      </c>
      <c r="Q997" s="84">
        <v>112.09099999999999</v>
      </c>
      <c r="R997" s="84">
        <v>116.89400000000001</v>
      </c>
      <c r="S997" s="80">
        <v>115.44199999999999</v>
      </c>
      <c r="T997" s="63"/>
      <c r="AD997" s="57"/>
      <c r="AE997" s="57"/>
      <c r="AF997" s="57"/>
      <c r="AG997" s="57"/>
      <c r="AH997" s="57"/>
      <c r="AI997" s="57"/>
      <c r="AJ997" s="57"/>
      <c r="AK997" s="57"/>
      <c r="AL997" s="57"/>
      <c r="AM997" s="57"/>
      <c r="AN997" s="57"/>
      <c r="AO997" s="57"/>
    </row>
    <row r="998" spans="1:41">
      <c r="A998" s="58" t="s">
        <v>431</v>
      </c>
      <c r="B998" s="65" t="s">
        <v>386</v>
      </c>
      <c r="C998" s="84">
        <v>64.543999999999997</v>
      </c>
      <c r="D998" s="84">
        <v>88.174000000000007</v>
      </c>
      <c r="E998" s="84">
        <v>110.211</v>
      </c>
      <c r="F998" s="84">
        <v>124.566</v>
      </c>
      <c r="G998" s="84">
        <v>115.425</v>
      </c>
      <c r="H998" s="84">
        <v>110.962</v>
      </c>
      <c r="I998" s="84">
        <v>99.477000000000004</v>
      </c>
      <c r="J998" s="84">
        <v>92.102999999999994</v>
      </c>
      <c r="K998" s="84">
        <v>91.799000000000007</v>
      </c>
      <c r="L998" s="84">
        <v>88.135000000000005</v>
      </c>
      <c r="M998" s="84">
        <v>97.856999999999999</v>
      </c>
      <c r="N998" s="84">
        <v>108.601</v>
      </c>
      <c r="O998" s="84">
        <v>100</v>
      </c>
      <c r="P998" s="84">
        <v>115.038</v>
      </c>
      <c r="Q998" s="84">
        <v>118.4</v>
      </c>
      <c r="R998" s="84">
        <v>116.508</v>
      </c>
      <c r="S998" s="80">
        <v>119.465</v>
      </c>
      <c r="T998" s="63"/>
      <c r="AD998" s="57"/>
      <c r="AE998" s="57"/>
      <c r="AF998" s="57"/>
      <c r="AG998" s="57"/>
      <c r="AH998" s="57"/>
      <c r="AI998" s="57"/>
      <c r="AJ998" s="57"/>
      <c r="AK998" s="57"/>
      <c r="AL998" s="57"/>
      <c r="AM998" s="57"/>
      <c r="AN998" s="57"/>
      <c r="AO998" s="57"/>
    </row>
    <row r="999" spans="1:41">
      <c r="A999" s="58" t="s">
        <v>431</v>
      </c>
      <c r="B999" s="65" t="s">
        <v>387</v>
      </c>
      <c r="C999" s="84">
        <v>65.061000000000007</v>
      </c>
      <c r="D999" s="84">
        <v>72.622</v>
      </c>
      <c r="E999" s="84">
        <v>75.085999999999999</v>
      </c>
      <c r="F999" s="84">
        <v>81.808000000000007</v>
      </c>
      <c r="G999" s="84">
        <v>82.545000000000002</v>
      </c>
      <c r="H999" s="84">
        <v>76.620999999999995</v>
      </c>
      <c r="I999" s="84">
        <v>81.400999999999996</v>
      </c>
      <c r="J999" s="84">
        <v>88.799000000000007</v>
      </c>
      <c r="K999" s="84">
        <v>95.763999999999996</v>
      </c>
      <c r="L999" s="84">
        <v>98.771000000000001</v>
      </c>
      <c r="M999" s="84">
        <v>107.547</v>
      </c>
      <c r="N999" s="84">
        <v>104.167</v>
      </c>
      <c r="O999" s="84">
        <v>100</v>
      </c>
      <c r="P999" s="84">
        <v>101.964</v>
      </c>
      <c r="Q999" s="84">
        <v>105.535</v>
      </c>
      <c r="R999" s="84">
        <v>110.648</v>
      </c>
      <c r="S999" s="80">
        <v>109.361</v>
      </c>
      <c r="AD999" s="57"/>
      <c r="AE999" s="57"/>
      <c r="AF999" s="57"/>
      <c r="AG999" s="57"/>
      <c r="AH999" s="57"/>
      <c r="AI999" s="57"/>
      <c r="AJ999" s="57"/>
      <c r="AK999" s="57"/>
      <c r="AL999" s="57"/>
      <c r="AM999" s="57"/>
      <c r="AN999" s="57"/>
      <c r="AO999" s="57"/>
    </row>
    <row r="1000" spans="1:41">
      <c r="A1000" s="58" t="s">
        <v>431</v>
      </c>
      <c r="B1000" s="65" t="s">
        <v>388</v>
      </c>
      <c r="C1000" s="84">
        <v>50.088999999999999</v>
      </c>
      <c r="D1000" s="84">
        <v>57.231000000000002</v>
      </c>
      <c r="E1000" s="84">
        <v>62.182000000000002</v>
      </c>
      <c r="F1000" s="84">
        <v>59.097999999999999</v>
      </c>
      <c r="G1000" s="84">
        <v>57.536999999999999</v>
      </c>
      <c r="H1000" s="84">
        <v>57.875</v>
      </c>
      <c r="I1000" s="84">
        <v>62.247999999999998</v>
      </c>
      <c r="J1000" s="84">
        <v>73.436999999999998</v>
      </c>
      <c r="K1000" s="84">
        <v>84.929000000000002</v>
      </c>
      <c r="L1000" s="84">
        <v>89.870999999999995</v>
      </c>
      <c r="M1000" s="84">
        <v>103.914</v>
      </c>
      <c r="N1000" s="84">
        <v>104.508</v>
      </c>
      <c r="O1000" s="84">
        <v>100</v>
      </c>
      <c r="P1000" s="84">
        <v>104.759</v>
      </c>
      <c r="Q1000" s="84">
        <v>116.848</v>
      </c>
      <c r="R1000" s="84">
        <v>128.291</v>
      </c>
      <c r="S1000" s="80">
        <v>133.10300000000001</v>
      </c>
      <c r="AD1000" s="57"/>
      <c r="AE1000" s="57"/>
      <c r="AF1000" s="57"/>
      <c r="AG1000" s="57"/>
      <c r="AH1000" s="57"/>
      <c r="AI1000" s="57"/>
      <c r="AJ1000" s="57"/>
      <c r="AK1000" s="57"/>
      <c r="AL1000" s="57"/>
      <c r="AM1000" s="57"/>
      <c r="AN1000" s="57"/>
      <c r="AO1000" s="57"/>
    </row>
    <row r="1001" spans="1:41">
      <c r="A1001" s="58" t="s">
        <v>431</v>
      </c>
      <c r="B1001" s="65" t="s">
        <v>389</v>
      </c>
      <c r="C1001" s="84">
        <v>81.03</v>
      </c>
      <c r="D1001" s="84">
        <v>99.400999999999996</v>
      </c>
      <c r="E1001" s="84">
        <v>105.98699999999999</v>
      </c>
      <c r="F1001" s="84">
        <v>107.041</v>
      </c>
      <c r="G1001" s="84">
        <v>96.655000000000001</v>
      </c>
      <c r="H1001" s="84">
        <v>90.382999999999996</v>
      </c>
      <c r="I1001" s="84">
        <v>90.563000000000002</v>
      </c>
      <c r="J1001" s="84">
        <v>95.599000000000004</v>
      </c>
      <c r="K1001" s="84">
        <v>99.366</v>
      </c>
      <c r="L1001" s="84">
        <v>107.33799999999999</v>
      </c>
      <c r="M1001" s="84">
        <v>110.387</v>
      </c>
      <c r="N1001" s="84">
        <v>110.30800000000001</v>
      </c>
      <c r="O1001" s="84">
        <v>100</v>
      </c>
      <c r="P1001" s="84">
        <v>103.965</v>
      </c>
      <c r="Q1001" s="84">
        <v>111.997</v>
      </c>
      <c r="R1001" s="84">
        <v>113.31</v>
      </c>
      <c r="S1001" s="80">
        <v>115.181</v>
      </c>
      <c r="T1001" s="63"/>
      <c r="AD1001" s="57"/>
      <c r="AE1001" s="57"/>
      <c r="AF1001" s="57"/>
      <c r="AG1001" s="57"/>
      <c r="AH1001" s="57"/>
      <c r="AI1001" s="57"/>
      <c r="AJ1001" s="57"/>
      <c r="AK1001" s="57"/>
      <c r="AL1001" s="57"/>
      <c r="AM1001" s="57"/>
      <c r="AN1001" s="57"/>
      <c r="AO1001" s="57"/>
    </row>
    <row r="1002" spans="1:41">
      <c r="A1002" s="58" t="s">
        <v>431</v>
      </c>
      <c r="B1002" s="65" t="s">
        <v>390</v>
      </c>
      <c r="C1002" s="84">
        <v>82.222999999999999</v>
      </c>
      <c r="D1002" s="84">
        <v>101.36499999999999</v>
      </c>
      <c r="E1002" s="84">
        <v>108.32899999999999</v>
      </c>
      <c r="F1002" s="84">
        <v>109.95399999999999</v>
      </c>
      <c r="G1002" s="84">
        <v>99.152000000000001</v>
      </c>
      <c r="H1002" s="84">
        <v>93.161000000000001</v>
      </c>
      <c r="I1002" s="84">
        <v>92.539000000000001</v>
      </c>
      <c r="J1002" s="84">
        <v>96.010999999999996</v>
      </c>
      <c r="K1002" s="84">
        <v>99.334999999999994</v>
      </c>
      <c r="L1002" s="84">
        <v>104.693</v>
      </c>
      <c r="M1002" s="84">
        <v>109.492</v>
      </c>
      <c r="N1002" s="84">
        <v>108.883</v>
      </c>
      <c r="O1002" s="84">
        <v>100</v>
      </c>
      <c r="P1002" s="84">
        <v>105.008</v>
      </c>
      <c r="Q1002" s="84">
        <v>111.048</v>
      </c>
      <c r="R1002" s="84">
        <v>113.5</v>
      </c>
      <c r="S1002" s="80">
        <v>114.623</v>
      </c>
      <c r="T1002" s="63"/>
      <c r="AD1002" s="57"/>
      <c r="AE1002" s="57"/>
      <c r="AF1002" s="57"/>
      <c r="AG1002" s="57"/>
      <c r="AH1002" s="57"/>
      <c r="AI1002" s="57"/>
      <c r="AJ1002" s="57"/>
      <c r="AK1002" s="57"/>
      <c r="AL1002" s="57"/>
      <c r="AM1002" s="57"/>
      <c r="AN1002" s="57"/>
      <c r="AO1002" s="57"/>
    </row>
    <row r="1003" spans="1:41">
      <c r="A1003" s="58" t="s">
        <v>431</v>
      </c>
      <c r="B1003" s="65" t="s">
        <v>391</v>
      </c>
      <c r="C1003" s="84">
        <v>74.731999999999999</v>
      </c>
      <c r="D1003" s="84">
        <v>88.991</v>
      </c>
      <c r="E1003" s="84">
        <v>93.55</v>
      </c>
      <c r="F1003" s="84">
        <v>91.549000000000007</v>
      </c>
      <c r="G1003" s="84">
        <v>83.37</v>
      </c>
      <c r="H1003" s="84">
        <v>75.613</v>
      </c>
      <c r="I1003" s="84">
        <v>80.021000000000001</v>
      </c>
      <c r="J1003" s="84">
        <v>93.22</v>
      </c>
      <c r="K1003" s="84">
        <v>99.278999999999996</v>
      </c>
      <c r="L1003" s="84">
        <v>120.68300000000001</v>
      </c>
      <c r="M1003" s="84">
        <v>114.81699999999999</v>
      </c>
      <c r="N1003" s="84">
        <v>117.39400000000001</v>
      </c>
      <c r="O1003" s="84">
        <v>100</v>
      </c>
      <c r="P1003" s="84">
        <v>98.808999999999997</v>
      </c>
      <c r="Q1003" s="84">
        <v>116.587</v>
      </c>
      <c r="R1003" s="84">
        <v>112.36</v>
      </c>
      <c r="S1003" s="80">
        <v>117.878</v>
      </c>
      <c r="AD1003" s="57"/>
      <c r="AE1003" s="57"/>
      <c r="AF1003" s="57"/>
      <c r="AG1003" s="57"/>
      <c r="AH1003" s="57"/>
      <c r="AI1003" s="57"/>
      <c r="AJ1003" s="57"/>
      <c r="AK1003" s="57"/>
      <c r="AL1003" s="57"/>
      <c r="AM1003" s="57"/>
      <c r="AN1003" s="57"/>
      <c r="AO1003" s="57"/>
    </row>
    <row r="1004" spans="1:41">
      <c r="A1004" s="58" t="s">
        <v>431</v>
      </c>
      <c r="B1004" s="65" t="s">
        <v>392</v>
      </c>
      <c r="C1004" s="84">
        <v>60.113</v>
      </c>
      <c r="D1004" s="84">
        <v>64.84</v>
      </c>
      <c r="E1004" s="84">
        <v>66.372</v>
      </c>
      <c r="F1004" s="84">
        <v>69.462000000000003</v>
      </c>
      <c r="G1004" s="84">
        <v>75.656999999999996</v>
      </c>
      <c r="H1004" s="84">
        <v>81.085999999999999</v>
      </c>
      <c r="I1004" s="84">
        <v>84.543000000000006</v>
      </c>
      <c r="J1004" s="84">
        <v>85.597999999999999</v>
      </c>
      <c r="K1004" s="84">
        <v>90.284000000000006</v>
      </c>
      <c r="L1004" s="84">
        <v>91.786000000000001</v>
      </c>
      <c r="M1004" s="84">
        <v>96.325000000000003</v>
      </c>
      <c r="N1004" s="84">
        <v>97.012</v>
      </c>
      <c r="O1004" s="84">
        <v>100</v>
      </c>
      <c r="P1004" s="84">
        <v>104.70399999999999</v>
      </c>
      <c r="Q1004" s="84">
        <v>108.548</v>
      </c>
      <c r="R1004" s="84">
        <v>114.527</v>
      </c>
      <c r="S1004" s="80">
        <v>119.583</v>
      </c>
      <c r="AD1004" s="57"/>
      <c r="AE1004" s="57"/>
      <c r="AF1004" s="57"/>
      <c r="AG1004" s="57"/>
      <c r="AH1004" s="57"/>
      <c r="AI1004" s="57"/>
      <c r="AJ1004" s="57"/>
      <c r="AK1004" s="57"/>
      <c r="AL1004" s="57"/>
      <c r="AM1004" s="57"/>
      <c r="AN1004" s="57"/>
      <c r="AO1004" s="57"/>
    </row>
    <row r="1005" spans="1:41">
      <c r="A1005" s="58" t="s">
        <v>431</v>
      </c>
      <c r="B1005" s="65" t="s">
        <v>393</v>
      </c>
      <c r="C1005" s="84">
        <v>59.865000000000002</v>
      </c>
      <c r="D1005" s="84">
        <v>67.734999999999999</v>
      </c>
      <c r="E1005" s="84">
        <v>71.25</v>
      </c>
      <c r="F1005" s="84">
        <v>74.802999999999997</v>
      </c>
      <c r="G1005" s="84">
        <v>81.674000000000007</v>
      </c>
      <c r="H1005" s="84">
        <v>86.173000000000002</v>
      </c>
      <c r="I1005" s="84">
        <v>83.884</v>
      </c>
      <c r="J1005" s="84">
        <v>76.878</v>
      </c>
      <c r="K1005" s="84">
        <v>80.099000000000004</v>
      </c>
      <c r="L1005" s="84">
        <v>86.174999999999997</v>
      </c>
      <c r="M1005" s="84">
        <v>94.13</v>
      </c>
      <c r="N1005" s="84">
        <v>97.573999999999998</v>
      </c>
      <c r="O1005" s="84">
        <v>100</v>
      </c>
      <c r="P1005" s="84">
        <v>112.85299999999999</v>
      </c>
      <c r="Q1005" s="84">
        <v>117.072</v>
      </c>
      <c r="R1005" s="84">
        <v>120.914</v>
      </c>
      <c r="S1005" s="80">
        <v>130.63</v>
      </c>
      <c r="AD1005" s="57"/>
      <c r="AE1005" s="57"/>
      <c r="AF1005" s="57"/>
      <c r="AG1005" s="57"/>
      <c r="AH1005" s="57"/>
      <c r="AI1005" s="57"/>
      <c r="AJ1005" s="57"/>
      <c r="AK1005" s="57"/>
      <c r="AL1005" s="57"/>
      <c r="AM1005" s="57"/>
      <c r="AN1005" s="57"/>
      <c r="AO1005" s="57"/>
    </row>
    <row r="1006" spans="1:41">
      <c r="A1006" s="58" t="s">
        <v>431</v>
      </c>
      <c r="B1006" s="65" t="s">
        <v>394</v>
      </c>
      <c r="C1006" s="84">
        <v>60.143000000000001</v>
      </c>
      <c r="D1006" s="84">
        <v>64.426000000000002</v>
      </c>
      <c r="E1006" s="84">
        <v>65.682000000000002</v>
      </c>
      <c r="F1006" s="84">
        <v>68.706000000000003</v>
      </c>
      <c r="G1006" s="84">
        <v>74.805999999999997</v>
      </c>
      <c r="H1006" s="84">
        <v>80.369</v>
      </c>
      <c r="I1006" s="84">
        <v>84.649000000000001</v>
      </c>
      <c r="J1006" s="84">
        <v>86.879000000000005</v>
      </c>
      <c r="K1006" s="84">
        <v>91.78</v>
      </c>
      <c r="L1006" s="84">
        <v>92.608000000000004</v>
      </c>
      <c r="M1006" s="84">
        <v>96.646000000000001</v>
      </c>
      <c r="N1006" s="84">
        <v>96.93</v>
      </c>
      <c r="O1006" s="84">
        <v>100</v>
      </c>
      <c r="P1006" s="84">
        <v>103.52800000000001</v>
      </c>
      <c r="Q1006" s="84">
        <v>107.318</v>
      </c>
      <c r="R1006" s="84">
        <v>113.607</v>
      </c>
      <c r="S1006" s="80">
        <v>117.986</v>
      </c>
      <c r="T1006" s="63"/>
      <c r="AD1006" s="57"/>
      <c r="AE1006" s="57"/>
      <c r="AF1006" s="57"/>
      <c r="AG1006" s="57"/>
      <c r="AH1006" s="57"/>
      <c r="AI1006" s="57"/>
      <c r="AJ1006" s="57"/>
      <c r="AK1006" s="57"/>
      <c r="AL1006" s="57"/>
      <c r="AM1006" s="57"/>
      <c r="AN1006" s="57"/>
      <c r="AO1006" s="57"/>
    </row>
    <row r="1007" spans="1:41">
      <c r="A1007" s="58" t="s">
        <v>431</v>
      </c>
      <c r="B1007" s="65" t="s">
        <v>395</v>
      </c>
      <c r="C1007" s="84">
        <v>63.970999999999997</v>
      </c>
      <c r="D1007" s="84">
        <v>68.725999999999999</v>
      </c>
      <c r="E1007" s="84">
        <v>69.730999999999995</v>
      </c>
      <c r="F1007" s="84">
        <v>72.183000000000007</v>
      </c>
      <c r="G1007" s="84">
        <v>78.317999999999998</v>
      </c>
      <c r="H1007" s="84">
        <v>83.257000000000005</v>
      </c>
      <c r="I1007" s="84">
        <v>90.272000000000006</v>
      </c>
      <c r="J1007" s="84">
        <v>94.361999999999995</v>
      </c>
      <c r="K1007" s="84">
        <v>96.811999999999998</v>
      </c>
      <c r="L1007" s="84">
        <v>94.873000000000005</v>
      </c>
      <c r="M1007" s="84">
        <v>99.418000000000006</v>
      </c>
      <c r="N1007" s="84">
        <v>98.747</v>
      </c>
      <c r="O1007" s="84">
        <v>100</v>
      </c>
      <c r="P1007" s="84">
        <v>101.535</v>
      </c>
      <c r="Q1007" s="84">
        <v>104.85899999999999</v>
      </c>
      <c r="R1007" s="84">
        <v>110.505</v>
      </c>
      <c r="S1007" s="80">
        <v>113.67400000000001</v>
      </c>
      <c r="T1007" s="63"/>
      <c r="AD1007" s="57"/>
      <c r="AE1007" s="57"/>
      <c r="AF1007" s="57"/>
      <c r="AG1007" s="57"/>
      <c r="AH1007" s="57"/>
      <c r="AI1007" s="57"/>
      <c r="AJ1007" s="57"/>
      <c r="AK1007" s="57"/>
      <c r="AL1007" s="57"/>
      <c r="AM1007" s="57"/>
      <c r="AN1007" s="57"/>
      <c r="AO1007" s="57"/>
    </row>
    <row r="1008" spans="1:41">
      <c r="A1008" s="58" t="s">
        <v>431</v>
      </c>
      <c r="B1008" s="65" t="s">
        <v>446</v>
      </c>
      <c r="C1008" s="84">
        <v>57.527000000000001</v>
      </c>
      <c r="D1008" s="84">
        <v>61.597000000000001</v>
      </c>
      <c r="E1008" s="84">
        <v>63.095999999999997</v>
      </c>
      <c r="F1008" s="84">
        <v>65.834000000000003</v>
      </c>
      <c r="G1008" s="84">
        <v>70.363</v>
      </c>
      <c r="H1008" s="84">
        <v>78.009</v>
      </c>
      <c r="I1008" s="84">
        <v>80.466999999999999</v>
      </c>
      <c r="J1008" s="84">
        <v>81.563999999999993</v>
      </c>
      <c r="K1008" s="84">
        <v>89.001999999999995</v>
      </c>
      <c r="L1008" s="84">
        <v>91.8</v>
      </c>
      <c r="M1008" s="84">
        <v>94.334999999999994</v>
      </c>
      <c r="N1008" s="84">
        <v>95.201999999999998</v>
      </c>
      <c r="O1008" s="84">
        <v>100</v>
      </c>
      <c r="P1008" s="84">
        <v>105.157</v>
      </c>
      <c r="Q1008" s="84">
        <v>109.331</v>
      </c>
      <c r="R1008" s="84">
        <v>118.66800000000001</v>
      </c>
      <c r="S1008" s="80">
        <v>129.49600000000001</v>
      </c>
      <c r="T1008" s="63"/>
      <c r="AD1008" s="57"/>
      <c r="AE1008" s="57"/>
      <c r="AF1008" s="57"/>
      <c r="AG1008" s="57"/>
      <c r="AH1008" s="57"/>
      <c r="AI1008" s="57"/>
      <c r="AJ1008" s="57"/>
      <c r="AK1008" s="57"/>
      <c r="AL1008" s="57"/>
      <c r="AM1008" s="57"/>
      <c r="AN1008" s="57"/>
      <c r="AO1008" s="57"/>
    </row>
    <row r="1009" spans="1:41">
      <c r="A1009" s="58" t="s">
        <v>431</v>
      </c>
      <c r="B1009" s="65" t="s">
        <v>447</v>
      </c>
      <c r="C1009" s="84">
        <v>64.738</v>
      </c>
      <c r="D1009" s="84">
        <v>69.997</v>
      </c>
      <c r="E1009" s="84">
        <v>68.353999999999999</v>
      </c>
      <c r="F1009" s="84">
        <v>70.444000000000003</v>
      </c>
      <c r="G1009" s="84">
        <v>76.054000000000002</v>
      </c>
      <c r="H1009" s="84">
        <v>76.465999999999994</v>
      </c>
      <c r="I1009" s="84">
        <v>81.241</v>
      </c>
      <c r="J1009" s="84">
        <v>82.902000000000001</v>
      </c>
      <c r="K1009" s="84">
        <v>91.545000000000002</v>
      </c>
      <c r="L1009" s="84">
        <v>94.361000000000004</v>
      </c>
      <c r="M1009" s="84">
        <v>98.989000000000004</v>
      </c>
      <c r="N1009" s="84">
        <v>98.403999999999996</v>
      </c>
      <c r="O1009" s="84">
        <v>100</v>
      </c>
      <c r="P1009" s="84">
        <v>103.53700000000001</v>
      </c>
      <c r="Q1009" s="84">
        <v>108.304</v>
      </c>
      <c r="R1009" s="84">
        <v>110.5</v>
      </c>
      <c r="S1009" s="80">
        <v>109.931</v>
      </c>
      <c r="T1009" s="63"/>
      <c r="AD1009" s="57"/>
      <c r="AE1009" s="57"/>
      <c r="AF1009" s="57"/>
      <c r="AG1009" s="57"/>
      <c r="AH1009" s="57"/>
      <c r="AI1009" s="57"/>
      <c r="AJ1009" s="57"/>
      <c r="AK1009" s="57"/>
      <c r="AL1009" s="57"/>
      <c r="AM1009" s="57"/>
      <c r="AN1009" s="57"/>
      <c r="AO1009" s="57"/>
    </row>
    <row r="1010" spans="1:41">
      <c r="A1010" s="58" t="s">
        <v>431</v>
      </c>
      <c r="B1010" s="65" t="s">
        <v>397</v>
      </c>
      <c r="C1010" s="84">
        <v>48.692</v>
      </c>
      <c r="D1010" s="84">
        <v>50.646000000000001</v>
      </c>
      <c r="E1010" s="84">
        <v>55.210999999999999</v>
      </c>
      <c r="F1010" s="84">
        <v>63.115000000000002</v>
      </c>
      <c r="G1010" s="84">
        <v>76.245999999999995</v>
      </c>
      <c r="H1010" s="84">
        <v>81.531999999999996</v>
      </c>
      <c r="I1010" s="84">
        <v>80.421999999999997</v>
      </c>
      <c r="J1010" s="84">
        <v>79.572000000000003</v>
      </c>
      <c r="K1010" s="84">
        <v>80.790000000000006</v>
      </c>
      <c r="L1010" s="84">
        <v>83.736999999999995</v>
      </c>
      <c r="M1010" s="84">
        <v>91.183999999999997</v>
      </c>
      <c r="N1010" s="84">
        <v>94.322000000000003</v>
      </c>
      <c r="O1010" s="84">
        <v>100</v>
      </c>
      <c r="P1010" s="84">
        <v>105.72799999999999</v>
      </c>
      <c r="Q1010" s="84">
        <v>108.935</v>
      </c>
      <c r="R1010" s="84">
        <v>109.602</v>
      </c>
      <c r="S1010" s="80">
        <v>97.278000000000006</v>
      </c>
      <c r="AD1010" s="57"/>
      <c r="AE1010" s="57"/>
      <c r="AF1010" s="57"/>
      <c r="AG1010" s="57"/>
      <c r="AH1010" s="57"/>
      <c r="AI1010" s="57"/>
      <c r="AJ1010" s="57"/>
      <c r="AK1010" s="57"/>
      <c r="AL1010" s="57"/>
      <c r="AM1010" s="57"/>
      <c r="AN1010" s="57"/>
      <c r="AO1010" s="57"/>
    </row>
    <row r="1011" spans="1:41">
      <c r="A1011" s="58" t="s">
        <v>431</v>
      </c>
      <c r="B1011" s="65" t="s">
        <v>398</v>
      </c>
      <c r="C1011" s="84">
        <v>77.552999999999997</v>
      </c>
      <c r="D1011" s="84">
        <v>80.47</v>
      </c>
      <c r="E1011" s="84">
        <v>80.156999999999996</v>
      </c>
      <c r="F1011" s="84">
        <v>83.063000000000002</v>
      </c>
      <c r="G1011" s="84">
        <v>85.531999999999996</v>
      </c>
      <c r="H1011" s="84">
        <v>87.911000000000001</v>
      </c>
      <c r="I1011" s="84">
        <v>90.623000000000005</v>
      </c>
      <c r="J1011" s="84">
        <v>92.471000000000004</v>
      </c>
      <c r="K1011" s="84">
        <v>96.3</v>
      </c>
      <c r="L1011" s="84">
        <v>100.30500000000001</v>
      </c>
      <c r="M1011" s="84">
        <v>102.8</v>
      </c>
      <c r="N1011" s="84">
        <v>102.33</v>
      </c>
      <c r="O1011" s="84">
        <v>100</v>
      </c>
      <c r="P1011" s="84">
        <v>98.465999999999994</v>
      </c>
      <c r="Q1011" s="84">
        <v>101.946</v>
      </c>
      <c r="R1011" s="84">
        <v>105.965</v>
      </c>
      <c r="S1011" s="80">
        <v>109.69799999999999</v>
      </c>
      <c r="AD1011" s="57"/>
      <c r="AE1011" s="57"/>
      <c r="AF1011" s="57"/>
      <c r="AG1011" s="57"/>
      <c r="AH1011" s="57"/>
      <c r="AI1011" s="57"/>
      <c r="AJ1011" s="57"/>
      <c r="AK1011" s="57"/>
      <c r="AL1011" s="57"/>
      <c r="AM1011" s="57"/>
      <c r="AN1011" s="57"/>
      <c r="AO1011" s="57"/>
    </row>
    <row r="1012" spans="1:41">
      <c r="A1012" s="58" t="s">
        <v>431</v>
      </c>
      <c r="B1012" s="65" t="s">
        <v>399</v>
      </c>
      <c r="C1012" s="84">
        <v>59.215000000000003</v>
      </c>
      <c r="D1012" s="84">
        <v>63.551000000000002</v>
      </c>
      <c r="E1012" s="84">
        <v>63.62</v>
      </c>
      <c r="F1012" s="84">
        <v>60.887999999999998</v>
      </c>
      <c r="G1012" s="84">
        <v>69.86</v>
      </c>
      <c r="H1012" s="84">
        <v>71.387</v>
      </c>
      <c r="I1012" s="84">
        <v>76.191999999999993</v>
      </c>
      <c r="J1012" s="84">
        <v>78.411000000000001</v>
      </c>
      <c r="K1012" s="84">
        <v>81.567999999999998</v>
      </c>
      <c r="L1012" s="84">
        <v>90.900999999999996</v>
      </c>
      <c r="M1012" s="84">
        <v>100.111</v>
      </c>
      <c r="N1012" s="84">
        <v>101.489</v>
      </c>
      <c r="O1012" s="84">
        <v>100</v>
      </c>
      <c r="P1012" s="84">
        <v>94.838999999999999</v>
      </c>
      <c r="Q1012" s="84">
        <v>99.519000000000005</v>
      </c>
      <c r="R1012" s="84">
        <v>102.78100000000001</v>
      </c>
      <c r="S1012" s="80">
        <v>104.401</v>
      </c>
      <c r="T1012" s="63"/>
      <c r="AD1012" s="57"/>
      <c r="AE1012" s="57"/>
      <c r="AF1012" s="57"/>
      <c r="AG1012" s="57"/>
      <c r="AH1012" s="57"/>
      <c r="AI1012" s="57"/>
      <c r="AJ1012" s="57"/>
      <c r="AK1012" s="57"/>
      <c r="AL1012" s="57"/>
      <c r="AM1012" s="57"/>
      <c r="AN1012" s="57"/>
      <c r="AO1012" s="57"/>
    </row>
    <row r="1013" spans="1:41">
      <c r="A1013" s="58" t="s">
        <v>431</v>
      </c>
      <c r="B1013" s="65" t="s">
        <v>400</v>
      </c>
      <c r="C1013" s="84">
        <v>56.987000000000002</v>
      </c>
      <c r="D1013" s="84">
        <v>60.531999999999996</v>
      </c>
      <c r="E1013" s="84">
        <v>60.319000000000003</v>
      </c>
      <c r="F1013" s="84">
        <v>61.649000000000001</v>
      </c>
      <c r="G1013" s="84">
        <v>71.69</v>
      </c>
      <c r="H1013" s="84">
        <v>77.117999999999995</v>
      </c>
      <c r="I1013" s="84">
        <v>78.912000000000006</v>
      </c>
      <c r="J1013" s="84">
        <v>77.213999999999999</v>
      </c>
      <c r="K1013" s="84">
        <v>81.302000000000007</v>
      </c>
      <c r="L1013" s="84">
        <v>85.75</v>
      </c>
      <c r="M1013" s="84">
        <v>99.713999999999999</v>
      </c>
      <c r="N1013" s="84">
        <v>100.676</v>
      </c>
      <c r="O1013" s="84">
        <v>100</v>
      </c>
      <c r="P1013" s="84">
        <v>98.197999999999993</v>
      </c>
      <c r="Q1013" s="84">
        <v>101.188</v>
      </c>
      <c r="R1013" s="84">
        <v>104.258</v>
      </c>
      <c r="S1013" s="80">
        <v>105.527</v>
      </c>
      <c r="T1013" s="63"/>
      <c r="AD1013" s="57"/>
      <c r="AE1013" s="57"/>
      <c r="AF1013" s="57"/>
      <c r="AG1013" s="57"/>
      <c r="AH1013" s="57"/>
      <c r="AI1013" s="57"/>
      <c r="AJ1013" s="57"/>
      <c r="AK1013" s="57"/>
      <c r="AL1013" s="57"/>
      <c r="AM1013" s="57"/>
      <c r="AN1013" s="57"/>
      <c r="AO1013" s="57"/>
    </row>
    <row r="1014" spans="1:41">
      <c r="A1014" s="58" t="s">
        <v>431</v>
      </c>
      <c r="B1014" s="65" t="s">
        <v>401</v>
      </c>
      <c r="C1014" s="84">
        <v>61.503999999999998</v>
      </c>
      <c r="D1014" s="84">
        <v>66.632000000000005</v>
      </c>
      <c r="E1014" s="84">
        <v>66.983999999999995</v>
      </c>
      <c r="F1014" s="84">
        <v>60.106999999999999</v>
      </c>
      <c r="G1014" s="84">
        <v>67.98</v>
      </c>
      <c r="H1014" s="84">
        <v>65.459000000000003</v>
      </c>
      <c r="I1014" s="84">
        <v>73.394000000000005</v>
      </c>
      <c r="J1014" s="84">
        <v>79.661000000000001</v>
      </c>
      <c r="K1014" s="84">
        <v>81.858999999999995</v>
      </c>
      <c r="L1014" s="84">
        <v>96.221000000000004</v>
      </c>
      <c r="M1014" s="84">
        <v>100.52800000000001</v>
      </c>
      <c r="N1014" s="84">
        <v>102.336</v>
      </c>
      <c r="O1014" s="84">
        <v>100</v>
      </c>
      <c r="P1014" s="84">
        <v>91.311000000000007</v>
      </c>
      <c r="Q1014" s="84">
        <v>97.754000000000005</v>
      </c>
      <c r="R1014" s="84">
        <v>101.214</v>
      </c>
      <c r="S1014" s="80">
        <v>103.20099999999999</v>
      </c>
      <c r="AD1014" s="57"/>
      <c r="AE1014" s="57"/>
      <c r="AF1014" s="57"/>
      <c r="AG1014" s="57"/>
      <c r="AH1014" s="57"/>
      <c r="AI1014" s="57"/>
      <c r="AJ1014" s="57"/>
      <c r="AK1014" s="57"/>
      <c r="AL1014" s="57"/>
      <c r="AM1014" s="57"/>
      <c r="AN1014" s="57"/>
      <c r="AO1014" s="57"/>
    </row>
    <row r="1015" spans="1:41">
      <c r="A1015" s="58" t="s">
        <v>431</v>
      </c>
      <c r="B1015" s="65" t="s">
        <v>402</v>
      </c>
      <c r="C1015" s="84">
        <v>83.671000000000006</v>
      </c>
      <c r="D1015" s="84">
        <v>86.135999999999996</v>
      </c>
      <c r="E1015" s="84">
        <v>85.698999999999998</v>
      </c>
      <c r="F1015" s="84">
        <v>90.466999999999999</v>
      </c>
      <c r="G1015" s="84">
        <v>90.777000000000001</v>
      </c>
      <c r="H1015" s="84">
        <v>93.441000000000003</v>
      </c>
      <c r="I1015" s="84">
        <v>95.447000000000003</v>
      </c>
      <c r="J1015" s="84">
        <v>97.171999999999997</v>
      </c>
      <c r="K1015" s="84">
        <v>101.226</v>
      </c>
      <c r="L1015" s="84">
        <v>103.443</v>
      </c>
      <c r="M1015" s="84">
        <v>103.68899999999999</v>
      </c>
      <c r="N1015" s="84">
        <v>102.60599999999999</v>
      </c>
      <c r="O1015" s="84">
        <v>100</v>
      </c>
      <c r="P1015" s="84">
        <v>99.66</v>
      </c>
      <c r="Q1015" s="84">
        <v>102.75</v>
      </c>
      <c r="R1015" s="84">
        <v>107.01300000000001</v>
      </c>
      <c r="S1015" s="80">
        <v>111.429</v>
      </c>
      <c r="T1015" s="63"/>
      <c r="AD1015" s="57"/>
      <c r="AE1015" s="57"/>
      <c r="AF1015" s="57"/>
      <c r="AG1015" s="57"/>
      <c r="AH1015" s="57"/>
      <c r="AI1015" s="57"/>
      <c r="AJ1015" s="57"/>
      <c r="AK1015" s="57"/>
      <c r="AL1015" s="57"/>
      <c r="AM1015" s="57"/>
      <c r="AN1015" s="57"/>
      <c r="AO1015" s="57"/>
    </row>
    <row r="1016" spans="1:41">
      <c r="A1016" s="58" t="s">
        <v>431</v>
      </c>
      <c r="B1016" s="65" t="s">
        <v>403</v>
      </c>
      <c r="C1016" s="84">
        <v>88.231999999999999</v>
      </c>
      <c r="D1016" s="84">
        <v>90.334999999999994</v>
      </c>
      <c r="E1016" s="84">
        <v>91.153999999999996</v>
      </c>
      <c r="F1016" s="84">
        <v>101.31</v>
      </c>
      <c r="G1016" s="84">
        <v>96.013000000000005</v>
      </c>
      <c r="H1016" s="84">
        <v>96.567999999999998</v>
      </c>
      <c r="I1016" s="84">
        <v>100.081</v>
      </c>
      <c r="J1016" s="84">
        <v>102.999</v>
      </c>
      <c r="K1016" s="84">
        <v>109.18</v>
      </c>
      <c r="L1016" s="84">
        <v>110.69</v>
      </c>
      <c r="M1016" s="84">
        <v>104.30800000000001</v>
      </c>
      <c r="N1016" s="84">
        <v>103.34</v>
      </c>
      <c r="O1016" s="84">
        <v>100</v>
      </c>
      <c r="P1016" s="84">
        <v>93.447000000000003</v>
      </c>
      <c r="Q1016" s="84">
        <v>92.27</v>
      </c>
      <c r="R1016" s="84">
        <v>96.200999999999993</v>
      </c>
      <c r="S1016" s="80">
        <v>103.31100000000001</v>
      </c>
      <c r="T1016" s="63"/>
      <c r="AD1016" s="57"/>
      <c r="AE1016" s="57"/>
      <c r="AF1016" s="57"/>
      <c r="AG1016" s="57"/>
      <c r="AH1016" s="57"/>
      <c r="AI1016" s="57"/>
      <c r="AJ1016" s="57"/>
      <c r="AK1016" s="57"/>
      <c r="AL1016" s="57"/>
      <c r="AM1016" s="57"/>
      <c r="AN1016" s="57"/>
      <c r="AO1016" s="57"/>
    </row>
    <row r="1017" spans="1:41">
      <c r="A1017" s="58" t="s">
        <v>431</v>
      </c>
      <c r="B1017" s="65" t="s">
        <v>404</v>
      </c>
      <c r="C1017" s="84">
        <v>82.325999999999993</v>
      </c>
      <c r="D1017" s="84">
        <v>84.896000000000001</v>
      </c>
      <c r="E1017" s="84">
        <v>84.090999999999994</v>
      </c>
      <c r="F1017" s="84">
        <v>87.27</v>
      </c>
      <c r="G1017" s="84">
        <v>89.233000000000004</v>
      </c>
      <c r="H1017" s="84">
        <v>92.516999999999996</v>
      </c>
      <c r="I1017" s="84">
        <v>94.08</v>
      </c>
      <c r="J1017" s="84">
        <v>95.454999999999998</v>
      </c>
      <c r="K1017" s="84">
        <v>98.885999999999996</v>
      </c>
      <c r="L1017" s="84">
        <v>101.31</v>
      </c>
      <c r="M1017" s="84">
        <v>103.508</v>
      </c>
      <c r="N1017" s="84">
        <v>102.39100000000001</v>
      </c>
      <c r="O1017" s="84">
        <v>100</v>
      </c>
      <c r="P1017" s="84">
        <v>101.47499999999999</v>
      </c>
      <c r="Q1017" s="84">
        <v>105.80200000000001</v>
      </c>
      <c r="R1017" s="84">
        <v>110.161</v>
      </c>
      <c r="S1017" s="80">
        <v>113.79900000000001</v>
      </c>
      <c r="AD1017" s="57"/>
      <c r="AE1017" s="57"/>
      <c r="AF1017" s="57"/>
      <c r="AG1017" s="57"/>
      <c r="AH1017" s="57"/>
      <c r="AI1017" s="57"/>
      <c r="AJ1017" s="57"/>
      <c r="AK1017" s="57"/>
      <c r="AL1017" s="57"/>
      <c r="AM1017" s="57"/>
      <c r="AN1017" s="57"/>
      <c r="AO1017" s="57"/>
    </row>
    <row r="1018" spans="1:41">
      <c r="A1018" s="58" t="s">
        <v>431</v>
      </c>
      <c r="B1018" s="65" t="s">
        <v>415</v>
      </c>
      <c r="C1018" s="84">
        <v>73.486999999999995</v>
      </c>
      <c r="D1018" s="84">
        <v>81.536000000000001</v>
      </c>
      <c r="E1018" s="84">
        <v>84.954999999999998</v>
      </c>
      <c r="F1018" s="84">
        <v>86.135000000000005</v>
      </c>
      <c r="G1018" s="84">
        <v>103.851</v>
      </c>
      <c r="H1018" s="84">
        <v>101.136</v>
      </c>
      <c r="I1018" s="84">
        <v>106.16800000000001</v>
      </c>
      <c r="J1018" s="84">
        <v>106.21299999999999</v>
      </c>
      <c r="K1018" s="84">
        <v>101.113</v>
      </c>
      <c r="L1018" s="84">
        <v>104.322</v>
      </c>
      <c r="M1018" s="84">
        <v>105.261</v>
      </c>
      <c r="N1018" s="84">
        <v>110.815</v>
      </c>
      <c r="O1018" s="84">
        <v>100</v>
      </c>
      <c r="P1018" s="84">
        <v>103.98099999999999</v>
      </c>
      <c r="Q1018" s="84">
        <v>105.90300000000001</v>
      </c>
      <c r="R1018" s="84">
        <v>109.55200000000001</v>
      </c>
      <c r="S1018" s="80">
        <v>107.655</v>
      </c>
      <c r="AD1018" s="57"/>
      <c r="AE1018" s="57"/>
      <c r="AF1018" s="57"/>
      <c r="AG1018" s="57"/>
      <c r="AH1018" s="57"/>
      <c r="AI1018" s="57"/>
      <c r="AJ1018" s="57"/>
      <c r="AK1018" s="57"/>
      <c r="AL1018" s="57"/>
      <c r="AM1018" s="57"/>
      <c r="AN1018" s="57"/>
      <c r="AO1018" s="57"/>
    </row>
    <row r="1019" spans="1:41">
      <c r="A1019" s="58" t="s">
        <v>431</v>
      </c>
      <c r="B1019" s="65" t="s">
        <v>174</v>
      </c>
      <c r="C1019" s="84">
        <v>63.255000000000003</v>
      </c>
      <c r="D1019" s="84">
        <v>66.108000000000004</v>
      </c>
      <c r="E1019" s="84">
        <v>69.817999999999998</v>
      </c>
      <c r="F1019" s="84">
        <v>71.257000000000005</v>
      </c>
      <c r="G1019" s="84">
        <v>77.299000000000007</v>
      </c>
      <c r="H1019" s="84">
        <v>82.438000000000002</v>
      </c>
      <c r="I1019" s="84">
        <v>84.224999999999994</v>
      </c>
      <c r="J1019" s="84">
        <v>86.436000000000007</v>
      </c>
      <c r="K1019" s="84">
        <v>87.206000000000003</v>
      </c>
      <c r="L1019" s="84">
        <v>89.784999999999997</v>
      </c>
      <c r="M1019" s="84">
        <v>91.268000000000001</v>
      </c>
      <c r="N1019" s="84">
        <v>92.899000000000001</v>
      </c>
      <c r="O1019" s="84">
        <v>100</v>
      </c>
      <c r="P1019" s="84">
        <v>99.337999999999994</v>
      </c>
      <c r="Q1019" s="84">
        <v>94.515000000000001</v>
      </c>
      <c r="R1019" s="84">
        <v>94.738</v>
      </c>
      <c r="S1019" s="80">
        <v>92.974999999999994</v>
      </c>
      <c r="AD1019" s="57"/>
      <c r="AE1019" s="57"/>
      <c r="AF1019" s="57"/>
      <c r="AG1019" s="57"/>
      <c r="AH1019" s="57"/>
      <c r="AI1019" s="57"/>
      <c r="AJ1019" s="57"/>
      <c r="AK1019" s="57"/>
      <c r="AL1019" s="57"/>
      <c r="AM1019" s="57"/>
      <c r="AN1019" s="57"/>
      <c r="AO1019" s="57"/>
    </row>
    <row r="1020" spans="1:41">
      <c r="A1020" s="58" t="s">
        <v>431</v>
      </c>
      <c r="B1020" s="65" t="s">
        <v>219</v>
      </c>
      <c r="C1020" s="84">
        <v>48.744</v>
      </c>
      <c r="D1020" s="84">
        <v>47.377000000000002</v>
      </c>
      <c r="E1020" s="84">
        <v>50.039000000000001</v>
      </c>
      <c r="F1020" s="84">
        <v>50.368000000000002</v>
      </c>
      <c r="G1020" s="84">
        <v>56.896000000000001</v>
      </c>
      <c r="H1020" s="84">
        <v>63.966999999999999</v>
      </c>
      <c r="I1020" s="84">
        <v>72.114000000000004</v>
      </c>
      <c r="J1020" s="84">
        <v>77.575000000000003</v>
      </c>
      <c r="K1020" s="84">
        <v>79.531999999999996</v>
      </c>
      <c r="L1020" s="84">
        <v>82.528999999999996</v>
      </c>
      <c r="M1020" s="84">
        <v>82.983999999999995</v>
      </c>
      <c r="N1020" s="84">
        <v>92.275000000000006</v>
      </c>
      <c r="O1020" s="84">
        <v>100</v>
      </c>
      <c r="P1020" s="84">
        <v>105.53400000000001</v>
      </c>
      <c r="Q1020" s="84">
        <v>98.844999999999999</v>
      </c>
      <c r="R1020" s="84">
        <v>96.962999999999994</v>
      </c>
      <c r="S1020" s="80">
        <v>87.691000000000003</v>
      </c>
      <c r="T1020" s="63"/>
      <c r="AD1020" s="57"/>
      <c r="AE1020" s="57"/>
      <c r="AF1020" s="57"/>
      <c r="AG1020" s="57"/>
      <c r="AH1020" s="57"/>
      <c r="AI1020" s="57"/>
      <c r="AJ1020" s="57"/>
      <c r="AK1020" s="57"/>
      <c r="AL1020" s="57"/>
      <c r="AM1020" s="57"/>
      <c r="AN1020" s="57"/>
      <c r="AO1020" s="57"/>
    </row>
    <row r="1021" spans="1:41">
      <c r="A1021" s="58" t="s">
        <v>431</v>
      </c>
      <c r="B1021" s="55" t="s">
        <v>448</v>
      </c>
      <c r="C1021" s="84">
        <v>47.406999999999996</v>
      </c>
      <c r="D1021" s="84">
        <v>45.863999999999997</v>
      </c>
      <c r="E1021" s="84">
        <v>48.491999999999997</v>
      </c>
      <c r="F1021" s="84">
        <v>49.137</v>
      </c>
      <c r="G1021" s="84">
        <v>55.115000000000002</v>
      </c>
      <c r="H1021" s="84">
        <v>63.82</v>
      </c>
      <c r="I1021" s="84">
        <v>72.751000000000005</v>
      </c>
      <c r="J1021" s="84">
        <v>78.991</v>
      </c>
      <c r="K1021" s="84">
        <v>80.572000000000003</v>
      </c>
      <c r="L1021" s="84">
        <v>83.022999999999996</v>
      </c>
      <c r="M1021" s="84">
        <v>82.944000000000003</v>
      </c>
      <c r="N1021" s="84">
        <v>92.311999999999998</v>
      </c>
      <c r="O1021" s="84">
        <v>100</v>
      </c>
      <c r="P1021" s="84">
        <v>105.81</v>
      </c>
      <c r="Q1021" s="84">
        <v>97.948999999999998</v>
      </c>
      <c r="R1021" s="84">
        <v>94.543000000000006</v>
      </c>
      <c r="S1021" s="80">
        <v>84.087000000000003</v>
      </c>
      <c r="T1021" s="63"/>
      <c r="AD1021" s="57"/>
      <c r="AE1021" s="57"/>
      <c r="AF1021" s="57"/>
      <c r="AG1021" s="57"/>
      <c r="AH1021" s="57"/>
      <c r="AI1021" s="57"/>
      <c r="AJ1021" s="57"/>
      <c r="AK1021" s="57"/>
      <c r="AL1021" s="57"/>
      <c r="AM1021" s="57"/>
      <c r="AN1021" s="57"/>
      <c r="AO1021" s="57"/>
    </row>
    <row r="1022" spans="1:41">
      <c r="A1022" s="58" t="s">
        <v>431</v>
      </c>
      <c r="B1022" s="69" t="s">
        <v>449</v>
      </c>
      <c r="C1022" s="84">
        <v>47.991</v>
      </c>
      <c r="D1022" s="84">
        <v>46.545999999999999</v>
      </c>
      <c r="E1022" s="84">
        <v>51.243000000000002</v>
      </c>
      <c r="F1022" s="84">
        <v>50.591999999999999</v>
      </c>
      <c r="G1022" s="84">
        <v>55.628999999999998</v>
      </c>
      <c r="H1022" s="84">
        <v>63.304000000000002</v>
      </c>
      <c r="I1022" s="84">
        <v>73.61</v>
      </c>
      <c r="J1022" s="84">
        <v>80.216999999999999</v>
      </c>
      <c r="K1022" s="84">
        <v>80.888000000000005</v>
      </c>
      <c r="L1022" s="84">
        <v>82.843000000000004</v>
      </c>
      <c r="M1022" s="84">
        <v>84.385000000000005</v>
      </c>
      <c r="N1022" s="84">
        <v>93.552999999999997</v>
      </c>
      <c r="O1022" s="84">
        <v>100</v>
      </c>
      <c r="P1022" s="84">
        <v>103.998</v>
      </c>
      <c r="Q1022" s="84">
        <v>98.852000000000004</v>
      </c>
      <c r="R1022" s="84">
        <v>94.036000000000001</v>
      </c>
      <c r="S1022" s="80">
        <v>82.981999999999999</v>
      </c>
      <c r="T1022" s="63"/>
      <c r="AD1022" s="57"/>
      <c r="AE1022" s="57"/>
      <c r="AF1022" s="57"/>
      <c r="AG1022" s="57"/>
      <c r="AH1022" s="57"/>
      <c r="AI1022" s="57"/>
      <c r="AJ1022" s="57"/>
      <c r="AK1022" s="57"/>
      <c r="AL1022" s="57"/>
      <c r="AM1022" s="57"/>
      <c r="AN1022" s="57"/>
      <c r="AO1022" s="57"/>
    </row>
    <row r="1023" spans="1:41">
      <c r="A1023" s="58" t="s">
        <v>431</v>
      </c>
      <c r="B1023" s="69" t="s">
        <v>450</v>
      </c>
      <c r="C1023" s="84">
        <v>46.01</v>
      </c>
      <c r="D1023" s="84">
        <v>44.24</v>
      </c>
      <c r="E1023" s="84">
        <v>42.04</v>
      </c>
      <c r="F1023" s="84">
        <v>45.719000000000001</v>
      </c>
      <c r="G1023" s="84">
        <v>53.898000000000003</v>
      </c>
      <c r="H1023" s="84">
        <v>65.007000000000005</v>
      </c>
      <c r="I1023" s="84">
        <v>70.700999999999993</v>
      </c>
      <c r="J1023" s="84">
        <v>76.069000000000003</v>
      </c>
      <c r="K1023" s="84">
        <v>79.814999999999998</v>
      </c>
      <c r="L1023" s="84">
        <v>83.442999999999998</v>
      </c>
      <c r="M1023" s="84">
        <v>79.501999999999995</v>
      </c>
      <c r="N1023" s="84">
        <v>89.350999999999999</v>
      </c>
      <c r="O1023" s="84">
        <v>100</v>
      </c>
      <c r="P1023" s="84">
        <v>110.081</v>
      </c>
      <c r="Q1023" s="84">
        <v>95.807000000000002</v>
      </c>
      <c r="R1023" s="84">
        <v>95.733000000000004</v>
      </c>
      <c r="S1023" s="80">
        <v>86.686000000000007</v>
      </c>
      <c r="T1023" s="63"/>
      <c r="AD1023" s="57"/>
      <c r="AE1023" s="57"/>
      <c r="AF1023" s="57"/>
      <c r="AG1023" s="57"/>
      <c r="AH1023" s="57"/>
      <c r="AI1023" s="57"/>
      <c r="AJ1023" s="57"/>
      <c r="AK1023" s="57"/>
      <c r="AL1023" s="57"/>
      <c r="AM1023" s="57"/>
      <c r="AN1023" s="57"/>
      <c r="AO1023" s="57"/>
    </row>
    <row r="1024" spans="1:41" ht="15">
      <c r="A1024" s="58" t="s">
        <v>431</v>
      </c>
      <c r="B1024" s="70" t="s">
        <v>451</v>
      </c>
      <c r="C1024" s="84">
        <v>63.802</v>
      </c>
      <c r="D1024" s="84">
        <v>64.430000000000007</v>
      </c>
      <c r="E1024" s="84">
        <v>67.471000000000004</v>
      </c>
      <c r="F1024" s="84">
        <v>64.304000000000002</v>
      </c>
      <c r="G1024" s="84">
        <v>76.912000000000006</v>
      </c>
      <c r="H1024" s="84">
        <v>66.149000000000001</v>
      </c>
      <c r="I1024" s="84">
        <v>65.861000000000004</v>
      </c>
      <c r="J1024" s="84">
        <v>63.069000000000003</v>
      </c>
      <c r="K1024" s="84">
        <v>68.941000000000003</v>
      </c>
      <c r="L1024" s="84">
        <v>77.52</v>
      </c>
      <c r="M1024" s="84">
        <v>83.41</v>
      </c>
      <c r="N1024" s="84">
        <v>91.927000000000007</v>
      </c>
      <c r="O1024" s="84">
        <v>100</v>
      </c>
      <c r="P1024" s="84">
        <v>102.67100000000001</v>
      </c>
      <c r="Q1024" s="84">
        <v>107.974</v>
      </c>
      <c r="R1024" s="84">
        <v>121.646</v>
      </c>
      <c r="S1024" s="80">
        <v>124.411</v>
      </c>
      <c r="AD1024" s="57"/>
      <c r="AE1024" s="57"/>
      <c r="AF1024" s="57"/>
      <c r="AG1024" s="57"/>
      <c r="AH1024" s="57"/>
      <c r="AI1024" s="57"/>
      <c r="AJ1024" s="57"/>
      <c r="AK1024" s="57"/>
      <c r="AL1024" s="57"/>
      <c r="AM1024" s="57"/>
      <c r="AN1024" s="57"/>
      <c r="AO1024" s="57"/>
    </row>
    <row r="1025" spans="1:41">
      <c r="A1025" s="58" t="s">
        <v>431</v>
      </c>
      <c r="B1025" s="65" t="s">
        <v>221</v>
      </c>
      <c r="C1025" s="84">
        <v>71.400999999999996</v>
      </c>
      <c r="D1025" s="84">
        <v>76.722999999999999</v>
      </c>
      <c r="E1025" s="84">
        <v>81.028000000000006</v>
      </c>
      <c r="F1025" s="84">
        <v>83.106999999999999</v>
      </c>
      <c r="G1025" s="84">
        <v>88.849000000000004</v>
      </c>
      <c r="H1025" s="84">
        <v>92.828000000000003</v>
      </c>
      <c r="I1025" s="84">
        <v>90.88</v>
      </c>
      <c r="J1025" s="84">
        <v>91.203000000000003</v>
      </c>
      <c r="K1025" s="84">
        <v>91.301000000000002</v>
      </c>
      <c r="L1025" s="84">
        <v>93.641999999999996</v>
      </c>
      <c r="M1025" s="84">
        <v>95.683999999999997</v>
      </c>
      <c r="N1025" s="84">
        <v>93.233999999999995</v>
      </c>
      <c r="O1025" s="84">
        <v>100</v>
      </c>
      <c r="P1025" s="84">
        <v>95.997</v>
      </c>
      <c r="Q1025" s="84">
        <v>92.168999999999997</v>
      </c>
      <c r="R1025" s="84">
        <v>93.501999999999995</v>
      </c>
      <c r="S1025" s="80">
        <v>95.695999999999998</v>
      </c>
      <c r="T1025" s="63"/>
      <c r="AD1025" s="57"/>
      <c r="AE1025" s="57"/>
      <c r="AF1025" s="57"/>
      <c r="AG1025" s="57"/>
      <c r="AH1025" s="57"/>
      <c r="AI1025" s="57"/>
      <c r="AJ1025" s="57"/>
      <c r="AK1025" s="57"/>
      <c r="AL1025" s="57"/>
      <c r="AM1025" s="57"/>
      <c r="AN1025" s="57"/>
      <c r="AO1025" s="57"/>
    </row>
    <row r="1026" spans="1:41">
      <c r="A1026" s="58" t="s">
        <v>431</v>
      </c>
      <c r="B1026" s="65" t="s">
        <v>452</v>
      </c>
      <c r="C1026" s="84">
        <v>72.563000000000002</v>
      </c>
      <c r="D1026" s="84">
        <v>78.260000000000005</v>
      </c>
      <c r="E1026" s="84">
        <v>83.691000000000003</v>
      </c>
      <c r="F1026" s="84">
        <v>87.037999999999997</v>
      </c>
      <c r="G1026" s="84">
        <v>93.171000000000006</v>
      </c>
      <c r="H1026" s="84">
        <v>96.814999999999998</v>
      </c>
      <c r="I1026" s="84">
        <v>94.26</v>
      </c>
      <c r="J1026" s="84">
        <v>94.325999999999993</v>
      </c>
      <c r="K1026" s="84">
        <v>94.679000000000002</v>
      </c>
      <c r="L1026" s="84">
        <v>96.203000000000003</v>
      </c>
      <c r="M1026" s="84">
        <v>97.62</v>
      </c>
      <c r="N1026" s="84">
        <v>95.188999999999993</v>
      </c>
      <c r="O1026" s="84">
        <v>100</v>
      </c>
      <c r="P1026" s="84">
        <v>96.167000000000002</v>
      </c>
      <c r="Q1026" s="84">
        <v>92.313000000000002</v>
      </c>
      <c r="R1026" s="84">
        <v>93.302000000000007</v>
      </c>
      <c r="S1026" s="80">
        <v>95.606999999999999</v>
      </c>
      <c r="T1026" s="63"/>
      <c r="AD1026" s="57"/>
      <c r="AE1026" s="57"/>
      <c r="AF1026" s="57"/>
      <c r="AG1026" s="57"/>
      <c r="AH1026" s="57"/>
      <c r="AI1026" s="57"/>
      <c r="AJ1026" s="57"/>
      <c r="AK1026" s="57"/>
      <c r="AL1026" s="57"/>
      <c r="AM1026" s="57"/>
      <c r="AN1026" s="57"/>
      <c r="AO1026" s="57"/>
    </row>
    <row r="1027" spans="1:41" ht="14.25" customHeight="1">
      <c r="A1027" s="58" t="s">
        <v>431</v>
      </c>
      <c r="B1027" s="65" t="s">
        <v>453</v>
      </c>
      <c r="C1027" s="84">
        <v>67.433999999999997</v>
      </c>
      <c r="D1027" s="84">
        <v>71.191999999999993</v>
      </c>
      <c r="E1027" s="84">
        <v>70.581000000000003</v>
      </c>
      <c r="F1027" s="84">
        <v>67.256</v>
      </c>
      <c r="G1027" s="84">
        <v>71.399000000000001</v>
      </c>
      <c r="H1027" s="84">
        <v>76.843999999999994</v>
      </c>
      <c r="I1027" s="84">
        <v>77.442999999999998</v>
      </c>
      <c r="J1027" s="84">
        <v>78.822999999999993</v>
      </c>
      <c r="K1027" s="84">
        <v>77.905000000000001</v>
      </c>
      <c r="L1027" s="84">
        <v>83.453999999999994</v>
      </c>
      <c r="M1027" s="84">
        <v>87.960999999999999</v>
      </c>
      <c r="N1027" s="84">
        <v>85.438000000000002</v>
      </c>
      <c r="O1027" s="84">
        <v>100</v>
      </c>
      <c r="P1027" s="84">
        <v>95.292000000000002</v>
      </c>
      <c r="Q1027" s="84">
        <v>91.572999999999993</v>
      </c>
      <c r="R1027" s="84">
        <v>94.34</v>
      </c>
      <c r="S1027" s="80">
        <v>96.069000000000003</v>
      </c>
      <c r="AD1027" s="57"/>
      <c r="AE1027" s="57"/>
      <c r="AF1027" s="57"/>
      <c r="AG1027" s="57"/>
      <c r="AH1027" s="57"/>
      <c r="AI1027" s="57"/>
      <c r="AJ1027" s="57"/>
      <c r="AK1027" s="57"/>
      <c r="AL1027" s="57"/>
      <c r="AM1027" s="57"/>
      <c r="AN1027" s="57"/>
      <c r="AO1027" s="57"/>
    </row>
    <row r="1028" spans="1:41">
      <c r="A1028" s="58"/>
      <c r="B1028" s="55" t="s">
        <v>198</v>
      </c>
      <c r="AD1028" s="57"/>
      <c r="AE1028" s="57"/>
      <c r="AF1028" s="57"/>
      <c r="AG1028" s="57"/>
      <c r="AH1028" s="57"/>
      <c r="AI1028" s="57"/>
      <c r="AJ1028" s="57"/>
      <c r="AK1028" s="57"/>
      <c r="AL1028" s="57"/>
      <c r="AM1028" s="57"/>
      <c r="AN1028" s="57"/>
      <c r="AO1028" s="57"/>
    </row>
    <row r="1029" spans="1:41" ht="14.25">
      <c r="A1029" s="58" t="s">
        <v>431</v>
      </c>
      <c r="B1029" s="69" t="s">
        <v>454</v>
      </c>
      <c r="C1029" s="55">
        <v>115.755</v>
      </c>
      <c r="D1029" s="55">
        <v>121.318</v>
      </c>
      <c r="E1029" s="55">
        <v>125.26900000000001</v>
      </c>
      <c r="F1029" s="55">
        <v>126.101</v>
      </c>
      <c r="G1029" s="55">
        <v>122.303</v>
      </c>
      <c r="H1029" s="55">
        <v>120.369</v>
      </c>
      <c r="I1029" s="55">
        <v>118.95</v>
      </c>
      <c r="J1029" s="55">
        <v>120.68300000000001</v>
      </c>
      <c r="K1029" s="55">
        <v>126.336</v>
      </c>
      <c r="L1029" s="55">
        <v>125.14700000000001</v>
      </c>
      <c r="M1029" s="55">
        <v>125.87</v>
      </c>
      <c r="N1029" s="55">
        <v>118.044</v>
      </c>
      <c r="O1029" s="55">
        <v>100</v>
      </c>
      <c r="P1029" s="55">
        <v>103.792</v>
      </c>
      <c r="Q1029" s="55">
        <v>107.426</v>
      </c>
      <c r="R1029" s="55">
        <v>111.634</v>
      </c>
      <c r="S1029" s="80">
        <v>114.76600000000001</v>
      </c>
      <c r="AD1029" s="57"/>
      <c r="AE1029" s="57"/>
      <c r="AF1029" s="57"/>
      <c r="AG1029" s="57"/>
      <c r="AH1029" s="57"/>
      <c r="AI1029" s="57"/>
      <c r="AJ1029" s="57"/>
      <c r="AK1029" s="57"/>
      <c r="AL1029" s="57"/>
      <c r="AM1029" s="57"/>
      <c r="AN1029" s="57"/>
      <c r="AO1029" s="57"/>
    </row>
    <row r="1030" spans="1:41" ht="14.25">
      <c r="A1030" s="58" t="s">
        <v>431</v>
      </c>
      <c r="B1030" s="69" t="s">
        <v>455</v>
      </c>
      <c r="C1030" s="84">
        <v>72.295000000000002</v>
      </c>
      <c r="D1030" s="84">
        <v>78.460999999999999</v>
      </c>
      <c r="E1030" s="84">
        <v>85.177000000000007</v>
      </c>
      <c r="F1030" s="84">
        <v>92.715000000000003</v>
      </c>
      <c r="G1030" s="84">
        <v>92.58</v>
      </c>
      <c r="H1030" s="84">
        <v>91.73</v>
      </c>
      <c r="I1030" s="84">
        <v>95.156000000000006</v>
      </c>
      <c r="J1030" s="84">
        <v>100.78</v>
      </c>
      <c r="K1030" s="84">
        <v>106.361</v>
      </c>
      <c r="L1030" s="84">
        <v>109.06699999999999</v>
      </c>
      <c r="M1030" s="84">
        <v>112.70699999999999</v>
      </c>
      <c r="N1030" s="84">
        <v>110.78400000000001</v>
      </c>
      <c r="O1030" s="84">
        <v>100</v>
      </c>
      <c r="P1030" s="84">
        <v>105.42100000000001</v>
      </c>
      <c r="Q1030" s="84">
        <v>108.39400000000001</v>
      </c>
      <c r="R1030" s="84">
        <v>112.60299999999999</v>
      </c>
      <c r="S1030" s="80">
        <v>115.80800000000001</v>
      </c>
      <c r="T1030" s="63"/>
      <c r="AD1030" s="57"/>
      <c r="AE1030" s="57"/>
      <c r="AF1030" s="57"/>
      <c r="AG1030" s="57"/>
      <c r="AH1030" s="57"/>
      <c r="AI1030" s="57"/>
      <c r="AJ1030" s="57"/>
      <c r="AK1030" s="57"/>
      <c r="AL1030" s="57"/>
      <c r="AM1030" s="57"/>
      <c r="AN1030" s="57"/>
      <c r="AO1030" s="57"/>
    </row>
    <row r="1031" spans="1:41" ht="14.25">
      <c r="A1031" s="58" t="s">
        <v>431</v>
      </c>
      <c r="B1031" s="71" t="s">
        <v>456</v>
      </c>
      <c r="C1031" s="84">
        <v>82.138999999999996</v>
      </c>
      <c r="D1031" s="84">
        <v>95.027000000000001</v>
      </c>
      <c r="E1031" s="84">
        <v>116.28</v>
      </c>
      <c r="F1031" s="84">
        <v>133.31</v>
      </c>
      <c r="G1031" s="84">
        <v>129.73400000000001</v>
      </c>
      <c r="H1031" s="84">
        <v>114.21899999999999</v>
      </c>
      <c r="I1031" s="84">
        <v>105.749</v>
      </c>
      <c r="J1031" s="84">
        <v>100.8</v>
      </c>
      <c r="K1031" s="84">
        <v>100.55800000000001</v>
      </c>
      <c r="L1031" s="84">
        <v>102.48699999999999</v>
      </c>
      <c r="M1031" s="84">
        <v>105.40300000000001</v>
      </c>
      <c r="N1031" s="84">
        <v>106.446</v>
      </c>
      <c r="O1031" s="84">
        <v>100</v>
      </c>
      <c r="P1031" s="84">
        <v>108.248</v>
      </c>
      <c r="Q1031" s="84">
        <v>117.15600000000001</v>
      </c>
      <c r="R1031" s="84">
        <v>123.253</v>
      </c>
      <c r="S1031" s="80">
        <v>128.48500000000001</v>
      </c>
      <c r="AD1031" s="57"/>
      <c r="AE1031" s="57"/>
      <c r="AF1031" s="57"/>
      <c r="AG1031" s="57"/>
      <c r="AH1031" s="57"/>
      <c r="AI1031" s="57"/>
      <c r="AJ1031" s="57"/>
      <c r="AK1031" s="57"/>
      <c r="AL1031" s="57"/>
      <c r="AM1031" s="57"/>
      <c r="AN1031" s="57"/>
      <c r="AO1031" s="57"/>
    </row>
    <row r="1032" spans="1:41">
      <c r="C1032" s="57"/>
      <c r="D1032" s="57"/>
      <c r="E1032" s="57"/>
      <c r="F1032" s="57"/>
      <c r="G1032" s="57"/>
      <c r="H1032" s="57"/>
      <c r="I1032" s="57"/>
      <c r="J1032" s="57"/>
      <c r="K1032" s="57"/>
      <c r="L1032" s="57"/>
      <c r="M1032" s="57"/>
      <c r="N1032" s="57"/>
      <c r="O1032" s="57"/>
      <c r="P1032" s="57"/>
      <c r="Q1032" s="57"/>
      <c r="R1032" s="57"/>
    </row>
    <row r="1033" spans="1:41">
      <c r="A1033" s="60" t="s">
        <v>465</v>
      </c>
      <c r="C1033" s="57"/>
      <c r="D1033" s="57"/>
      <c r="E1033" s="57"/>
      <c r="F1033" s="57"/>
      <c r="G1033" s="57"/>
      <c r="H1033" s="57"/>
      <c r="I1033" s="57"/>
      <c r="J1033" s="57"/>
      <c r="K1033" s="57"/>
      <c r="L1033" s="57"/>
      <c r="M1033" s="57"/>
      <c r="N1033" s="57"/>
      <c r="O1033" s="57"/>
      <c r="P1033" s="57"/>
      <c r="Q1033" s="57"/>
      <c r="R1033" s="57"/>
    </row>
    <row r="1034" spans="1:41">
      <c r="A1034" s="55" t="s">
        <v>433</v>
      </c>
      <c r="B1034" s="65" t="s">
        <v>423</v>
      </c>
      <c r="C1034" s="57">
        <v>76.790000000000006</v>
      </c>
      <c r="D1034" s="57">
        <v>75.649000000000001</v>
      </c>
      <c r="E1034" s="57">
        <v>76.403999999999996</v>
      </c>
      <c r="F1034" s="57">
        <v>79.539000000000001</v>
      </c>
      <c r="G1034" s="57">
        <v>79.688000000000002</v>
      </c>
      <c r="H1034" s="57">
        <v>79.697000000000003</v>
      </c>
      <c r="I1034" s="57">
        <v>82.456999999999994</v>
      </c>
      <c r="J1034" s="57">
        <v>86.703000000000003</v>
      </c>
      <c r="K1034" s="57">
        <v>91.51</v>
      </c>
      <c r="L1034" s="57">
        <v>95.703999999999994</v>
      </c>
      <c r="M1034" s="57">
        <v>99.168000000000006</v>
      </c>
      <c r="N1034" s="57">
        <v>106.206</v>
      </c>
      <c r="O1034" s="57">
        <v>100</v>
      </c>
      <c r="P1034" s="57">
        <v>104.36199999999999</v>
      </c>
      <c r="Q1034" s="57">
        <v>110.22799999999999</v>
      </c>
      <c r="R1034" s="57">
        <v>111.1</v>
      </c>
      <c r="S1034" s="80">
        <v>112.09699999999999</v>
      </c>
      <c r="AD1034" s="57"/>
      <c r="AE1034" s="57"/>
      <c r="AF1034" s="57"/>
      <c r="AG1034" s="57"/>
      <c r="AH1034" s="57"/>
      <c r="AI1034" s="57"/>
      <c r="AJ1034" s="57"/>
      <c r="AK1034" s="57"/>
      <c r="AL1034" s="57"/>
      <c r="AM1034" s="57"/>
      <c r="AN1034" s="57"/>
      <c r="AO1034" s="57"/>
    </row>
    <row r="1035" spans="1:41">
      <c r="A1035" s="55" t="s">
        <v>433</v>
      </c>
      <c r="B1035" s="65" t="s">
        <v>326</v>
      </c>
      <c r="C1035" s="57">
        <v>77.44</v>
      </c>
      <c r="D1035" s="57">
        <v>76.231999999999999</v>
      </c>
      <c r="E1035" s="57">
        <v>76.912000000000006</v>
      </c>
      <c r="F1035" s="57">
        <v>79.972999999999999</v>
      </c>
      <c r="G1035" s="57">
        <v>80.03</v>
      </c>
      <c r="H1035" s="57">
        <v>79.983999999999995</v>
      </c>
      <c r="I1035" s="57">
        <v>82.679000000000002</v>
      </c>
      <c r="J1035" s="57">
        <v>86.984999999999999</v>
      </c>
      <c r="K1035" s="57">
        <v>91.710999999999999</v>
      </c>
      <c r="L1035" s="57">
        <v>95.900999999999996</v>
      </c>
      <c r="M1035" s="57">
        <v>99.317999999999998</v>
      </c>
      <c r="N1035" s="57">
        <v>106.38200000000001</v>
      </c>
      <c r="O1035" s="57">
        <v>100</v>
      </c>
      <c r="P1035" s="57">
        <v>104.434</v>
      </c>
      <c r="Q1035" s="57">
        <v>110.361</v>
      </c>
      <c r="R1035" s="57">
        <v>111.148</v>
      </c>
      <c r="S1035" s="80">
        <v>112.08</v>
      </c>
      <c r="AD1035" s="57"/>
      <c r="AE1035" s="57"/>
      <c r="AF1035" s="57"/>
      <c r="AG1035" s="57"/>
      <c r="AH1035" s="57"/>
      <c r="AI1035" s="57"/>
      <c r="AJ1035" s="57"/>
      <c r="AK1035" s="57"/>
      <c r="AL1035" s="57"/>
      <c r="AM1035" s="57"/>
      <c r="AN1035" s="57"/>
      <c r="AO1035" s="57"/>
    </row>
    <row r="1036" spans="1:41">
      <c r="A1036" s="55" t="s">
        <v>433</v>
      </c>
      <c r="B1036" s="65" t="s">
        <v>327</v>
      </c>
      <c r="C1036" s="57">
        <v>66.587000000000003</v>
      </c>
      <c r="D1036" s="57">
        <v>63.000999999999998</v>
      </c>
      <c r="E1036" s="57">
        <v>62.436</v>
      </c>
      <c r="F1036" s="57">
        <v>66.432000000000002</v>
      </c>
      <c r="G1036" s="57">
        <v>67.656000000000006</v>
      </c>
      <c r="H1036" s="57">
        <v>66.52</v>
      </c>
      <c r="I1036" s="57">
        <v>70.691999999999993</v>
      </c>
      <c r="J1036" s="57">
        <v>75.56</v>
      </c>
      <c r="K1036" s="57">
        <v>80.128</v>
      </c>
      <c r="L1036" s="57">
        <v>83.682000000000002</v>
      </c>
      <c r="M1036" s="57">
        <v>91.03</v>
      </c>
      <c r="N1036" s="57">
        <v>107.273</v>
      </c>
      <c r="O1036" s="57">
        <v>100</v>
      </c>
      <c r="P1036" s="57">
        <v>103.205</v>
      </c>
      <c r="Q1036" s="57">
        <v>118.137</v>
      </c>
      <c r="R1036" s="57">
        <v>125.431</v>
      </c>
      <c r="S1036" s="80">
        <v>125.67400000000001</v>
      </c>
      <c r="T1036" s="63"/>
      <c r="AD1036" s="57"/>
      <c r="AE1036" s="57"/>
      <c r="AF1036" s="57"/>
      <c r="AG1036" s="57"/>
      <c r="AH1036" s="57"/>
      <c r="AI1036" s="57"/>
      <c r="AJ1036" s="57"/>
      <c r="AK1036" s="57"/>
      <c r="AL1036" s="57"/>
      <c r="AM1036" s="57"/>
      <c r="AN1036" s="57"/>
      <c r="AO1036" s="57"/>
    </row>
    <row r="1037" spans="1:41">
      <c r="A1037" s="55" t="s">
        <v>433</v>
      </c>
      <c r="B1037" s="65" t="s">
        <v>328</v>
      </c>
      <c r="C1037" s="57">
        <v>64.805999999999997</v>
      </c>
      <c r="D1037" s="57">
        <v>60.993000000000002</v>
      </c>
      <c r="E1037" s="57">
        <v>60.462000000000003</v>
      </c>
      <c r="F1037" s="57">
        <v>64.915999999999997</v>
      </c>
      <c r="G1037" s="57">
        <v>66.448999999999998</v>
      </c>
      <c r="H1037" s="57">
        <v>65.242000000000004</v>
      </c>
      <c r="I1037" s="57">
        <v>69.555999999999997</v>
      </c>
      <c r="J1037" s="57">
        <v>74.391000000000005</v>
      </c>
      <c r="K1037" s="57">
        <v>78.998000000000005</v>
      </c>
      <c r="L1037" s="57">
        <v>82.691000000000003</v>
      </c>
      <c r="M1037" s="57">
        <v>90.149000000000001</v>
      </c>
      <c r="N1037" s="57">
        <v>106.76600000000001</v>
      </c>
      <c r="O1037" s="57">
        <v>100</v>
      </c>
      <c r="P1037" s="57">
        <v>102.851</v>
      </c>
      <c r="Q1037" s="57">
        <v>118.15</v>
      </c>
      <c r="R1037" s="57">
        <v>125.827</v>
      </c>
      <c r="S1037" s="80">
        <v>125.989</v>
      </c>
      <c r="T1037" s="63"/>
      <c r="AD1037" s="57"/>
      <c r="AE1037" s="57"/>
      <c r="AF1037" s="57"/>
      <c r="AG1037" s="57"/>
      <c r="AH1037" s="57"/>
      <c r="AI1037" s="57"/>
      <c r="AJ1037" s="57"/>
      <c r="AK1037" s="57"/>
      <c r="AL1037" s="57"/>
      <c r="AM1037" s="57"/>
      <c r="AN1037" s="57"/>
      <c r="AO1037" s="57"/>
    </row>
    <row r="1038" spans="1:41">
      <c r="A1038" s="55" t="s">
        <v>433</v>
      </c>
      <c r="B1038" s="65" t="s">
        <v>329</v>
      </c>
      <c r="C1038" s="57">
        <v>85.980999999999995</v>
      </c>
      <c r="D1038" s="57">
        <v>84.290999999999997</v>
      </c>
      <c r="E1038" s="57">
        <v>83.4</v>
      </c>
      <c r="F1038" s="57">
        <v>83.721000000000004</v>
      </c>
      <c r="G1038" s="57">
        <v>81.965999999999994</v>
      </c>
      <c r="H1038" s="57">
        <v>81.444000000000003</v>
      </c>
      <c r="I1038" s="57">
        <v>84.561000000000007</v>
      </c>
      <c r="J1038" s="57">
        <v>90</v>
      </c>
      <c r="K1038" s="57">
        <v>94.569000000000003</v>
      </c>
      <c r="L1038" s="57">
        <v>97.102999999999994</v>
      </c>
      <c r="M1038" s="57">
        <v>103.36499999999999</v>
      </c>
      <c r="N1038" s="57">
        <v>114.52</v>
      </c>
      <c r="O1038" s="57">
        <v>100</v>
      </c>
      <c r="P1038" s="57">
        <v>108.464</v>
      </c>
      <c r="Q1038" s="57">
        <v>118.309</v>
      </c>
      <c r="R1038" s="57">
        <v>120.468</v>
      </c>
      <c r="S1038" s="80">
        <v>121.81</v>
      </c>
      <c r="AD1038" s="57"/>
      <c r="AE1038" s="57"/>
      <c r="AF1038" s="57"/>
      <c r="AG1038" s="57"/>
      <c r="AH1038" s="57"/>
      <c r="AI1038" s="57"/>
      <c r="AJ1038" s="57"/>
      <c r="AK1038" s="57"/>
      <c r="AL1038" s="57"/>
      <c r="AM1038" s="57"/>
      <c r="AN1038" s="57"/>
      <c r="AO1038" s="57"/>
    </row>
    <row r="1039" spans="1:41">
      <c r="A1039" s="55" t="s">
        <v>433</v>
      </c>
      <c r="B1039" s="65" t="s">
        <v>330</v>
      </c>
      <c r="C1039" s="57">
        <v>55.566000000000003</v>
      </c>
      <c r="D1039" s="57">
        <v>51.680999999999997</v>
      </c>
      <c r="E1039" s="57">
        <v>54.841999999999999</v>
      </c>
      <c r="F1039" s="57">
        <v>65.584999999999994</v>
      </c>
      <c r="G1039" s="57">
        <v>65.792000000000002</v>
      </c>
      <c r="H1039" s="57">
        <v>63.545000000000002</v>
      </c>
      <c r="I1039" s="57">
        <v>72.808999999999997</v>
      </c>
      <c r="J1039" s="57">
        <v>81.617000000000004</v>
      </c>
      <c r="K1039" s="57">
        <v>95.855000000000004</v>
      </c>
      <c r="L1039" s="57">
        <v>100.96899999999999</v>
      </c>
      <c r="M1039" s="57">
        <v>105.224</v>
      </c>
      <c r="N1039" s="57">
        <v>121.19199999999999</v>
      </c>
      <c r="O1039" s="57">
        <v>100</v>
      </c>
      <c r="P1039" s="57">
        <v>109.735</v>
      </c>
      <c r="Q1039" s="57">
        <v>118.024</v>
      </c>
      <c r="R1039" s="57">
        <v>115.18300000000001</v>
      </c>
      <c r="S1039" s="80">
        <v>118.267</v>
      </c>
      <c r="T1039" s="63"/>
      <c r="AD1039" s="57"/>
      <c r="AE1039" s="57"/>
      <c r="AF1039" s="57"/>
      <c r="AG1039" s="57"/>
      <c r="AH1039" s="57"/>
      <c r="AI1039" s="57"/>
      <c r="AJ1039" s="57"/>
      <c r="AK1039" s="57"/>
      <c r="AL1039" s="57"/>
      <c r="AM1039" s="57"/>
      <c r="AN1039" s="57"/>
      <c r="AO1039" s="57"/>
    </row>
    <row r="1040" spans="1:41">
      <c r="A1040" s="55" t="s">
        <v>433</v>
      </c>
      <c r="B1040" s="65" t="s">
        <v>331</v>
      </c>
      <c r="C1040" s="57">
        <v>55.991999999999997</v>
      </c>
      <c r="D1040" s="57">
        <v>48.680999999999997</v>
      </c>
      <c r="E1040" s="57">
        <v>54.15</v>
      </c>
      <c r="F1040" s="57">
        <v>69.45</v>
      </c>
      <c r="G1040" s="57">
        <v>69.052999999999997</v>
      </c>
      <c r="H1040" s="57">
        <v>64.578000000000003</v>
      </c>
      <c r="I1040" s="57">
        <v>78.442999999999998</v>
      </c>
      <c r="J1040" s="57">
        <v>89.495999999999995</v>
      </c>
      <c r="K1040" s="57">
        <v>108.011</v>
      </c>
      <c r="L1040" s="57">
        <v>112.191</v>
      </c>
      <c r="M1040" s="57">
        <v>116.68600000000001</v>
      </c>
      <c r="N1040" s="57">
        <v>138.36600000000001</v>
      </c>
      <c r="O1040" s="57">
        <v>100</v>
      </c>
      <c r="P1040" s="57">
        <v>114.258</v>
      </c>
      <c r="Q1040" s="57">
        <v>121.86</v>
      </c>
      <c r="R1040" s="57">
        <v>114.374</v>
      </c>
      <c r="S1040" s="80">
        <v>119.851</v>
      </c>
      <c r="T1040" s="63"/>
      <c r="AD1040" s="57"/>
      <c r="AE1040" s="57"/>
      <c r="AF1040" s="57"/>
      <c r="AG1040" s="57"/>
      <c r="AH1040" s="57"/>
      <c r="AI1040" s="57"/>
      <c r="AJ1040" s="57"/>
      <c r="AK1040" s="57"/>
      <c r="AL1040" s="57"/>
      <c r="AM1040" s="57"/>
      <c r="AN1040" s="57"/>
      <c r="AO1040" s="57"/>
    </row>
    <row r="1041" spans="1:41">
      <c r="A1041" s="55" t="s">
        <v>433</v>
      </c>
      <c r="B1041" s="65" t="s">
        <v>332</v>
      </c>
      <c r="C1041" s="57">
        <v>59.707999999999998</v>
      </c>
      <c r="D1041" s="57">
        <v>59.331000000000003</v>
      </c>
      <c r="E1041" s="57">
        <v>59.497999999999998</v>
      </c>
      <c r="F1041" s="57">
        <v>62.459000000000003</v>
      </c>
      <c r="G1041" s="57">
        <v>63.835999999999999</v>
      </c>
      <c r="H1041" s="57">
        <v>64.929000000000002</v>
      </c>
      <c r="I1041" s="57">
        <v>67.765000000000001</v>
      </c>
      <c r="J1041" s="57">
        <v>73.847999999999999</v>
      </c>
      <c r="K1041" s="57">
        <v>83.183999999999997</v>
      </c>
      <c r="L1041" s="57">
        <v>89.844999999999999</v>
      </c>
      <c r="M1041" s="57">
        <v>94.186000000000007</v>
      </c>
      <c r="N1041" s="57">
        <v>105.83799999999999</v>
      </c>
      <c r="O1041" s="57">
        <v>100</v>
      </c>
      <c r="P1041" s="57">
        <v>105.877</v>
      </c>
      <c r="Q1041" s="57">
        <v>116.19199999999999</v>
      </c>
      <c r="R1041" s="57">
        <v>118.17400000000001</v>
      </c>
      <c r="S1041" s="80">
        <v>118.023</v>
      </c>
      <c r="T1041" s="63"/>
      <c r="AD1041" s="57"/>
      <c r="AE1041" s="57"/>
      <c r="AF1041" s="57"/>
      <c r="AG1041" s="57"/>
      <c r="AH1041" s="57"/>
      <c r="AI1041" s="57"/>
      <c r="AJ1041" s="57"/>
      <c r="AK1041" s="57"/>
      <c r="AL1041" s="57"/>
      <c r="AM1041" s="57"/>
      <c r="AN1041" s="57"/>
      <c r="AO1041" s="57"/>
    </row>
    <row r="1042" spans="1:41">
      <c r="A1042" s="55" t="s">
        <v>433</v>
      </c>
      <c r="B1042" s="65" t="s">
        <v>333</v>
      </c>
      <c r="C1042" s="57">
        <v>65.037999999999997</v>
      </c>
      <c r="D1042" s="57">
        <v>66.334999999999994</v>
      </c>
      <c r="E1042" s="57">
        <v>66.879000000000005</v>
      </c>
      <c r="F1042" s="57">
        <v>68.834000000000003</v>
      </c>
      <c r="G1042" s="57">
        <v>70.933999999999997</v>
      </c>
      <c r="H1042" s="57">
        <v>72.072999999999993</v>
      </c>
      <c r="I1042" s="57">
        <v>75.031000000000006</v>
      </c>
      <c r="J1042" s="57">
        <v>80.099999999999994</v>
      </c>
      <c r="K1042" s="57">
        <v>87.727000000000004</v>
      </c>
      <c r="L1042" s="57">
        <v>93.474000000000004</v>
      </c>
      <c r="M1042" s="57">
        <v>97.063999999999993</v>
      </c>
      <c r="N1042" s="57">
        <v>103.84699999999999</v>
      </c>
      <c r="O1042" s="57">
        <v>100</v>
      </c>
      <c r="P1042" s="57">
        <v>103.86499999999999</v>
      </c>
      <c r="Q1042" s="57">
        <v>110.729</v>
      </c>
      <c r="R1042" s="57">
        <v>114.39700000000001</v>
      </c>
      <c r="S1042" s="80">
        <v>115.44</v>
      </c>
      <c r="AD1042" s="57"/>
      <c r="AE1042" s="57"/>
      <c r="AF1042" s="57"/>
      <c r="AG1042" s="57"/>
      <c r="AH1042" s="57"/>
      <c r="AI1042" s="57"/>
      <c r="AJ1042" s="57"/>
      <c r="AK1042" s="57"/>
      <c r="AL1042" s="57"/>
      <c r="AM1042" s="57"/>
      <c r="AN1042" s="57"/>
      <c r="AO1042" s="57"/>
    </row>
    <row r="1043" spans="1:41">
      <c r="A1043" s="55" t="s">
        <v>433</v>
      </c>
      <c r="B1043" s="65" t="s">
        <v>334</v>
      </c>
      <c r="C1043" s="57">
        <v>65.781000000000006</v>
      </c>
      <c r="D1043" s="57">
        <v>60.935000000000002</v>
      </c>
      <c r="E1043" s="57">
        <v>64.763999999999996</v>
      </c>
      <c r="F1043" s="57">
        <v>78.106999999999999</v>
      </c>
      <c r="G1043" s="57">
        <v>79.412000000000006</v>
      </c>
      <c r="H1043" s="57">
        <v>74.247</v>
      </c>
      <c r="I1043" s="57">
        <v>87.18</v>
      </c>
      <c r="J1043" s="57">
        <v>94.456999999999994</v>
      </c>
      <c r="K1043" s="57">
        <v>111.944</v>
      </c>
      <c r="L1043" s="57">
        <v>114.17400000000001</v>
      </c>
      <c r="M1043" s="57">
        <v>117.89</v>
      </c>
      <c r="N1043" s="57">
        <v>137.45099999999999</v>
      </c>
      <c r="O1043" s="57">
        <v>100</v>
      </c>
      <c r="P1043" s="57">
        <v>111.754</v>
      </c>
      <c r="Q1043" s="57">
        <v>115.527</v>
      </c>
      <c r="R1043" s="57">
        <v>107.384</v>
      </c>
      <c r="S1043" s="80">
        <v>113.786</v>
      </c>
      <c r="AD1043" s="57"/>
      <c r="AE1043" s="57"/>
      <c r="AF1043" s="57"/>
      <c r="AG1043" s="57"/>
      <c r="AH1043" s="57"/>
      <c r="AI1043" s="57"/>
      <c r="AJ1043" s="57"/>
      <c r="AK1043" s="57"/>
      <c r="AL1043" s="57"/>
      <c r="AM1043" s="57"/>
      <c r="AN1043" s="57"/>
      <c r="AO1043" s="57"/>
    </row>
    <row r="1044" spans="1:41">
      <c r="A1044" s="55" t="s">
        <v>433</v>
      </c>
      <c r="B1044" s="65" t="s">
        <v>335</v>
      </c>
      <c r="C1044" s="57">
        <v>74.397000000000006</v>
      </c>
      <c r="D1044" s="57">
        <v>74.212999999999994</v>
      </c>
      <c r="E1044" s="57">
        <v>75.456999999999994</v>
      </c>
      <c r="F1044" s="57">
        <v>76.893000000000001</v>
      </c>
      <c r="G1044" s="57">
        <v>77.179000000000002</v>
      </c>
      <c r="H1044" s="57">
        <v>77.742000000000004</v>
      </c>
      <c r="I1044" s="57">
        <v>79.679000000000002</v>
      </c>
      <c r="J1044" s="57">
        <v>84.759</v>
      </c>
      <c r="K1044" s="57">
        <v>89.509</v>
      </c>
      <c r="L1044" s="57">
        <v>94.564999999999998</v>
      </c>
      <c r="M1044" s="57">
        <v>96.941000000000003</v>
      </c>
      <c r="N1044" s="57">
        <v>103.105</v>
      </c>
      <c r="O1044" s="57">
        <v>100</v>
      </c>
      <c r="P1044" s="57">
        <v>102.175</v>
      </c>
      <c r="Q1044" s="57">
        <v>107.249</v>
      </c>
      <c r="R1044" s="57">
        <v>109.357</v>
      </c>
      <c r="S1044" s="80">
        <v>111.312</v>
      </c>
      <c r="AD1044" s="57"/>
      <c r="AE1044" s="57"/>
      <c r="AF1044" s="57"/>
      <c r="AG1044" s="57"/>
      <c r="AH1044" s="57"/>
      <c r="AI1044" s="57"/>
      <c r="AJ1044" s="57"/>
      <c r="AK1044" s="57"/>
      <c r="AL1044" s="57"/>
      <c r="AM1044" s="57"/>
      <c r="AN1044" s="57"/>
      <c r="AO1044" s="57"/>
    </row>
    <row r="1045" spans="1:41">
      <c r="A1045" s="55" t="s">
        <v>433</v>
      </c>
      <c r="B1045" s="65" t="s">
        <v>336</v>
      </c>
      <c r="C1045" s="57">
        <v>75.483000000000004</v>
      </c>
      <c r="D1045" s="57">
        <v>72.691000000000003</v>
      </c>
      <c r="E1045" s="57">
        <v>72.528999999999996</v>
      </c>
      <c r="F1045" s="57">
        <v>75.988</v>
      </c>
      <c r="G1045" s="57">
        <v>75.013000000000005</v>
      </c>
      <c r="H1045" s="57">
        <v>74.388000000000005</v>
      </c>
      <c r="I1045" s="57">
        <v>77.543000000000006</v>
      </c>
      <c r="J1045" s="57">
        <v>83.876000000000005</v>
      </c>
      <c r="K1045" s="57">
        <v>90.281999999999996</v>
      </c>
      <c r="L1045" s="57">
        <v>96.064999999999998</v>
      </c>
      <c r="M1045" s="57">
        <v>101.22499999999999</v>
      </c>
      <c r="N1045" s="57">
        <v>112.991</v>
      </c>
      <c r="O1045" s="57">
        <v>100</v>
      </c>
      <c r="P1045" s="57">
        <v>109.06</v>
      </c>
      <c r="Q1045" s="57">
        <v>120.81399999999999</v>
      </c>
      <c r="R1045" s="57">
        <v>120.64700000000001</v>
      </c>
      <c r="S1045" s="80">
        <v>120.60899999999999</v>
      </c>
      <c r="AD1045" s="57"/>
      <c r="AE1045" s="57"/>
      <c r="AF1045" s="57"/>
      <c r="AG1045" s="57"/>
      <c r="AH1045" s="57"/>
      <c r="AI1045" s="57"/>
      <c r="AJ1045" s="57"/>
      <c r="AK1045" s="57"/>
      <c r="AL1045" s="57"/>
      <c r="AM1045" s="57"/>
      <c r="AN1045" s="57"/>
      <c r="AO1045" s="57"/>
    </row>
    <row r="1046" spans="1:41">
      <c r="A1046" s="55" t="s">
        <v>433</v>
      </c>
      <c r="B1046" s="65" t="s">
        <v>337</v>
      </c>
      <c r="C1046" s="57">
        <v>84.622</v>
      </c>
      <c r="D1046" s="57">
        <v>82.444000000000003</v>
      </c>
      <c r="E1046" s="57">
        <v>81.247</v>
      </c>
      <c r="F1046" s="57">
        <v>81.888000000000005</v>
      </c>
      <c r="G1046" s="57">
        <v>80.546000000000006</v>
      </c>
      <c r="H1046" s="57">
        <v>80.251000000000005</v>
      </c>
      <c r="I1046" s="57">
        <v>81.346000000000004</v>
      </c>
      <c r="J1046" s="57">
        <v>86.438000000000002</v>
      </c>
      <c r="K1046" s="57">
        <v>90.441999999999993</v>
      </c>
      <c r="L1046" s="57">
        <v>95.516000000000005</v>
      </c>
      <c r="M1046" s="57">
        <v>98.731999999999999</v>
      </c>
      <c r="N1046" s="57">
        <v>104.69199999999999</v>
      </c>
      <c r="O1046" s="57">
        <v>100</v>
      </c>
      <c r="P1046" s="57">
        <v>104.349</v>
      </c>
      <c r="Q1046" s="57">
        <v>109.627</v>
      </c>
      <c r="R1046" s="57">
        <v>109.82</v>
      </c>
      <c r="S1046" s="80">
        <v>109.405</v>
      </c>
      <c r="T1046" s="63"/>
      <c r="AD1046" s="57"/>
      <c r="AE1046" s="57"/>
      <c r="AF1046" s="57"/>
      <c r="AG1046" s="57"/>
      <c r="AH1046" s="57"/>
      <c r="AI1046" s="57"/>
      <c r="AJ1046" s="57"/>
      <c r="AK1046" s="57"/>
      <c r="AL1046" s="57"/>
      <c r="AM1046" s="57"/>
      <c r="AN1046" s="57"/>
      <c r="AO1046" s="57"/>
    </row>
    <row r="1047" spans="1:41">
      <c r="A1047" s="55" t="s">
        <v>433</v>
      </c>
      <c r="B1047" s="65" t="s">
        <v>338</v>
      </c>
      <c r="C1047" s="57">
        <v>94.691000000000003</v>
      </c>
      <c r="D1047" s="57">
        <v>91.603999999999999</v>
      </c>
      <c r="E1047" s="57">
        <v>93.176000000000002</v>
      </c>
      <c r="F1047" s="57">
        <v>91.930999999999997</v>
      </c>
      <c r="G1047" s="57">
        <v>89.78</v>
      </c>
      <c r="H1047" s="57">
        <v>89.534000000000006</v>
      </c>
      <c r="I1047" s="57">
        <v>91.421000000000006</v>
      </c>
      <c r="J1047" s="57">
        <v>100.128</v>
      </c>
      <c r="K1047" s="57">
        <v>102.071</v>
      </c>
      <c r="L1047" s="57">
        <v>103.071</v>
      </c>
      <c r="M1047" s="57">
        <v>104.182</v>
      </c>
      <c r="N1047" s="57">
        <v>106.634</v>
      </c>
      <c r="O1047" s="57">
        <v>100</v>
      </c>
      <c r="P1047" s="57">
        <v>107.02</v>
      </c>
      <c r="Q1047" s="57">
        <v>111.32599999999999</v>
      </c>
      <c r="R1047" s="57">
        <v>112.819</v>
      </c>
      <c r="S1047" s="80">
        <v>116.804</v>
      </c>
      <c r="T1047" s="63"/>
      <c r="AD1047" s="57"/>
      <c r="AE1047" s="57"/>
      <c r="AF1047" s="57"/>
      <c r="AG1047" s="57"/>
      <c r="AH1047" s="57"/>
      <c r="AI1047" s="57"/>
      <c r="AJ1047" s="57"/>
      <c r="AK1047" s="57"/>
      <c r="AL1047" s="57"/>
      <c r="AM1047" s="57"/>
      <c r="AN1047" s="57"/>
      <c r="AO1047" s="57"/>
    </row>
    <row r="1048" spans="1:41">
      <c r="A1048" s="55" t="s">
        <v>433</v>
      </c>
      <c r="B1048" s="65" t="s">
        <v>339</v>
      </c>
      <c r="C1048" s="57">
        <v>70.445999999999998</v>
      </c>
      <c r="D1048" s="57">
        <v>70.542000000000002</v>
      </c>
      <c r="E1048" s="57">
        <v>71.209999999999994</v>
      </c>
      <c r="F1048" s="57">
        <v>73.326999999999998</v>
      </c>
      <c r="G1048" s="57">
        <v>74.432000000000002</v>
      </c>
      <c r="H1048" s="57">
        <v>74.253</v>
      </c>
      <c r="I1048" s="57">
        <v>76.284000000000006</v>
      </c>
      <c r="J1048" s="57">
        <v>80.367999999999995</v>
      </c>
      <c r="K1048" s="57">
        <v>86.414000000000001</v>
      </c>
      <c r="L1048" s="57">
        <v>91.628</v>
      </c>
      <c r="M1048" s="57">
        <v>95.07</v>
      </c>
      <c r="N1048" s="57">
        <v>101.449</v>
      </c>
      <c r="O1048" s="57">
        <v>100</v>
      </c>
      <c r="P1048" s="57">
        <v>101.32</v>
      </c>
      <c r="Q1048" s="57">
        <v>105.672</v>
      </c>
      <c r="R1048" s="57">
        <v>107.05200000000001</v>
      </c>
      <c r="S1048" s="80">
        <v>108.236</v>
      </c>
      <c r="T1048" s="63"/>
      <c r="AD1048" s="57"/>
      <c r="AE1048" s="57"/>
      <c r="AF1048" s="57"/>
      <c r="AG1048" s="57"/>
      <c r="AH1048" s="57"/>
      <c r="AI1048" s="57"/>
      <c r="AJ1048" s="57"/>
      <c r="AK1048" s="57"/>
      <c r="AL1048" s="57"/>
      <c r="AM1048" s="57"/>
      <c r="AN1048" s="57"/>
      <c r="AO1048" s="57"/>
    </row>
    <row r="1049" spans="1:41">
      <c r="A1049" s="55" t="s">
        <v>433</v>
      </c>
      <c r="B1049" s="65" t="s">
        <v>340</v>
      </c>
      <c r="C1049" s="57">
        <v>64.244</v>
      </c>
      <c r="D1049" s="57">
        <v>61.548999999999999</v>
      </c>
      <c r="E1049" s="57">
        <v>59.988999999999997</v>
      </c>
      <c r="F1049" s="57">
        <v>63.2</v>
      </c>
      <c r="G1049" s="57">
        <v>61.902999999999999</v>
      </c>
      <c r="H1049" s="57">
        <v>61.54</v>
      </c>
      <c r="I1049" s="57">
        <v>64.27</v>
      </c>
      <c r="J1049" s="57">
        <v>75.403000000000006</v>
      </c>
      <c r="K1049" s="57">
        <v>83.769000000000005</v>
      </c>
      <c r="L1049" s="57">
        <v>96.326999999999998</v>
      </c>
      <c r="M1049" s="57">
        <v>102.928</v>
      </c>
      <c r="N1049" s="57">
        <v>113.73</v>
      </c>
      <c r="O1049" s="57">
        <v>100</v>
      </c>
      <c r="P1049" s="57">
        <v>112.274</v>
      </c>
      <c r="Q1049" s="57">
        <v>124.41200000000001</v>
      </c>
      <c r="R1049" s="57">
        <v>121.44499999999999</v>
      </c>
      <c r="S1049" s="80">
        <v>117.479</v>
      </c>
      <c r="T1049" s="63"/>
      <c r="AD1049" s="57"/>
      <c r="AE1049" s="57"/>
      <c r="AF1049" s="57"/>
      <c r="AG1049" s="57"/>
      <c r="AH1049" s="57"/>
      <c r="AI1049" s="57"/>
      <c r="AJ1049" s="57"/>
      <c r="AK1049" s="57"/>
      <c r="AL1049" s="57"/>
      <c r="AM1049" s="57"/>
      <c r="AN1049" s="57"/>
      <c r="AO1049" s="57"/>
    </row>
    <row r="1050" spans="1:41">
      <c r="A1050" s="55" t="s">
        <v>433</v>
      </c>
      <c r="B1050" s="65" t="s">
        <v>341</v>
      </c>
      <c r="C1050" s="57">
        <v>74.132000000000005</v>
      </c>
      <c r="D1050" s="57">
        <v>73.204999999999998</v>
      </c>
      <c r="E1050" s="57">
        <v>71.923000000000002</v>
      </c>
      <c r="F1050" s="57">
        <v>74.168000000000006</v>
      </c>
      <c r="G1050" s="57">
        <v>73.251999999999995</v>
      </c>
      <c r="H1050" s="57">
        <v>73.561000000000007</v>
      </c>
      <c r="I1050" s="57">
        <v>75.263999999999996</v>
      </c>
      <c r="J1050" s="57">
        <v>83.751999999999995</v>
      </c>
      <c r="K1050" s="57">
        <v>89.236000000000004</v>
      </c>
      <c r="L1050" s="57">
        <v>95.872</v>
      </c>
      <c r="M1050" s="57">
        <v>100.587</v>
      </c>
      <c r="N1050" s="57">
        <v>110.194</v>
      </c>
      <c r="O1050" s="57">
        <v>100</v>
      </c>
      <c r="P1050" s="57">
        <v>106.223</v>
      </c>
      <c r="Q1050" s="57">
        <v>112.61199999999999</v>
      </c>
      <c r="R1050" s="57">
        <v>111.63800000000001</v>
      </c>
      <c r="S1050" s="80">
        <v>110.149</v>
      </c>
      <c r="T1050" s="63"/>
      <c r="AD1050" s="57"/>
      <c r="AE1050" s="57"/>
      <c r="AF1050" s="57"/>
      <c r="AG1050" s="57"/>
      <c r="AH1050" s="57"/>
      <c r="AI1050" s="57"/>
      <c r="AJ1050" s="57"/>
      <c r="AK1050" s="57"/>
      <c r="AL1050" s="57"/>
      <c r="AM1050" s="57"/>
      <c r="AN1050" s="57"/>
      <c r="AO1050" s="57"/>
    </row>
    <row r="1051" spans="1:41">
      <c r="A1051" s="55" t="s">
        <v>433</v>
      </c>
      <c r="B1051" s="65" t="s">
        <v>342</v>
      </c>
      <c r="C1051" s="57">
        <v>77.885000000000005</v>
      </c>
      <c r="D1051" s="57">
        <v>77.343000000000004</v>
      </c>
      <c r="E1051" s="57">
        <v>77.186000000000007</v>
      </c>
      <c r="F1051" s="57">
        <v>78.438999999999993</v>
      </c>
      <c r="G1051" s="57">
        <v>77.97</v>
      </c>
      <c r="H1051" s="57">
        <v>78.128</v>
      </c>
      <c r="I1051" s="57">
        <v>79.317999999999998</v>
      </c>
      <c r="J1051" s="57">
        <v>84.018000000000001</v>
      </c>
      <c r="K1051" s="57">
        <v>88.287999999999997</v>
      </c>
      <c r="L1051" s="57">
        <v>92.924000000000007</v>
      </c>
      <c r="M1051" s="57">
        <v>96.596999999999994</v>
      </c>
      <c r="N1051" s="57">
        <v>103.17400000000001</v>
      </c>
      <c r="O1051" s="57">
        <v>100</v>
      </c>
      <c r="P1051" s="57">
        <v>103.54600000000001</v>
      </c>
      <c r="Q1051" s="57">
        <v>108.39400000000001</v>
      </c>
      <c r="R1051" s="57">
        <v>109.343</v>
      </c>
      <c r="S1051" s="80">
        <v>109.194</v>
      </c>
      <c r="T1051" s="63"/>
      <c r="AD1051" s="57"/>
      <c r="AE1051" s="57"/>
      <c r="AF1051" s="57"/>
      <c r="AG1051" s="57"/>
      <c r="AH1051" s="57"/>
      <c r="AI1051" s="57"/>
      <c r="AJ1051" s="57"/>
      <c r="AK1051" s="57"/>
      <c r="AL1051" s="57"/>
      <c r="AM1051" s="57"/>
      <c r="AN1051" s="57"/>
      <c r="AO1051" s="57"/>
    </row>
    <row r="1052" spans="1:41">
      <c r="A1052" s="55" t="s">
        <v>433</v>
      </c>
      <c r="B1052" s="65" t="s">
        <v>343</v>
      </c>
      <c r="C1052" s="57">
        <v>118.05800000000001</v>
      </c>
      <c r="D1052" s="57">
        <v>110.47499999999999</v>
      </c>
      <c r="E1052" s="57">
        <v>105.203</v>
      </c>
      <c r="F1052" s="57">
        <v>102.227</v>
      </c>
      <c r="G1052" s="57">
        <v>97.73</v>
      </c>
      <c r="H1052" s="57">
        <v>95.763999999999996</v>
      </c>
      <c r="I1052" s="57">
        <v>94.959000000000003</v>
      </c>
      <c r="J1052" s="57">
        <v>96.183999999999997</v>
      </c>
      <c r="K1052" s="57">
        <v>97.057000000000002</v>
      </c>
      <c r="L1052" s="57">
        <v>99.296000000000006</v>
      </c>
      <c r="M1052" s="57">
        <v>100.152</v>
      </c>
      <c r="N1052" s="57">
        <v>101.83499999999999</v>
      </c>
      <c r="O1052" s="57">
        <v>100</v>
      </c>
      <c r="P1052" s="57">
        <v>100.956</v>
      </c>
      <c r="Q1052" s="57">
        <v>102.93899999999999</v>
      </c>
      <c r="R1052" s="57">
        <v>102.517</v>
      </c>
      <c r="S1052" s="80">
        <v>101.851</v>
      </c>
      <c r="T1052" s="63"/>
      <c r="AD1052" s="57"/>
      <c r="AE1052" s="57"/>
      <c r="AF1052" s="57"/>
      <c r="AG1052" s="57"/>
      <c r="AH1052" s="57"/>
      <c r="AI1052" s="57"/>
      <c r="AJ1052" s="57"/>
      <c r="AK1052" s="57"/>
      <c r="AL1052" s="57"/>
      <c r="AM1052" s="57"/>
      <c r="AN1052" s="57"/>
      <c r="AO1052" s="57"/>
    </row>
    <row r="1053" spans="1:41">
      <c r="A1053" s="55" t="s">
        <v>433</v>
      </c>
      <c r="B1053" s="65" t="s">
        <v>344</v>
      </c>
      <c r="C1053" s="57">
        <v>75.747</v>
      </c>
      <c r="D1053" s="57">
        <v>73.765000000000001</v>
      </c>
      <c r="E1053" s="57">
        <v>73.120999999999995</v>
      </c>
      <c r="F1053" s="57">
        <v>75.183000000000007</v>
      </c>
      <c r="G1053" s="57">
        <v>74.004999999999995</v>
      </c>
      <c r="H1053" s="57">
        <v>73.504999999999995</v>
      </c>
      <c r="I1053" s="57">
        <v>74.825000000000003</v>
      </c>
      <c r="J1053" s="57">
        <v>81.009</v>
      </c>
      <c r="K1053" s="57">
        <v>86.313000000000002</v>
      </c>
      <c r="L1053" s="57">
        <v>96.090999999999994</v>
      </c>
      <c r="M1053" s="57">
        <v>100.712</v>
      </c>
      <c r="N1053" s="57">
        <v>106.49</v>
      </c>
      <c r="O1053" s="57">
        <v>100</v>
      </c>
      <c r="P1053" s="57">
        <v>107.062</v>
      </c>
      <c r="Q1053" s="57">
        <v>113.84099999999999</v>
      </c>
      <c r="R1053" s="57">
        <v>112.75700000000001</v>
      </c>
      <c r="S1053" s="80">
        <v>111.273</v>
      </c>
      <c r="T1053" s="63"/>
      <c r="AD1053" s="57"/>
      <c r="AE1053" s="57"/>
      <c r="AF1053" s="57"/>
      <c r="AG1053" s="57"/>
      <c r="AH1053" s="57"/>
      <c r="AI1053" s="57"/>
      <c r="AJ1053" s="57"/>
      <c r="AK1053" s="57"/>
      <c r="AL1053" s="57"/>
      <c r="AM1053" s="57"/>
      <c r="AN1053" s="57"/>
      <c r="AO1053" s="57"/>
    </row>
    <row r="1054" spans="1:41">
      <c r="A1054" s="55" t="s">
        <v>433</v>
      </c>
      <c r="B1054" s="65" t="s">
        <v>345</v>
      </c>
      <c r="C1054" s="57">
        <v>86.227000000000004</v>
      </c>
      <c r="D1054" s="57">
        <v>85.186999999999998</v>
      </c>
      <c r="E1054" s="57">
        <v>84.709000000000003</v>
      </c>
      <c r="F1054" s="57">
        <v>85.319000000000003</v>
      </c>
      <c r="G1054" s="57">
        <v>84.653999999999996</v>
      </c>
      <c r="H1054" s="57">
        <v>84.619</v>
      </c>
      <c r="I1054" s="57">
        <v>85.213999999999999</v>
      </c>
      <c r="J1054" s="57">
        <v>88.382000000000005</v>
      </c>
      <c r="K1054" s="57">
        <v>91.343999999999994</v>
      </c>
      <c r="L1054" s="57">
        <v>94.676000000000002</v>
      </c>
      <c r="M1054" s="57">
        <v>96.978999999999999</v>
      </c>
      <c r="N1054" s="57">
        <v>101.569</v>
      </c>
      <c r="O1054" s="57">
        <v>100</v>
      </c>
      <c r="P1054" s="57">
        <v>102.288</v>
      </c>
      <c r="Q1054" s="57">
        <v>106.03100000000001</v>
      </c>
      <c r="R1054" s="57">
        <v>107.26600000000001</v>
      </c>
      <c r="S1054" s="80">
        <v>107.637</v>
      </c>
      <c r="T1054" s="63"/>
      <c r="AD1054" s="57"/>
      <c r="AE1054" s="57"/>
      <c r="AF1054" s="57"/>
      <c r="AG1054" s="57"/>
      <c r="AH1054" s="57"/>
      <c r="AI1054" s="57"/>
      <c r="AJ1054" s="57"/>
      <c r="AK1054" s="57"/>
      <c r="AL1054" s="57"/>
      <c r="AM1054" s="57"/>
      <c r="AN1054" s="57"/>
      <c r="AO1054" s="57"/>
    </row>
    <row r="1055" spans="1:41">
      <c r="A1055" s="55" t="s">
        <v>433</v>
      </c>
      <c r="B1055" s="65" t="s">
        <v>346</v>
      </c>
      <c r="C1055" s="57">
        <v>84.364999999999995</v>
      </c>
      <c r="D1055" s="57">
        <v>82.850999999999999</v>
      </c>
      <c r="E1055" s="57">
        <v>81.838999999999999</v>
      </c>
      <c r="F1055" s="57">
        <v>82.081999999999994</v>
      </c>
      <c r="G1055" s="57">
        <v>81.59</v>
      </c>
      <c r="H1055" s="57">
        <v>81.968999999999994</v>
      </c>
      <c r="I1055" s="57">
        <v>83.167000000000002</v>
      </c>
      <c r="J1055" s="57">
        <v>87.004999999999995</v>
      </c>
      <c r="K1055" s="57">
        <v>90.209000000000003</v>
      </c>
      <c r="L1055" s="57">
        <v>93.875</v>
      </c>
      <c r="M1055" s="57">
        <v>96.936999999999998</v>
      </c>
      <c r="N1055" s="57">
        <v>101.46599999999999</v>
      </c>
      <c r="O1055" s="57">
        <v>100</v>
      </c>
      <c r="P1055" s="57">
        <v>102.017</v>
      </c>
      <c r="Q1055" s="57">
        <v>105.065</v>
      </c>
      <c r="R1055" s="57">
        <v>106.468</v>
      </c>
      <c r="S1055" s="80">
        <v>106.998</v>
      </c>
      <c r="T1055" s="63"/>
      <c r="AD1055" s="57"/>
      <c r="AE1055" s="57"/>
      <c r="AF1055" s="57"/>
      <c r="AG1055" s="57"/>
      <c r="AH1055" s="57"/>
      <c r="AI1055" s="57"/>
      <c r="AJ1055" s="57"/>
      <c r="AK1055" s="57"/>
      <c r="AL1055" s="57"/>
      <c r="AM1055" s="57"/>
      <c r="AN1055" s="57"/>
      <c r="AO1055" s="57"/>
    </row>
    <row r="1056" spans="1:41">
      <c r="A1056" s="55" t="s">
        <v>433</v>
      </c>
      <c r="B1056" s="65" t="s">
        <v>347</v>
      </c>
      <c r="C1056" s="57">
        <v>81.557000000000002</v>
      </c>
      <c r="D1056" s="57">
        <v>80.349999999999994</v>
      </c>
      <c r="E1056" s="57">
        <v>81.070999999999998</v>
      </c>
      <c r="F1056" s="57">
        <v>81.962999999999994</v>
      </c>
      <c r="G1056" s="57">
        <v>81.435000000000002</v>
      </c>
      <c r="H1056" s="57">
        <v>81.674000000000007</v>
      </c>
      <c r="I1056" s="57">
        <v>83.254999999999995</v>
      </c>
      <c r="J1056" s="57">
        <v>88.861999999999995</v>
      </c>
      <c r="K1056" s="57">
        <v>92.137</v>
      </c>
      <c r="L1056" s="57">
        <v>96.462999999999994</v>
      </c>
      <c r="M1056" s="57">
        <v>97.593999999999994</v>
      </c>
      <c r="N1056" s="57">
        <v>102.931</v>
      </c>
      <c r="O1056" s="57">
        <v>100</v>
      </c>
      <c r="P1056" s="57">
        <v>103.11199999999999</v>
      </c>
      <c r="Q1056" s="57">
        <v>106.673</v>
      </c>
      <c r="R1056" s="57">
        <v>108.358</v>
      </c>
      <c r="S1056" s="80">
        <v>110.355</v>
      </c>
      <c r="T1056" s="63"/>
      <c r="AD1056" s="57"/>
      <c r="AE1056" s="57"/>
      <c r="AF1056" s="57"/>
      <c r="AG1056" s="57"/>
      <c r="AH1056" s="57"/>
      <c r="AI1056" s="57"/>
      <c r="AJ1056" s="57"/>
      <c r="AK1056" s="57"/>
      <c r="AL1056" s="57"/>
      <c r="AM1056" s="57"/>
      <c r="AN1056" s="57"/>
      <c r="AO1056" s="57"/>
    </row>
    <row r="1057" spans="1:41">
      <c r="A1057" s="55" t="s">
        <v>433</v>
      </c>
      <c r="B1057" s="65" t="s">
        <v>348</v>
      </c>
      <c r="C1057" s="57">
        <v>77.292000000000002</v>
      </c>
      <c r="D1057" s="57">
        <v>76.709000000000003</v>
      </c>
      <c r="E1057" s="57">
        <v>77.177000000000007</v>
      </c>
      <c r="F1057" s="57">
        <v>78.986999999999995</v>
      </c>
      <c r="G1057" s="57">
        <v>78.584999999999994</v>
      </c>
      <c r="H1057" s="57">
        <v>78.352999999999994</v>
      </c>
      <c r="I1057" s="57">
        <v>79.903999999999996</v>
      </c>
      <c r="J1057" s="57">
        <v>84.25</v>
      </c>
      <c r="K1057" s="57">
        <v>88.698999999999998</v>
      </c>
      <c r="L1057" s="57">
        <v>93.058999999999997</v>
      </c>
      <c r="M1057" s="57">
        <v>96.132000000000005</v>
      </c>
      <c r="N1057" s="57">
        <v>102.068</v>
      </c>
      <c r="O1057" s="57">
        <v>100</v>
      </c>
      <c r="P1057" s="57">
        <v>103.904</v>
      </c>
      <c r="Q1057" s="57">
        <v>109.303</v>
      </c>
      <c r="R1057" s="57">
        <v>109.93899999999999</v>
      </c>
      <c r="S1057" s="80">
        <v>110.017</v>
      </c>
      <c r="AD1057" s="57"/>
      <c r="AE1057" s="57"/>
      <c r="AF1057" s="57"/>
      <c r="AG1057" s="57"/>
      <c r="AH1057" s="57"/>
      <c r="AI1057" s="57"/>
      <c r="AJ1057" s="57"/>
      <c r="AK1057" s="57"/>
      <c r="AL1057" s="57"/>
      <c r="AM1057" s="57"/>
      <c r="AN1057" s="57"/>
      <c r="AO1057" s="57"/>
    </row>
    <row r="1058" spans="1:41">
      <c r="A1058" s="55" t="s">
        <v>433</v>
      </c>
      <c r="B1058" s="65" t="s">
        <v>349</v>
      </c>
      <c r="C1058" s="57">
        <v>65.813999999999993</v>
      </c>
      <c r="D1058" s="57">
        <v>62.475999999999999</v>
      </c>
      <c r="E1058" s="57">
        <v>63.359000000000002</v>
      </c>
      <c r="F1058" s="57">
        <v>69.725999999999999</v>
      </c>
      <c r="G1058" s="57">
        <v>69.128</v>
      </c>
      <c r="H1058" s="57">
        <v>68.185000000000002</v>
      </c>
      <c r="I1058" s="57">
        <v>73.299000000000007</v>
      </c>
      <c r="J1058" s="57">
        <v>80.796999999999997</v>
      </c>
      <c r="K1058" s="57">
        <v>89.497</v>
      </c>
      <c r="L1058" s="57">
        <v>95.933000000000007</v>
      </c>
      <c r="M1058" s="57">
        <v>102.976</v>
      </c>
      <c r="N1058" s="57">
        <v>120.358</v>
      </c>
      <c r="O1058" s="57">
        <v>100</v>
      </c>
      <c r="P1058" s="57">
        <v>113.054</v>
      </c>
      <c r="Q1058" s="57">
        <v>130.535</v>
      </c>
      <c r="R1058" s="57">
        <v>130.02799999999999</v>
      </c>
      <c r="S1058" s="80">
        <v>130.36699999999999</v>
      </c>
      <c r="AD1058" s="57"/>
      <c r="AE1058" s="57"/>
      <c r="AF1058" s="57"/>
      <c r="AG1058" s="57"/>
      <c r="AH1058" s="57"/>
      <c r="AI1058" s="57"/>
      <c r="AJ1058" s="57"/>
      <c r="AK1058" s="57"/>
      <c r="AL1058" s="57"/>
      <c r="AM1058" s="57"/>
      <c r="AN1058" s="57"/>
      <c r="AO1058" s="57"/>
    </row>
    <row r="1059" spans="1:41">
      <c r="A1059" s="55" t="s">
        <v>433</v>
      </c>
      <c r="B1059" s="65" t="s">
        <v>350</v>
      </c>
      <c r="C1059" s="57">
        <v>75.971999999999994</v>
      </c>
      <c r="D1059" s="57">
        <v>73.97</v>
      </c>
      <c r="E1059" s="57">
        <v>72.569999999999993</v>
      </c>
      <c r="F1059" s="57">
        <v>74.138000000000005</v>
      </c>
      <c r="G1059" s="57">
        <v>76.805999999999997</v>
      </c>
      <c r="H1059" s="57">
        <v>74.715999999999994</v>
      </c>
      <c r="I1059" s="57">
        <v>79.635999999999996</v>
      </c>
      <c r="J1059" s="57">
        <v>86.545000000000002</v>
      </c>
      <c r="K1059" s="57">
        <v>87.313000000000002</v>
      </c>
      <c r="L1059" s="57">
        <v>88.55</v>
      </c>
      <c r="M1059" s="57">
        <v>97.962000000000003</v>
      </c>
      <c r="N1059" s="57">
        <v>107.29</v>
      </c>
      <c r="O1059" s="57">
        <v>100</v>
      </c>
      <c r="P1059" s="57">
        <v>106.514</v>
      </c>
      <c r="Q1059" s="57">
        <v>120.4</v>
      </c>
      <c r="R1059" s="57">
        <v>123.196</v>
      </c>
      <c r="S1059" s="80">
        <v>124.547</v>
      </c>
      <c r="T1059" s="63"/>
      <c r="AD1059" s="57"/>
      <c r="AE1059" s="57"/>
      <c r="AF1059" s="57"/>
      <c r="AG1059" s="57"/>
      <c r="AH1059" s="57"/>
      <c r="AI1059" s="57"/>
      <c r="AJ1059" s="57"/>
      <c r="AK1059" s="57"/>
      <c r="AL1059" s="57"/>
      <c r="AM1059" s="57"/>
      <c r="AN1059" s="57"/>
      <c r="AO1059" s="57"/>
    </row>
    <row r="1060" spans="1:41">
      <c r="A1060" s="55" t="s">
        <v>433</v>
      </c>
      <c r="B1060" s="65" t="s">
        <v>351</v>
      </c>
      <c r="C1060" s="57">
        <v>89.522999999999996</v>
      </c>
      <c r="D1060" s="57">
        <v>87.914000000000001</v>
      </c>
      <c r="E1060" s="57">
        <v>84.411000000000001</v>
      </c>
      <c r="F1060" s="57">
        <v>85.546999999999997</v>
      </c>
      <c r="G1060" s="57">
        <v>84.771000000000001</v>
      </c>
      <c r="H1060" s="57">
        <v>83.102000000000004</v>
      </c>
      <c r="I1060" s="57">
        <v>85.966999999999999</v>
      </c>
      <c r="J1060" s="57">
        <v>88.483000000000004</v>
      </c>
      <c r="K1060" s="57">
        <v>91.138999999999996</v>
      </c>
      <c r="L1060" s="57">
        <v>94.613</v>
      </c>
      <c r="M1060" s="57">
        <v>96.501999999999995</v>
      </c>
      <c r="N1060" s="57">
        <v>102.08199999999999</v>
      </c>
      <c r="O1060" s="57">
        <v>100</v>
      </c>
      <c r="P1060" s="57">
        <v>103.51900000000001</v>
      </c>
      <c r="Q1060" s="57">
        <v>110.741</v>
      </c>
      <c r="R1060" s="57">
        <v>112.32299999999999</v>
      </c>
      <c r="S1060" s="80">
        <v>113.834</v>
      </c>
      <c r="T1060" s="63"/>
      <c r="AD1060" s="57"/>
      <c r="AE1060" s="57"/>
      <c r="AF1060" s="57"/>
      <c r="AG1060" s="57"/>
      <c r="AH1060" s="57"/>
      <c r="AI1060" s="57"/>
      <c r="AJ1060" s="57"/>
      <c r="AK1060" s="57"/>
      <c r="AL1060" s="57"/>
      <c r="AM1060" s="57"/>
      <c r="AN1060" s="57"/>
      <c r="AO1060" s="57"/>
    </row>
    <row r="1061" spans="1:41">
      <c r="A1061" s="55" t="s">
        <v>433</v>
      </c>
      <c r="B1061" s="65" t="s">
        <v>352</v>
      </c>
      <c r="C1061" s="57">
        <v>85.721000000000004</v>
      </c>
      <c r="D1061" s="57">
        <v>85.244</v>
      </c>
      <c r="E1061" s="57">
        <v>84.281999999999996</v>
      </c>
      <c r="F1061" s="57">
        <v>85.763999999999996</v>
      </c>
      <c r="G1061" s="57">
        <v>86.198999999999998</v>
      </c>
      <c r="H1061" s="57">
        <v>85.878</v>
      </c>
      <c r="I1061" s="57">
        <v>87.442999999999998</v>
      </c>
      <c r="J1061" s="57">
        <v>89.703999999999994</v>
      </c>
      <c r="K1061" s="57">
        <v>91.897999999999996</v>
      </c>
      <c r="L1061" s="57">
        <v>94.376000000000005</v>
      </c>
      <c r="M1061" s="57">
        <v>96.935000000000002</v>
      </c>
      <c r="N1061" s="57">
        <v>100.374</v>
      </c>
      <c r="O1061" s="57">
        <v>100</v>
      </c>
      <c r="P1061" s="57">
        <v>104.65</v>
      </c>
      <c r="Q1061" s="57">
        <v>109.551</v>
      </c>
      <c r="R1061" s="57">
        <v>111.958</v>
      </c>
      <c r="S1061" s="80">
        <v>114.206</v>
      </c>
      <c r="T1061" s="63"/>
      <c r="AD1061" s="57"/>
      <c r="AE1061" s="57"/>
      <c r="AF1061" s="57"/>
      <c r="AG1061" s="57"/>
      <c r="AH1061" s="57"/>
      <c r="AI1061" s="57"/>
      <c r="AJ1061" s="57"/>
      <c r="AK1061" s="57"/>
      <c r="AL1061" s="57"/>
      <c r="AM1061" s="57"/>
      <c r="AN1061" s="57"/>
      <c r="AO1061" s="57"/>
    </row>
    <row r="1062" spans="1:41">
      <c r="A1062" s="55" t="s">
        <v>433</v>
      </c>
      <c r="B1062" s="65" t="s">
        <v>353</v>
      </c>
      <c r="C1062" s="57">
        <v>75.566000000000003</v>
      </c>
      <c r="D1062" s="57">
        <v>74.762</v>
      </c>
      <c r="E1062" s="57">
        <v>74.361000000000004</v>
      </c>
      <c r="F1062" s="57">
        <v>79.003</v>
      </c>
      <c r="G1062" s="57">
        <v>78.52</v>
      </c>
      <c r="H1062" s="57">
        <v>76.631</v>
      </c>
      <c r="I1062" s="57">
        <v>78.960999999999999</v>
      </c>
      <c r="J1062" s="57">
        <v>83.525000000000006</v>
      </c>
      <c r="K1062" s="57">
        <v>88.980999999999995</v>
      </c>
      <c r="L1062" s="57">
        <v>94.093000000000004</v>
      </c>
      <c r="M1062" s="57">
        <v>97.131</v>
      </c>
      <c r="N1062" s="57">
        <v>104.509</v>
      </c>
      <c r="O1062" s="57">
        <v>100</v>
      </c>
      <c r="P1062" s="57">
        <v>104.108</v>
      </c>
      <c r="Q1062" s="57">
        <v>109.545</v>
      </c>
      <c r="R1062" s="57">
        <v>109.873</v>
      </c>
      <c r="S1062" s="80">
        <v>111.30800000000001</v>
      </c>
      <c r="T1062" s="63"/>
      <c r="AD1062" s="57"/>
      <c r="AE1062" s="57"/>
      <c r="AF1062" s="57"/>
      <c r="AG1062" s="57"/>
      <c r="AH1062" s="57"/>
      <c r="AI1062" s="57"/>
      <c r="AJ1062" s="57"/>
      <c r="AK1062" s="57"/>
      <c r="AL1062" s="57"/>
      <c r="AM1062" s="57"/>
      <c r="AN1062" s="57"/>
      <c r="AO1062" s="57"/>
    </row>
    <row r="1063" spans="1:41">
      <c r="A1063" s="55" t="s">
        <v>433</v>
      </c>
      <c r="B1063" s="65" t="s">
        <v>354</v>
      </c>
      <c r="C1063" s="57">
        <v>79.707999999999998</v>
      </c>
      <c r="D1063" s="57">
        <v>79.069999999999993</v>
      </c>
      <c r="E1063" s="57">
        <v>78.617999999999995</v>
      </c>
      <c r="F1063" s="57">
        <v>81.024000000000001</v>
      </c>
      <c r="G1063" s="57">
        <v>81.5</v>
      </c>
      <c r="H1063" s="57">
        <v>80.917000000000002</v>
      </c>
      <c r="I1063" s="57">
        <v>82.201999999999998</v>
      </c>
      <c r="J1063" s="57">
        <v>84.397000000000006</v>
      </c>
      <c r="K1063" s="57">
        <v>88.308000000000007</v>
      </c>
      <c r="L1063" s="57">
        <v>92.522000000000006</v>
      </c>
      <c r="M1063" s="57">
        <v>95.715000000000003</v>
      </c>
      <c r="N1063" s="57">
        <v>101.616</v>
      </c>
      <c r="O1063" s="57">
        <v>100</v>
      </c>
      <c r="P1063" s="57">
        <v>102.34</v>
      </c>
      <c r="Q1063" s="57">
        <v>109.04300000000001</v>
      </c>
      <c r="R1063" s="57">
        <v>109.864</v>
      </c>
      <c r="S1063" s="80">
        <v>110.572</v>
      </c>
      <c r="T1063" s="63"/>
      <c r="AD1063" s="57"/>
      <c r="AE1063" s="57"/>
      <c r="AF1063" s="57"/>
      <c r="AG1063" s="57"/>
      <c r="AH1063" s="57"/>
      <c r="AI1063" s="57"/>
      <c r="AJ1063" s="57"/>
      <c r="AK1063" s="57"/>
      <c r="AL1063" s="57"/>
      <c r="AM1063" s="57"/>
      <c r="AN1063" s="57"/>
      <c r="AO1063" s="57"/>
    </row>
    <row r="1064" spans="1:41">
      <c r="A1064" s="55" t="s">
        <v>433</v>
      </c>
      <c r="B1064" s="65" t="s">
        <v>355</v>
      </c>
      <c r="C1064" s="57">
        <v>34.027000000000001</v>
      </c>
      <c r="D1064" s="57">
        <v>24.72</v>
      </c>
      <c r="E1064" s="57">
        <v>30.818000000000001</v>
      </c>
      <c r="F1064" s="57">
        <v>48.143999999999998</v>
      </c>
      <c r="G1064" s="57">
        <v>42.658999999999999</v>
      </c>
      <c r="H1064" s="57">
        <v>43.151000000000003</v>
      </c>
      <c r="I1064" s="57">
        <v>52.465000000000003</v>
      </c>
      <c r="J1064" s="57">
        <v>65.421000000000006</v>
      </c>
      <c r="K1064" s="57">
        <v>87.361000000000004</v>
      </c>
      <c r="L1064" s="57">
        <v>103.179</v>
      </c>
      <c r="M1064" s="57">
        <v>113.93899999999999</v>
      </c>
      <c r="N1064" s="57">
        <v>157.41800000000001</v>
      </c>
      <c r="O1064" s="57">
        <v>100</v>
      </c>
      <c r="P1064" s="57">
        <v>128.09899999999999</v>
      </c>
      <c r="Q1064" s="57">
        <v>161.57400000000001</v>
      </c>
      <c r="R1064" s="57">
        <v>161.01499999999999</v>
      </c>
      <c r="S1064" s="80">
        <v>159.26300000000001</v>
      </c>
      <c r="T1064" s="63"/>
      <c r="AD1064" s="57"/>
      <c r="AE1064" s="57"/>
      <c r="AF1064" s="57"/>
      <c r="AG1064" s="57"/>
      <c r="AH1064" s="57"/>
      <c r="AI1064" s="57"/>
      <c r="AJ1064" s="57"/>
      <c r="AK1064" s="57"/>
      <c r="AL1064" s="57"/>
      <c r="AM1064" s="57"/>
      <c r="AN1064" s="57"/>
      <c r="AO1064" s="57"/>
    </row>
    <row r="1065" spans="1:41">
      <c r="A1065" s="55" t="s">
        <v>433</v>
      </c>
      <c r="B1065" s="65" t="s">
        <v>356</v>
      </c>
      <c r="C1065" s="57">
        <v>65.596999999999994</v>
      </c>
      <c r="D1065" s="57">
        <v>63.347000000000001</v>
      </c>
      <c r="E1065" s="57">
        <v>64.537999999999997</v>
      </c>
      <c r="F1065" s="57">
        <v>70.900999999999996</v>
      </c>
      <c r="G1065" s="57">
        <v>69.872</v>
      </c>
      <c r="H1065" s="57">
        <v>69.37</v>
      </c>
      <c r="I1065" s="57">
        <v>73.837999999999994</v>
      </c>
      <c r="J1065" s="57">
        <v>81.513000000000005</v>
      </c>
      <c r="K1065" s="57">
        <v>92.45</v>
      </c>
      <c r="L1065" s="57">
        <v>99.286000000000001</v>
      </c>
      <c r="M1065" s="57">
        <v>104.254</v>
      </c>
      <c r="N1065" s="57">
        <v>117.027</v>
      </c>
      <c r="O1065" s="57">
        <v>100</v>
      </c>
      <c r="P1065" s="57">
        <v>114.718</v>
      </c>
      <c r="Q1065" s="57">
        <v>129.82499999999999</v>
      </c>
      <c r="R1065" s="57">
        <v>122.798</v>
      </c>
      <c r="S1065" s="80">
        <v>122.80800000000001</v>
      </c>
      <c r="T1065" s="63"/>
      <c r="AD1065" s="57"/>
      <c r="AE1065" s="57"/>
      <c r="AF1065" s="57"/>
      <c r="AG1065" s="57"/>
      <c r="AH1065" s="57"/>
      <c r="AI1065" s="57"/>
      <c r="AJ1065" s="57"/>
      <c r="AK1065" s="57"/>
      <c r="AL1065" s="57"/>
      <c r="AM1065" s="57"/>
      <c r="AN1065" s="57"/>
      <c r="AO1065" s="57"/>
    </row>
    <row r="1066" spans="1:41">
      <c r="A1066" s="55" t="s">
        <v>433</v>
      </c>
      <c r="B1066" s="65" t="s">
        <v>357</v>
      </c>
      <c r="C1066" s="57">
        <v>73.108000000000004</v>
      </c>
      <c r="D1066" s="57">
        <v>71.442999999999998</v>
      </c>
      <c r="E1066" s="57">
        <v>71.584999999999994</v>
      </c>
      <c r="F1066" s="57">
        <v>75.155000000000001</v>
      </c>
      <c r="G1066" s="57">
        <v>75.010000000000005</v>
      </c>
      <c r="H1066" s="57">
        <v>74.38</v>
      </c>
      <c r="I1066" s="57">
        <v>77.790999999999997</v>
      </c>
      <c r="J1066" s="57">
        <v>82.730999999999995</v>
      </c>
      <c r="K1066" s="57">
        <v>90.906999999999996</v>
      </c>
      <c r="L1066" s="57">
        <v>95.203999999999994</v>
      </c>
      <c r="M1066" s="57">
        <v>96.801000000000002</v>
      </c>
      <c r="N1066" s="57">
        <v>105.645</v>
      </c>
      <c r="O1066" s="57">
        <v>100</v>
      </c>
      <c r="P1066" s="57">
        <v>106.22</v>
      </c>
      <c r="Q1066" s="57">
        <v>114.407</v>
      </c>
      <c r="R1066" s="57">
        <v>115.818</v>
      </c>
      <c r="S1066" s="80">
        <v>117.67100000000001</v>
      </c>
      <c r="AD1066" s="57"/>
      <c r="AE1066" s="57"/>
      <c r="AF1066" s="57"/>
      <c r="AG1066" s="57"/>
      <c r="AH1066" s="57"/>
      <c r="AI1066" s="57"/>
      <c r="AJ1066" s="57"/>
      <c r="AK1066" s="57"/>
      <c r="AL1066" s="57"/>
      <c r="AM1066" s="57"/>
      <c r="AN1066" s="57"/>
      <c r="AO1066" s="57"/>
    </row>
    <row r="1067" spans="1:41">
      <c r="A1067" s="55" t="s">
        <v>433</v>
      </c>
      <c r="B1067" s="65" t="s">
        <v>358</v>
      </c>
      <c r="C1067" s="57">
        <v>81.188000000000002</v>
      </c>
      <c r="D1067" s="57">
        <v>81.2</v>
      </c>
      <c r="E1067" s="57">
        <v>82.186000000000007</v>
      </c>
      <c r="F1067" s="57">
        <v>84.228999999999999</v>
      </c>
      <c r="G1067" s="57">
        <v>84.498999999999995</v>
      </c>
      <c r="H1067" s="57">
        <v>84.968999999999994</v>
      </c>
      <c r="I1067" s="57">
        <v>86.453999999999994</v>
      </c>
      <c r="J1067" s="57">
        <v>89.186999999999998</v>
      </c>
      <c r="K1067" s="57">
        <v>91.921999999999997</v>
      </c>
      <c r="L1067" s="57">
        <v>95.209000000000003</v>
      </c>
      <c r="M1067" s="57">
        <v>97.887</v>
      </c>
      <c r="N1067" s="57">
        <v>101.34699999999999</v>
      </c>
      <c r="O1067" s="57">
        <v>100</v>
      </c>
      <c r="P1067" s="57">
        <v>102.053</v>
      </c>
      <c r="Q1067" s="57">
        <v>104.45399999999999</v>
      </c>
      <c r="R1067" s="57">
        <v>105.709</v>
      </c>
      <c r="S1067" s="80">
        <v>107.158</v>
      </c>
      <c r="AD1067" s="57"/>
      <c r="AE1067" s="57"/>
      <c r="AF1067" s="57"/>
      <c r="AG1067" s="57"/>
      <c r="AH1067" s="57"/>
      <c r="AI1067" s="57"/>
      <c r="AJ1067" s="57"/>
      <c r="AK1067" s="57"/>
      <c r="AL1067" s="57"/>
      <c r="AM1067" s="57"/>
      <c r="AN1067" s="57"/>
      <c r="AO1067" s="57"/>
    </row>
    <row r="1068" spans="1:41">
      <c r="A1068" s="55" t="s">
        <v>433</v>
      </c>
      <c r="B1068" s="65" t="s">
        <v>359</v>
      </c>
      <c r="C1068" s="57">
        <v>79.751000000000005</v>
      </c>
      <c r="D1068" s="57">
        <v>80.424000000000007</v>
      </c>
      <c r="E1068" s="57">
        <v>81.846999999999994</v>
      </c>
      <c r="F1068" s="57">
        <v>83.89</v>
      </c>
      <c r="G1068" s="57">
        <v>85.072999999999993</v>
      </c>
      <c r="H1068" s="57">
        <v>85.763000000000005</v>
      </c>
      <c r="I1068" s="57">
        <v>87.406999999999996</v>
      </c>
      <c r="J1068" s="57">
        <v>89.774000000000001</v>
      </c>
      <c r="K1068" s="57">
        <v>92.433999999999997</v>
      </c>
      <c r="L1068" s="57">
        <v>95.685000000000002</v>
      </c>
      <c r="M1068" s="57">
        <v>97.863</v>
      </c>
      <c r="N1068" s="57">
        <v>101.306</v>
      </c>
      <c r="O1068" s="57">
        <v>100</v>
      </c>
      <c r="P1068" s="57">
        <v>101.518</v>
      </c>
      <c r="Q1068" s="57">
        <v>103.422</v>
      </c>
      <c r="R1068" s="57">
        <v>104.441</v>
      </c>
      <c r="S1068" s="80">
        <v>105.795</v>
      </c>
      <c r="T1068" s="63"/>
      <c r="AD1068" s="57"/>
      <c r="AE1068" s="57"/>
      <c r="AF1068" s="57"/>
      <c r="AG1068" s="57"/>
      <c r="AH1068" s="57"/>
      <c r="AI1068" s="57"/>
      <c r="AJ1068" s="57"/>
      <c r="AK1068" s="57"/>
      <c r="AL1068" s="57"/>
      <c r="AM1068" s="57"/>
      <c r="AN1068" s="57"/>
      <c r="AO1068" s="57"/>
    </row>
    <row r="1069" spans="1:41">
      <c r="A1069" s="55" t="s">
        <v>433</v>
      </c>
      <c r="B1069" s="68" t="s">
        <v>438</v>
      </c>
      <c r="C1069" s="57">
        <v>84.06</v>
      </c>
      <c r="D1069" s="57">
        <v>84.6</v>
      </c>
      <c r="E1069" s="57">
        <v>86.144000000000005</v>
      </c>
      <c r="F1069" s="57">
        <v>87.816999999999993</v>
      </c>
      <c r="G1069" s="57">
        <v>88.685000000000002</v>
      </c>
      <c r="H1069" s="57">
        <v>89.513999999999996</v>
      </c>
      <c r="I1069" s="57">
        <v>90.855000000000004</v>
      </c>
      <c r="J1069" s="57">
        <v>92.537999999999997</v>
      </c>
      <c r="K1069" s="57">
        <v>94.778000000000006</v>
      </c>
      <c r="L1069" s="57">
        <v>97.84</v>
      </c>
      <c r="M1069" s="57">
        <v>99.257000000000005</v>
      </c>
      <c r="N1069" s="57">
        <v>102.041</v>
      </c>
      <c r="O1069" s="57">
        <v>100</v>
      </c>
      <c r="P1069" s="57">
        <v>102.80500000000001</v>
      </c>
      <c r="Q1069" s="57">
        <v>104.559</v>
      </c>
      <c r="R1069" s="57">
        <v>105.9</v>
      </c>
      <c r="S1069" s="80">
        <v>107.107</v>
      </c>
      <c r="T1069" s="63"/>
      <c r="AD1069" s="57"/>
      <c r="AE1069" s="57"/>
      <c r="AF1069" s="57"/>
      <c r="AG1069" s="57"/>
      <c r="AH1069" s="57"/>
      <c r="AI1069" s="57"/>
      <c r="AJ1069" s="57"/>
      <c r="AK1069" s="57"/>
      <c r="AL1069" s="57"/>
      <c r="AM1069" s="57"/>
      <c r="AN1069" s="57"/>
      <c r="AO1069" s="57"/>
    </row>
    <row r="1070" spans="1:41">
      <c r="A1070" s="55" t="s">
        <v>433</v>
      </c>
      <c r="B1070" s="68" t="s">
        <v>439</v>
      </c>
      <c r="C1070" s="57">
        <v>77.83</v>
      </c>
      <c r="D1070" s="57">
        <v>78.284000000000006</v>
      </c>
      <c r="E1070" s="57">
        <v>79.433000000000007</v>
      </c>
      <c r="F1070" s="57">
        <v>81.477000000000004</v>
      </c>
      <c r="G1070" s="57">
        <v>83.286000000000001</v>
      </c>
      <c r="H1070" s="57">
        <v>83.96</v>
      </c>
      <c r="I1070" s="57">
        <v>85.936000000000007</v>
      </c>
      <c r="J1070" s="57">
        <v>88.561999999999998</v>
      </c>
      <c r="K1070" s="57">
        <v>91.378</v>
      </c>
      <c r="L1070" s="57">
        <v>94.649000000000001</v>
      </c>
      <c r="M1070" s="57">
        <v>97.387</v>
      </c>
      <c r="N1070" s="57">
        <v>102.06699999999999</v>
      </c>
      <c r="O1070" s="57">
        <v>100</v>
      </c>
      <c r="P1070" s="57">
        <v>101.586</v>
      </c>
      <c r="Q1070" s="57">
        <v>104.33199999999999</v>
      </c>
      <c r="R1070" s="57">
        <v>105.059</v>
      </c>
      <c r="S1070" s="80">
        <v>106.485</v>
      </c>
      <c r="T1070" s="63"/>
      <c r="AD1070" s="57"/>
      <c r="AE1070" s="57"/>
      <c r="AF1070" s="57"/>
      <c r="AG1070" s="57"/>
      <c r="AH1070" s="57"/>
      <c r="AI1070" s="57"/>
      <c r="AJ1070" s="57"/>
      <c r="AK1070" s="57"/>
      <c r="AL1070" s="57"/>
      <c r="AM1070" s="57"/>
      <c r="AN1070" s="57"/>
      <c r="AO1070" s="57"/>
    </row>
    <row r="1071" spans="1:41">
      <c r="A1071" s="55" t="s">
        <v>433</v>
      </c>
      <c r="B1071" s="68" t="s">
        <v>440</v>
      </c>
      <c r="C1071" s="57">
        <v>76.183999999999997</v>
      </c>
      <c r="D1071" s="57">
        <v>77.281999999999996</v>
      </c>
      <c r="E1071" s="57">
        <v>79.028999999999996</v>
      </c>
      <c r="F1071" s="57">
        <v>81.069000000000003</v>
      </c>
      <c r="G1071" s="57">
        <v>82.319000000000003</v>
      </c>
      <c r="H1071" s="57">
        <v>82.722999999999999</v>
      </c>
      <c r="I1071" s="57">
        <v>84.527000000000001</v>
      </c>
      <c r="J1071" s="57">
        <v>87.41</v>
      </c>
      <c r="K1071" s="57">
        <v>90.156999999999996</v>
      </c>
      <c r="L1071" s="57">
        <v>93.516000000000005</v>
      </c>
      <c r="M1071" s="57">
        <v>96.897000000000006</v>
      </c>
      <c r="N1071" s="57">
        <v>100.651</v>
      </c>
      <c r="O1071" s="57">
        <v>100</v>
      </c>
      <c r="P1071" s="57">
        <v>101.04600000000001</v>
      </c>
      <c r="Q1071" s="57">
        <v>102.41200000000001</v>
      </c>
      <c r="R1071" s="57">
        <v>102.982</v>
      </c>
      <c r="S1071" s="80">
        <v>104.068</v>
      </c>
      <c r="T1071" s="63"/>
      <c r="AD1071" s="57"/>
      <c r="AE1071" s="57"/>
      <c r="AF1071" s="57"/>
      <c r="AG1071" s="57"/>
      <c r="AH1071" s="57"/>
      <c r="AI1071" s="57"/>
      <c r="AJ1071" s="57"/>
      <c r="AK1071" s="57"/>
      <c r="AL1071" s="57"/>
      <c r="AM1071" s="57"/>
      <c r="AN1071" s="57"/>
      <c r="AO1071" s="57"/>
    </row>
    <row r="1072" spans="1:41">
      <c r="A1072" s="55" t="s">
        <v>433</v>
      </c>
      <c r="B1072" s="68" t="s">
        <v>441</v>
      </c>
      <c r="C1072" s="57">
        <v>80.116</v>
      </c>
      <c r="D1072" s="57">
        <v>80.802000000000007</v>
      </c>
      <c r="E1072" s="57">
        <v>82.198999999999998</v>
      </c>
      <c r="F1072" s="57">
        <v>84.355999999999995</v>
      </c>
      <c r="G1072" s="57">
        <v>85.45</v>
      </c>
      <c r="H1072" s="57">
        <v>86.177000000000007</v>
      </c>
      <c r="I1072" s="57">
        <v>87.813999999999993</v>
      </c>
      <c r="J1072" s="57">
        <v>90.209000000000003</v>
      </c>
      <c r="K1072" s="57">
        <v>92.918999999999997</v>
      </c>
      <c r="L1072" s="57">
        <v>96.186000000000007</v>
      </c>
      <c r="M1072" s="57">
        <v>98.078000000000003</v>
      </c>
      <c r="N1072" s="57">
        <v>101.23699999999999</v>
      </c>
      <c r="O1072" s="57">
        <v>100</v>
      </c>
      <c r="P1072" s="57">
        <v>101.499</v>
      </c>
      <c r="Q1072" s="57">
        <v>103.396</v>
      </c>
      <c r="R1072" s="57">
        <v>104.533</v>
      </c>
      <c r="S1072" s="80">
        <v>105.976</v>
      </c>
      <c r="AD1072" s="57"/>
      <c r="AE1072" s="57"/>
      <c r="AF1072" s="57"/>
      <c r="AG1072" s="57"/>
      <c r="AH1072" s="57"/>
      <c r="AI1072" s="57"/>
      <c r="AJ1072" s="57"/>
      <c r="AK1072" s="57"/>
      <c r="AL1072" s="57"/>
      <c r="AM1072" s="57"/>
      <c r="AN1072" s="57"/>
      <c r="AO1072" s="57"/>
    </row>
    <row r="1073" spans="1:41">
      <c r="A1073" s="55" t="s">
        <v>433</v>
      </c>
      <c r="B1073" s="65" t="s">
        <v>360</v>
      </c>
      <c r="C1073" s="57">
        <v>68.826999999999998</v>
      </c>
      <c r="D1073" s="57">
        <v>66.394000000000005</v>
      </c>
      <c r="E1073" s="57">
        <v>68.614000000000004</v>
      </c>
      <c r="F1073" s="57">
        <v>74.843999999999994</v>
      </c>
      <c r="G1073" s="57">
        <v>74.335999999999999</v>
      </c>
      <c r="H1073" s="57">
        <v>74.932000000000002</v>
      </c>
      <c r="I1073" s="57">
        <v>78.466999999999999</v>
      </c>
      <c r="J1073" s="57">
        <v>83.900999999999996</v>
      </c>
      <c r="K1073" s="57">
        <v>91.703000000000003</v>
      </c>
      <c r="L1073" s="57">
        <v>97.367000000000004</v>
      </c>
      <c r="M1073" s="57">
        <v>101.286</v>
      </c>
      <c r="N1073" s="57">
        <v>111.976</v>
      </c>
      <c r="O1073" s="57">
        <v>100</v>
      </c>
      <c r="P1073" s="57">
        <v>107.35899999999999</v>
      </c>
      <c r="Q1073" s="57">
        <v>117.92100000000001</v>
      </c>
      <c r="R1073" s="57">
        <v>120.349</v>
      </c>
      <c r="S1073" s="80">
        <v>120.756</v>
      </c>
      <c r="T1073" s="63"/>
      <c r="AD1073" s="57"/>
      <c r="AE1073" s="57"/>
      <c r="AF1073" s="57"/>
      <c r="AG1073" s="57"/>
      <c r="AH1073" s="57"/>
      <c r="AI1073" s="57"/>
      <c r="AJ1073" s="57"/>
      <c r="AK1073" s="57"/>
      <c r="AL1073" s="57"/>
      <c r="AM1073" s="57"/>
      <c r="AN1073" s="57"/>
      <c r="AO1073" s="57"/>
    </row>
    <row r="1074" spans="1:41">
      <c r="A1074" s="55" t="s">
        <v>433</v>
      </c>
      <c r="B1074" s="65" t="s">
        <v>361</v>
      </c>
      <c r="C1074" s="57">
        <v>60.283999999999999</v>
      </c>
      <c r="D1074" s="57">
        <v>56.908999999999999</v>
      </c>
      <c r="E1074" s="57">
        <v>59.600999999999999</v>
      </c>
      <c r="F1074" s="57">
        <v>70.498999999999995</v>
      </c>
      <c r="G1074" s="57">
        <v>68.006</v>
      </c>
      <c r="H1074" s="57">
        <v>67.204999999999998</v>
      </c>
      <c r="I1074" s="57">
        <v>71.863</v>
      </c>
      <c r="J1074" s="57">
        <v>78.825999999999993</v>
      </c>
      <c r="K1074" s="57">
        <v>91.513000000000005</v>
      </c>
      <c r="L1074" s="57">
        <v>99.203000000000003</v>
      </c>
      <c r="M1074" s="57">
        <v>104.39</v>
      </c>
      <c r="N1074" s="57">
        <v>120.63200000000001</v>
      </c>
      <c r="O1074" s="57">
        <v>100</v>
      </c>
      <c r="P1074" s="57">
        <v>111.523</v>
      </c>
      <c r="Q1074" s="57">
        <v>126.21599999999999</v>
      </c>
      <c r="R1074" s="57">
        <v>128.22800000000001</v>
      </c>
      <c r="S1074" s="80">
        <v>126.54300000000001</v>
      </c>
      <c r="T1074" s="63"/>
      <c r="AD1074" s="57"/>
      <c r="AE1074" s="57"/>
      <c r="AF1074" s="57"/>
      <c r="AG1074" s="57"/>
      <c r="AH1074" s="57"/>
      <c r="AI1074" s="57"/>
      <c r="AJ1074" s="57"/>
      <c r="AK1074" s="57"/>
      <c r="AL1074" s="57"/>
      <c r="AM1074" s="57"/>
      <c r="AN1074" s="57"/>
      <c r="AO1074" s="57"/>
    </row>
    <row r="1075" spans="1:41">
      <c r="A1075" s="55" t="s">
        <v>433</v>
      </c>
      <c r="B1075" s="65" t="s">
        <v>362</v>
      </c>
      <c r="C1075" s="57">
        <v>74.227000000000004</v>
      </c>
      <c r="D1075" s="57">
        <v>69.730999999999995</v>
      </c>
      <c r="E1075" s="57">
        <v>71.944999999999993</v>
      </c>
      <c r="F1075" s="57">
        <v>75.128</v>
      </c>
      <c r="G1075" s="57">
        <v>74.617999999999995</v>
      </c>
      <c r="H1075" s="57">
        <v>75.754999999999995</v>
      </c>
      <c r="I1075" s="57">
        <v>78.632000000000005</v>
      </c>
      <c r="J1075" s="57">
        <v>83.838999999999999</v>
      </c>
      <c r="K1075" s="57">
        <v>93.037000000000006</v>
      </c>
      <c r="L1075" s="57">
        <v>98.506</v>
      </c>
      <c r="M1075" s="57">
        <v>104.221</v>
      </c>
      <c r="N1075" s="57">
        <v>116.33499999999999</v>
      </c>
      <c r="O1075" s="57">
        <v>100</v>
      </c>
      <c r="P1075" s="57">
        <v>108.867</v>
      </c>
      <c r="Q1075" s="57">
        <v>120.592</v>
      </c>
      <c r="R1075" s="57">
        <v>121.855</v>
      </c>
      <c r="S1075" s="80">
        <v>122.849</v>
      </c>
      <c r="T1075" s="63"/>
      <c r="AD1075" s="57"/>
      <c r="AE1075" s="57"/>
      <c r="AF1075" s="57"/>
      <c r="AG1075" s="57"/>
      <c r="AH1075" s="57"/>
      <c r="AI1075" s="57"/>
      <c r="AJ1075" s="57"/>
      <c r="AK1075" s="57"/>
      <c r="AL1075" s="57"/>
      <c r="AM1075" s="57"/>
      <c r="AN1075" s="57"/>
      <c r="AO1075" s="57"/>
    </row>
    <row r="1076" spans="1:41">
      <c r="A1076" s="55" t="s">
        <v>433</v>
      </c>
      <c r="B1076" s="65" t="s">
        <v>363</v>
      </c>
      <c r="C1076" s="57">
        <v>61.148000000000003</v>
      </c>
      <c r="D1076" s="57">
        <v>58.822000000000003</v>
      </c>
      <c r="E1076" s="57">
        <v>62.064</v>
      </c>
      <c r="F1076" s="57">
        <v>69.150000000000006</v>
      </c>
      <c r="G1076" s="57">
        <v>68.953000000000003</v>
      </c>
      <c r="H1076" s="57">
        <v>69.231999999999999</v>
      </c>
      <c r="I1076" s="57">
        <v>74.17</v>
      </c>
      <c r="J1076" s="57">
        <v>80.730999999999995</v>
      </c>
      <c r="K1076" s="57">
        <v>89.311000000000007</v>
      </c>
      <c r="L1076" s="57">
        <v>93.86</v>
      </c>
      <c r="M1076" s="57">
        <v>99.566000000000003</v>
      </c>
      <c r="N1076" s="57">
        <v>112.792</v>
      </c>
      <c r="O1076" s="57">
        <v>100</v>
      </c>
      <c r="P1076" s="57">
        <v>106.446</v>
      </c>
      <c r="Q1076" s="57">
        <v>117.04300000000001</v>
      </c>
      <c r="R1076" s="57">
        <v>118.20699999999999</v>
      </c>
      <c r="S1076" s="80">
        <v>119.211</v>
      </c>
      <c r="T1076" s="63"/>
      <c r="AD1076" s="57"/>
      <c r="AE1076" s="57"/>
      <c r="AF1076" s="57"/>
      <c r="AG1076" s="57"/>
      <c r="AH1076" s="57"/>
      <c r="AI1076" s="57"/>
      <c r="AJ1076" s="57"/>
      <c r="AK1076" s="57"/>
      <c r="AL1076" s="57"/>
      <c r="AM1076" s="57"/>
      <c r="AN1076" s="57"/>
      <c r="AO1076" s="57"/>
    </row>
    <row r="1077" spans="1:41">
      <c r="A1077" s="55" t="s">
        <v>433</v>
      </c>
      <c r="B1077" s="65" t="s">
        <v>364</v>
      </c>
      <c r="C1077" s="57">
        <v>72.679000000000002</v>
      </c>
      <c r="D1077" s="57">
        <v>70.686999999999998</v>
      </c>
      <c r="E1077" s="57">
        <v>72.536000000000001</v>
      </c>
      <c r="F1077" s="57">
        <v>77.036000000000001</v>
      </c>
      <c r="G1077" s="57">
        <v>76.959999999999994</v>
      </c>
      <c r="H1077" s="57">
        <v>78.168999999999997</v>
      </c>
      <c r="I1077" s="57">
        <v>81.150000000000006</v>
      </c>
      <c r="J1077" s="57">
        <v>86.421999999999997</v>
      </c>
      <c r="K1077" s="57">
        <v>93.013999999999996</v>
      </c>
      <c r="L1077" s="57">
        <v>98.668000000000006</v>
      </c>
      <c r="M1077" s="57">
        <v>101.226</v>
      </c>
      <c r="N1077" s="57">
        <v>110.988</v>
      </c>
      <c r="O1077" s="57">
        <v>100</v>
      </c>
      <c r="P1077" s="57">
        <v>108.22499999999999</v>
      </c>
      <c r="Q1077" s="57">
        <v>120.17700000000001</v>
      </c>
      <c r="R1077" s="57">
        <v>124.39100000000001</v>
      </c>
      <c r="S1077" s="80">
        <v>124.37</v>
      </c>
      <c r="T1077" s="63"/>
      <c r="AD1077" s="57"/>
      <c r="AE1077" s="57"/>
      <c r="AF1077" s="57"/>
      <c r="AG1077" s="57"/>
      <c r="AH1077" s="57"/>
      <c r="AI1077" s="57"/>
      <c r="AJ1077" s="57"/>
      <c r="AK1077" s="57"/>
      <c r="AL1077" s="57"/>
      <c r="AM1077" s="57"/>
      <c r="AN1077" s="57"/>
      <c r="AO1077" s="57"/>
    </row>
    <row r="1078" spans="1:41">
      <c r="A1078" s="55" t="s">
        <v>433</v>
      </c>
      <c r="B1078" s="65" t="s">
        <v>365</v>
      </c>
      <c r="C1078" s="57">
        <v>76.221000000000004</v>
      </c>
      <c r="D1078" s="57">
        <v>75.344999999999999</v>
      </c>
      <c r="E1078" s="57">
        <v>75.409000000000006</v>
      </c>
      <c r="F1078" s="57">
        <v>78.861999999999995</v>
      </c>
      <c r="G1078" s="57">
        <v>78.477999999999994</v>
      </c>
      <c r="H1078" s="57">
        <v>79.561999999999998</v>
      </c>
      <c r="I1078" s="57">
        <v>80.25</v>
      </c>
      <c r="J1078" s="57">
        <v>86.468000000000004</v>
      </c>
      <c r="K1078" s="57">
        <v>92.691000000000003</v>
      </c>
      <c r="L1078" s="57">
        <v>97.369</v>
      </c>
      <c r="M1078" s="57">
        <v>99.525999999999996</v>
      </c>
      <c r="N1078" s="57">
        <v>106.306</v>
      </c>
      <c r="O1078" s="57">
        <v>100</v>
      </c>
      <c r="P1078" s="57">
        <v>107.199</v>
      </c>
      <c r="Q1078" s="57">
        <v>117.367</v>
      </c>
      <c r="R1078" s="57">
        <v>119.121</v>
      </c>
      <c r="S1078" s="80">
        <v>119.899</v>
      </c>
      <c r="T1078" s="63"/>
      <c r="AD1078" s="57"/>
      <c r="AE1078" s="57"/>
      <c r="AF1078" s="57"/>
      <c r="AG1078" s="57"/>
      <c r="AH1078" s="57"/>
      <c r="AI1078" s="57"/>
      <c r="AJ1078" s="57"/>
      <c r="AK1078" s="57"/>
      <c r="AL1078" s="57"/>
      <c r="AM1078" s="57"/>
      <c r="AN1078" s="57"/>
      <c r="AO1078" s="57"/>
    </row>
    <row r="1079" spans="1:41">
      <c r="A1079" s="55" t="s">
        <v>433</v>
      </c>
      <c r="B1079" s="65" t="s">
        <v>366</v>
      </c>
      <c r="C1079" s="57">
        <v>59.279000000000003</v>
      </c>
      <c r="D1079" s="57">
        <v>55.148000000000003</v>
      </c>
      <c r="E1079" s="57">
        <v>57.497</v>
      </c>
      <c r="F1079" s="57">
        <v>66.149000000000001</v>
      </c>
      <c r="G1079" s="57">
        <v>63.84</v>
      </c>
      <c r="H1079" s="57">
        <v>64.887</v>
      </c>
      <c r="I1079" s="57">
        <v>73.399000000000001</v>
      </c>
      <c r="J1079" s="57">
        <v>82.531999999999996</v>
      </c>
      <c r="K1079" s="57">
        <v>93.715000000000003</v>
      </c>
      <c r="L1079" s="57">
        <v>101.898</v>
      </c>
      <c r="M1079" s="57">
        <v>109.578</v>
      </c>
      <c r="N1079" s="57">
        <v>131.70500000000001</v>
      </c>
      <c r="O1079" s="57">
        <v>100</v>
      </c>
      <c r="P1079" s="57">
        <v>107.70099999999999</v>
      </c>
      <c r="Q1079" s="57">
        <v>120.38200000000001</v>
      </c>
      <c r="R1079" s="57">
        <v>113.477</v>
      </c>
      <c r="S1079" s="80">
        <v>115.664</v>
      </c>
      <c r="T1079" s="63"/>
      <c r="AD1079" s="57"/>
      <c r="AE1079" s="57"/>
      <c r="AF1079" s="57"/>
      <c r="AG1079" s="57"/>
      <c r="AH1079" s="57"/>
      <c r="AI1079" s="57"/>
      <c r="AJ1079" s="57"/>
      <c r="AK1079" s="57"/>
      <c r="AL1079" s="57"/>
      <c r="AM1079" s="57"/>
      <c r="AN1079" s="57"/>
      <c r="AO1079" s="57"/>
    </row>
    <row r="1080" spans="1:41">
      <c r="A1080" s="55" t="s">
        <v>433</v>
      </c>
      <c r="B1080" s="65" t="s">
        <v>367</v>
      </c>
      <c r="C1080" s="57">
        <v>71.762</v>
      </c>
      <c r="D1080" s="57">
        <v>72.066000000000003</v>
      </c>
      <c r="E1080" s="57">
        <v>74.019000000000005</v>
      </c>
      <c r="F1080" s="57">
        <v>77.201999999999998</v>
      </c>
      <c r="G1080" s="57">
        <v>78.48</v>
      </c>
      <c r="H1080" s="57">
        <v>79.146000000000001</v>
      </c>
      <c r="I1080" s="57">
        <v>81.707999999999998</v>
      </c>
      <c r="J1080" s="57">
        <v>85.224999999999994</v>
      </c>
      <c r="K1080" s="57">
        <v>90.078000000000003</v>
      </c>
      <c r="L1080" s="57">
        <v>94.427000000000007</v>
      </c>
      <c r="M1080" s="57">
        <v>98.608999999999995</v>
      </c>
      <c r="N1080" s="57">
        <v>105.63500000000001</v>
      </c>
      <c r="O1080" s="57">
        <v>100</v>
      </c>
      <c r="P1080" s="57">
        <v>103.69199999999999</v>
      </c>
      <c r="Q1080" s="57">
        <v>110.342</v>
      </c>
      <c r="R1080" s="57">
        <v>112.723</v>
      </c>
      <c r="S1080" s="80">
        <v>114.645</v>
      </c>
      <c r="T1080" s="63"/>
      <c r="AD1080" s="57"/>
      <c r="AE1080" s="57"/>
      <c r="AF1080" s="57"/>
      <c r="AG1080" s="57"/>
      <c r="AH1080" s="57"/>
      <c r="AI1080" s="57"/>
      <c r="AJ1080" s="57"/>
      <c r="AK1080" s="57"/>
      <c r="AL1080" s="57"/>
      <c r="AM1080" s="57"/>
      <c r="AN1080" s="57"/>
      <c r="AO1080" s="57"/>
    </row>
    <row r="1081" spans="1:41">
      <c r="A1081" s="55" t="s">
        <v>433</v>
      </c>
      <c r="B1081" s="65" t="s">
        <v>368</v>
      </c>
      <c r="C1081" s="57">
        <v>76.611999999999995</v>
      </c>
      <c r="D1081" s="57">
        <v>76.84</v>
      </c>
      <c r="E1081" s="57">
        <v>78.626999999999995</v>
      </c>
      <c r="F1081" s="57">
        <v>81.081999999999994</v>
      </c>
      <c r="G1081" s="57">
        <v>82.984999999999999</v>
      </c>
      <c r="H1081" s="57">
        <v>84.194000000000003</v>
      </c>
      <c r="I1081" s="57">
        <v>86.051000000000002</v>
      </c>
      <c r="J1081" s="57">
        <v>88.366</v>
      </c>
      <c r="K1081" s="57">
        <v>91.186999999999998</v>
      </c>
      <c r="L1081" s="57">
        <v>94.760999999999996</v>
      </c>
      <c r="M1081" s="57">
        <v>97.25</v>
      </c>
      <c r="N1081" s="57">
        <v>101.294</v>
      </c>
      <c r="O1081" s="57">
        <v>100</v>
      </c>
      <c r="P1081" s="57">
        <v>101.416</v>
      </c>
      <c r="Q1081" s="57">
        <v>103.82899999999999</v>
      </c>
      <c r="R1081" s="57">
        <v>104.529</v>
      </c>
      <c r="S1081" s="80">
        <v>106.01900000000001</v>
      </c>
      <c r="AD1081" s="57"/>
      <c r="AE1081" s="57"/>
      <c r="AF1081" s="57"/>
      <c r="AG1081" s="57"/>
      <c r="AH1081" s="57"/>
      <c r="AI1081" s="57"/>
      <c r="AJ1081" s="57"/>
      <c r="AK1081" s="57"/>
      <c r="AL1081" s="57"/>
      <c r="AM1081" s="57"/>
      <c r="AN1081" s="57"/>
      <c r="AO1081" s="57"/>
    </row>
    <row r="1082" spans="1:41">
      <c r="A1082" s="55" t="s">
        <v>433</v>
      </c>
      <c r="B1082" s="65" t="s">
        <v>369</v>
      </c>
      <c r="C1082" s="57">
        <v>88.92</v>
      </c>
      <c r="D1082" s="57">
        <v>88.944999999999993</v>
      </c>
      <c r="E1082" s="57">
        <v>89.542000000000002</v>
      </c>
      <c r="F1082" s="57">
        <v>90.945999999999998</v>
      </c>
      <c r="G1082" s="57">
        <v>91.366</v>
      </c>
      <c r="H1082" s="57">
        <v>90.888999999999996</v>
      </c>
      <c r="I1082" s="57">
        <v>91.872</v>
      </c>
      <c r="J1082" s="57">
        <v>92.965000000000003</v>
      </c>
      <c r="K1082" s="57">
        <v>94.784999999999997</v>
      </c>
      <c r="L1082" s="57">
        <v>97.275999999999996</v>
      </c>
      <c r="M1082" s="57">
        <v>98.049000000000007</v>
      </c>
      <c r="N1082" s="57">
        <v>100.20099999999999</v>
      </c>
      <c r="O1082" s="57">
        <v>100</v>
      </c>
      <c r="P1082" s="57">
        <v>100.712</v>
      </c>
      <c r="Q1082" s="57">
        <v>101.697</v>
      </c>
      <c r="R1082" s="57">
        <v>102.526</v>
      </c>
      <c r="S1082" s="80">
        <v>103.42100000000001</v>
      </c>
      <c r="T1082" s="63"/>
      <c r="AD1082" s="57"/>
      <c r="AE1082" s="57"/>
      <c r="AF1082" s="57"/>
      <c r="AG1082" s="57"/>
      <c r="AH1082" s="57"/>
      <c r="AI1082" s="57"/>
      <c r="AJ1082" s="57"/>
      <c r="AK1082" s="57"/>
      <c r="AL1082" s="57"/>
      <c r="AM1082" s="57"/>
      <c r="AN1082" s="57"/>
      <c r="AO1082" s="57"/>
    </row>
    <row r="1083" spans="1:41">
      <c r="A1083" s="55" t="s">
        <v>433</v>
      </c>
      <c r="B1083" s="65" t="s">
        <v>442</v>
      </c>
      <c r="C1083" s="57">
        <v>85.04</v>
      </c>
      <c r="D1083" s="57">
        <v>85.909000000000006</v>
      </c>
      <c r="E1083" s="57">
        <v>86.3</v>
      </c>
      <c r="F1083" s="57">
        <v>88.697000000000003</v>
      </c>
      <c r="G1083" s="57">
        <v>89.494</v>
      </c>
      <c r="H1083" s="57">
        <v>88.826999999999998</v>
      </c>
      <c r="I1083" s="57">
        <v>89.742000000000004</v>
      </c>
      <c r="J1083" s="57">
        <v>91.491</v>
      </c>
      <c r="K1083" s="57">
        <v>93.853999999999999</v>
      </c>
      <c r="L1083" s="57">
        <v>97.064999999999998</v>
      </c>
      <c r="M1083" s="57">
        <v>98.522000000000006</v>
      </c>
      <c r="N1083" s="57">
        <v>101.104</v>
      </c>
      <c r="O1083" s="57">
        <v>100</v>
      </c>
      <c r="P1083" s="57">
        <v>100.16500000000001</v>
      </c>
      <c r="Q1083" s="57">
        <v>101.517</v>
      </c>
      <c r="R1083" s="57">
        <v>101.717</v>
      </c>
      <c r="S1083" s="80">
        <v>102.34399999999999</v>
      </c>
      <c r="T1083" s="63"/>
      <c r="AD1083" s="57"/>
      <c r="AE1083" s="57"/>
      <c r="AF1083" s="57"/>
      <c r="AG1083" s="57"/>
      <c r="AH1083" s="57"/>
      <c r="AI1083" s="57"/>
      <c r="AJ1083" s="57"/>
      <c r="AK1083" s="57"/>
      <c r="AL1083" s="57"/>
      <c r="AM1083" s="57"/>
      <c r="AN1083" s="57"/>
      <c r="AO1083" s="57"/>
    </row>
    <row r="1084" spans="1:41">
      <c r="A1084" s="55" t="s">
        <v>433</v>
      </c>
      <c r="B1084" s="65" t="s">
        <v>371</v>
      </c>
      <c r="C1084" s="57">
        <v>76.747</v>
      </c>
      <c r="D1084" s="57">
        <v>77.936000000000007</v>
      </c>
      <c r="E1084" s="57">
        <v>80.438000000000002</v>
      </c>
      <c r="F1084" s="57">
        <v>83.554000000000002</v>
      </c>
      <c r="G1084" s="57">
        <v>85.039000000000001</v>
      </c>
      <c r="H1084" s="57">
        <v>85.634</v>
      </c>
      <c r="I1084" s="57">
        <v>87.998000000000005</v>
      </c>
      <c r="J1084" s="57">
        <v>89.972999999999999</v>
      </c>
      <c r="K1084" s="57">
        <v>92.9</v>
      </c>
      <c r="L1084" s="57">
        <v>95.706999999999994</v>
      </c>
      <c r="M1084" s="57">
        <v>97.822000000000003</v>
      </c>
      <c r="N1084" s="57">
        <v>100.092</v>
      </c>
      <c r="O1084" s="57">
        <v>100</v>
      </c>
      <c r="P1084" s="57">
        <v>100.834</v>
      </c>
      <c r="Q1084" s="57">
        <v>101.988</v>
      </c>
      <c r="R1084" s="57">
        <v>103.37</v>
      </c>
      <c r="S1084" s="80">
        <v>104.935</v>
      </c>
      <c r="T1084" s="63"/>
      <c r="AD1084" s="57"/>
      <c r="AE1084" s="57"/>
      <c r="AF1084" s="57"/>
      <c r="AG1084" s="57"/>
      <c r="AH1084" s="57"/>
      <c r="AI1084" s="57"/>
      <c r="AJ1084" s="57"/>
      <c r="AK1084" s="57"/>
      <c r="AL1084" s="57"/>
      <c r="AM1084" s="57"/>
      <c r="AN1084" s="57"/>
      <c r="AO1084" s="57"/>
    </row>
    <row r="1085" spans="1:41">
      <c r="A1085" s="55" t="s">
        <v>433</v>
      </c>
      <c r="B1085" s="65" t="s">
        <v>372</v>
      </c>
      <c r="C1085" s="57">
        <v>93.997</v>
      </c>
      <c r="D1085" s="57">
        <v>93.230999999999995</v>
      </c>
      <c r="E1085" s="57">
        <v>93.335999999999999</v>
      </c>
      <c r="F1085" s="57">
        <v>93.846999999999994</v>
      </c>
      <c r="G1085" s="57">
        <v>93.944999999999993</v>
      </c>
      <c r="H1085" s="57">
        <v>93.331000000000003</v>
      </c>
      <c r="I1085" s="57">
        <v>94.061999999999998</v>
      </c>
      <c r="J1085" s="57">
        <v>94.679000000000002</v>
      </c>
      <c r="K1085" s="57">
        <v>95.96</v>
      </c>
      <c r="L1085" s="57">
        <v>98</v>
      </c>
      <c r="M1085" s="57">
        <v>97.951999999999998</v>
      </c>
      <c r="N1085" s="57">
        <v>99.778000000000006</v>
      </c>
      <c r="O1085" s="57">
        <v>100</v>
      </c>
      <c r="P1085" s="57">
        <v>100.80200000000001</v>
      </c>
      <c r="Q1085" s="57">
        <v>101.509</v>
      </c>
      <c r="R1085" s="57">
        <v>102.387</v>
      </c>
      <c r="S1085" s="80">
        <v>103.244</v>
      </c>
      <c r="T1085" s="63"/>
      <c r="AD1085" s="57"/>
      <c r="AE1085" s="57"/>
      <c r="AF1085" s="57"/>
      <c r="AG1085" s="57"/>
      <c r="AH1085" s="57"/>
      <c r="AI1085" s="57"/>
      <c r="AJ1085" s="57"/>
      <c r="AK1085" s="57"/>
      <c r="AL1085" s="57"/>
      <c r="AM1085" s="57"/>
      <c r="AN1085" s="57"/>
      <c r="AO1085" s="57"/>
    </row>
    <row r="1086" spans="1:41">
      <c r="A1086" s="55" t="s">
        <v>433</v>
      </c>
      <c r="B1086" s="65" t="s">
        <v>443</v>
      </c>
      <c r="C1086" s="57">
        <v>84.638999999999996</v>
      </c>
      <c r="D1086" s="57">
        <v>84.32</v>
      </c>
      <c r="E1086" s="57">
        <v>86.433999999999997</v>
      </c>
      <c r="F1086" s="57">
        <v>88.286000000000001</v>
      </c>
      <c r="G1086" s="57">
        <v>88.176000000000002</v>
      </c>
      <c r="H1086" s="57">
        <v>87.991</v>
      </c>
      <c r="I1086" s="57">
        <v>88.971000000000004</v>
      </c>
      <c r="J1086" s="57">
        <v>90.195999999999998</v>
      </c>
      <c r="K1086" s="57">
        <v>92.61</v>
      </c>
      <c r="L1086" s="57">
        <v>95.644999999999996</v>
      </c>
      <c r="M1086" s="57">
        <v>97.786000000000001</v>
      </c>
      <c r="N1086" s="57">
        <v>100.521</v>
      </c>
      <c r="O1086" s="57">
        <v>100</v>
      </c>
      <c r="P1086" s="57">
        <v>101.11799999999999</v>
      </c>
      <c r="Q1086" s="57">
        <v>102.73699999999999</v>
      </c>
      <c r="R1086" s="57">
        <v>103.934</v>
      </c>
      <c r="S1086" s="80">
        <v>105.03</v>
      </c>
      <c r="AD1086" s="57"/>
      <c r="AE1086" s="57"/>
      <c r="AF1086" s="57"/>
      <c r="AG1086" s="57"/>
      <c r="AH1086" s="57"/>
      <c r="AI1086" s="57"/>
      <c r="AJ1086" s="57"/>
      <c r="AK1086" s="57"/>
      <c r="AL1086" s="57"/>
      <c r="AM1086" s="57"/>
      <c r="AN1086" s="57"/>
      <c r="AO1086" s="57"/>
    </row>
    <row r="1087" spans="1:41">
      <c r="A1087" s="55" t="s">
        <v>433</v>
      </c>
      <c r="B1087" s="65" t="s">
        <v>374</v>
      </c>
      <c r="C1087" s="57">
        <v>82.575999999999993</v>
      </c>
      <c r="D1087" s="57">
        <v>83.075999999999993</v>
      </c>
      <c r="E1087" s="57">
        <v>83.73</v>
      </c>
      <c r="F1087" s="57">
        <v>85.08</v>
      </c>
      <c r="G1087" s="57">
        <v>85.46</v>
      </c>
      <c r="H1087" s="57">
        <v>86.712000000000003</v>
      </c>
      <c r="I1087" s="57">
        <v>88.540999999999997</v>
      </c>
      <c r="J1087" s="57">
        <v>91.308000000000007</v>
      </c>
      <c r="K1087" s="57">
        <v>94.081999999999994</v>
      </c>
      <c r="L1087" s="57">
        <v>97.212000000000003</v>
      </c>
      <c r="M1087" s="57">
        <v>99.637</v>
      </c>
      <c r="N1087" s="57">
        <v>102.137</v>
      </c>
      <c r="O1087" s="57">
        <v>100</v>
      </c>
      <c r="P1087" s="57">
        <v>101.825</v>
      </c>
      <c r="Q1087" s="57">
        <v>103.527</v>
      </c>
      <c r="R1087" s="57">
        <v>104.646</v>
      </c>
      <c r="S1087" s="80">
        <v>105.991</v>
      </c>
      <c r="AD1087" s="57"/>
      <c r="AE1087" s="57"/>
      <c r="AF1087" s="57"/>
      <c r="AG1087" s="57"/>
      <c r="AH1087" s="57"/>
      <c r="AI1087" s="57"/>
      <c r="AJ1087" s="57"/>
      <c r="AK1087" s="57"/>
      <c r="AL1087" s="57"/>
      <c r="AM1087" s="57"/>
      <c r="AN1087" s="57"/>
      <c r="AO1087" s="57"/>
    </row>
    <row r="1088" spans="1:41">
      <c r="A1088" s="55" t="s">
        <v>433</v>
      </c>
      <c r="B1088" s="65" t="s">
        <v>375</v>
      </c>
      <c r="C1088" s="57">
        <v>86.305000000000007</v>
      </c>
      <c r="D1088" s="57">
        <v>86.653000000000006</v>
      </c>
      <c r="E1088" s="57">
        <v>86.658000000000001</v>
      </c>
      <c r="F1088" s="57">
        <v>87.120999999999995</v>
      </c>
      <c r="G1088" s="57">
        <v>86.731999999999999</v>
      </c>
      <c r="H1088" s="57">
        <v>87.929000000000002</v>
      </c>
      <c r="I1088" s="57">
        <v>89.742999999999995</v>
      </c>
      <c r="J1088" s="57">
        <v>92.156999999999996</v>
      </c>
      <c r="K1088" s="57">
        <v>94.203999999999994</v>
      </c>
      <c r="L1088" s="57">
        <v>96.734999999999999</v>
      </c>
      <c r="M1088" s="57">
        <v>99.644999999999996</v>
      </c>
      <c r="N1088" s="57">
        <v>101.908</v>
      </c>
      <c r="O1088" s="57">
        <v>100</v>
      </c>
      <c r="P1088" s="57">
        <v>102.02500000000001</v>
      </c>
      <c r="Q1088" s="57">
        <v>103.459</v>
      </c>
      <c r="R1088" s="57">
        <v>104.48399999999999</v>
      </c>
      <c r="S1088" s="80">
        <v>105.372</v>
      </c>
      <c r="T1088" s="63"/>
      <c r="AD1088" s="57"/>
      <c r="AE1088" s="57"/>
      <c r="AF1088" s="57"/>
      <c r="AG1088" s="57"/>
      <c r="AH1088" s="57"/>
      <c r="AI1088" s="57"/>
      <c r="AJ1088" s="57"/>
      <c r="AK1088" s="57"/>
      <c r="AL1088" s="57"/>
      <c r="AM1088" s="57"/>
      <c r="AN1088" s="57"/>
      <c r="AO1088" s="57"/>
    </row>
    <row r="1089" spans="1:41">
      <c r="A1089" s="55" t="s">
        <v>433</v>
      </c>
      <c r="B1089" s="65" t="s">
        <v>376</v>
      </c>
      <c r="C1089" s="57">
        <v>81.11</v>
      </c>
      <c r="D1089" s="57">
        <v>81.917000000000002</v>
      </c>
      <c r="E1089" s="57">
        <v>82.92</v>
      </c>
      <c r="F1089" s="57">
        <v>84.664000000000001</v>
      </c>
      <c r="G1089" s="57">
        <v>85.602000000000004</v>
      </c>
      <c r="H1089" s="57">
        <v>86.831999999999994</v>
      </c>
      <c r="I1089" s="57">
        <v>88.796999999999997</v>
      </c>
      <c r="J1089" s="57">
        <v>91.914000000000001</v>
      </c>
      <c r="K1089" s="57">
        <v>94.488</v>
      </c>
      <c r="L1089" s="57">
        <v>96.935000000000002</v>
      </c>
      <c r="M1089" s="57">
        <v>100.072</v>
      </c>
      <c r="N1089" s="57">
        <v>102.949</v>
      </c>
      <c r="O1089" s="57">
        <v>100</v>
      </c>
      <c r="P1089" s="57">
        <v>102.869</v>
      </c>
      <c r="Q1089" s="57">
        <v>105.032</v>
      </c>
      <c r="R1089" s="57">
        <v>107.364</v>
      </c>
      <c r="S1089" s="80">
        <v>108.95399999999999</v>
      </c>
      <c r="T1089" s="63"/>
      <c r="AD1089" s="57"/>
      <c r="AE1089" s="57"/>
      <c r="AF1089" s="57"/>
      <c r="AG1089" s="57"/>
      <c r="AH1089" s="57"/>
      <c r="AI1089" s="57"/>
      <c r="AJ1089" s="57"/>
      <c r="AK1089" s="57"/>
      <c r="AL1089" s="57"/>
      <c r="AM1089" s="57"/>
      <c r="AN1089" s="57"/>
      <c r="AO1089" s="57"/>
    </row>
    <row r="1090" spans="1:41">
      <c r="A1090" s="55" t="s">
        <v>433</v>
      </c>
      <c r="B1090" s="65" t="s">
        <v>377</v>
      </c>
      <c r="C1090" s="57">
        <v>104.419</v>
      </c>
      <c r="D1090" s="57">
        <v>102.58</v>
      </c>
      <c r="E1090" s="57">
        <v>98.736000000000004</v>
      </c>
      <c r="F1090" s="57">
        <v>97.084000000000003</v>
      </c>
      <c r="G1090" s="57">
        <v>92.132000000000005</v>
      </c>
      <c r="H1090" s="57">
        <v>90.554000000000002</v>
      </c>
      <c r="I1090" s="57">
        <v>91.53</v>
      </c>
      <c r="J1090" s="57">
        <v>93.182000000000002</v>
      </c>
      <c r="K1090" s="57">
        <v>95.191000000000003</v>
      </c>
      <c r="L1090" s="57">
        <v>97.564999999999998</v>
      </c>
      <c r="M1090" s="57">
        <v>100.354</v>
      </c>
      <c r="N1090" s="57">
        <v>102.42700000000001</v>
      </c>
      <c r="O1090" s="57">
        <v>100</v>
      </c>
      <c r="P1090" s="57">
        <v>101.742</v>
      </c>
      <c r="Q1090" s="57">
        <v>103.401</v>
      </c>
      <c r="R1090" s="57">
        <v>104.509</v>
      </c>
      <c r="S1090" s="80">
        <v>106.571</v>
      </c>
      <c r="T1090" s="63"/>
      <c r="AD1090" s="57"/>
      <c r="AE1090" s="57"/>
      <c r="AF1090" s="57"/>
      <c r="AG1090" s="57"/>
      <c r="AH1090" s="57"/>
      <c r="AI1090" s="57"/>
      <c r="AJ1090" s="57"/>
      <c r="AK1090" s="57"/>
      <c r="AL1090" s="57"/>
      <c r="AM1090" s="57"/>
      <c r="AN1090" s="57"/>
      <c r="AO1090" s="57"/>
    </row>
    <row r="1091" spans="1:41">
      <c r="A1091" s="55" t="s">
        <v>433</v>
      </c>
      <c r="B1091" s="65" t="s">
        <v>378</v>
      </c>
      <c r="C1091" s="57">
        <v>79.709999999999994</v>
      </c>
      <c r="D1091" s="57">
        <v>80.766999999999996</v>
      </c>
      <c r="E1091" s="57">
        <v>82.63</v>
      </c>
      <c r="F1091" s="57">
        <v>84.215000000000003</v>
      </c>
      <c r="G1091" s="57">
        <v>85.927000000000007</v>
      </c>
      <c r="H1091" s="57">
        <v>88.753</v>
      </c>
      <c r="I1091" s="57">
        <v>90.858999999999995</v>
      </c>
      <c r="J1091" s="57">
        <v>92.536000000000001</v>
      </c>
      <c r="K1091" s="57">
        <v>93.652000000000001</v>
      </c>
      <c r="L1091" s="57">
        <v>96.147999999999996</v>
      </c>
      <c r="M1091" s="57">
        <v>97.921000000000006</v>
      </c>
      <c r="N1091" s="57">
        <v>99.908000000000001</v>
      </c>
      <c r="O1091" s="57">
        <v>100</v>
      </c>
      <c r="P1091" s="57">
        <v>101.339</v>
      </c>
      <c r="Q1091" s="57">
        <v>101.843</v>
      </c>
      <c r="R1091" s="57">
        <v>102.056</v>
      </c>
      <c r="S1091" s="80">
        <v>102.023</v>
      </c>
      <c r="T1091" s="63"/>
      <c r="AD1091" s="57"/>
      <c r="AE1091" s="57"/>
      <c r="AF1091" s="57"/>
      <c r="AG1091" s="57"/>
      <c r="AH1091" s="57"/>
      <c r="AI1091" s="57"/>
      <c r="AJ1091" s="57"/>
      <c r="AK1091" s="57"/>
      <c r="AL1091" s="57"/>
      <c r="AM1091" s="57"/>
      <c r="AN1091" s="57"/>
      <c r="AO1091" s="57"/>
    </row>
    <row r="1092" spans="1:41">
      <c r="A1092" s="55" t="s">
        <v>433</v>
      </c>
      <c r="B1092" s="65" t="s">
        <v>379</v>
      </c>
      <c r="C1092" s="57">
        <v>83.724999999999994</v>
      </c>
      <c r="D1092" s="57">
        <v>83.688999999999993</v>
      </c>
      <c r="E1092" s="57">
        <v>83.135999999999996</v>
      </c>
      <c r="F1092" s="57">
        <v>82.069000000000003</v>
      </c>
      <c r="G1092" s="57">
        <v>81.224999999999994</v>
      </c>
      <c r="H1092" s="57">
        <v>82.221999999999994</v>
      </c>
      <c r="I1092" s="57">
        <v>84.269000000000005</v>
      </c>
      <c r="J1092" s="57">
        <v>88.906000000000006</v>
      </c>
      <c r="K1092" s="57">
        <v>92.649000000000001</v>
      </c>
      <c r="L1092" s="57">
        <v>96.126999999999995</v>
      </c>
      <c r="M1092" s="57">
        <v>102.877</v>
      </c>
      <c r="N1092" s="57">
        <v>104.68899999999999</v>
      </c>
      <c r="O1092" s="57">
        <v>100</v>
      </c>
      <c r="P1092" s="57">
        <v>102.73399999999999</v>
      </c>
      <c r="Q1092" s="57">
        <v>105.60599999999999</v>
      </c>
      <c r="R1092" s="57">
        <v>106.871</v>
      </c>
      <c r="S1092" s="80">
        <v>107.238</v>
      </c>
      <c r="AD1092" s="57"/>
      <c r="AE1092" s="57"/>
      <c r="AF1092" s="57"/>
      <c r="AG1092" s="57"/>
      <c r="AH1092" s="57"/>
      <c r="AI1092" s="57"/>
      <c r="AJ1092" s="57"/>
      <c r="AK1092" s="57"/>
      <c r="AL1092" s="57"/>
      <c r="AM1092" s="57"/>
      <c r="AN1092" s="57"/>
      <c r="AO1092" s="57"/>
    </row>
    <row r="1093" spans="1:41" ht="12" customHeight="1">
      <c r="A1093" s="55" t="s">
        <v>433</v>
      </c>
      <c r="B1093" s="65" t="s">
        <v>380</v>
      </c>
      <c r="C1093" s="57">
        <v>77.97</v>
      </c>
      <c r="D1093" s="57">
        <v>78.653000000000006</v>
      </c>
      <c r="E1093" s="57">
        <v>80.155000000000001</v>
      </c>
      <c r="F1093" s="57">
        <v>82.756</v>
      </c>
      <c r="G1093" s="57">
        <v>84.176000000000002</v>
      </c>
      <c r="H1093" s="57">
        <v>85.5</v>
      </c>
      <c r="I1093" s="57">
        <v>87.350999999999999</v>
      </c>
      <c r="J1093" s="57">
        <v>90.516000000000005</v>
      </c>
      <c r="K1093" s="57">
        <v>94.034999999999997</v>
      </c>
      <c r="L1093" s="57">
        <v>97.760999999999996</v>
      </c>
      <c r="M1093" s="57">
        <v>99.626000000000005</v>
      </c>
      <c r="N1093" s="57">
        <v>102.455</v>
      </c>
      <c r="O1093" s="57">
        <v>100</v>
      </c>
      <c r="P1093" s="57">
        <v>101.563</v>
      </c>
      <c r="Q1093" s="57">
        <v>103.60299999999999</v>
      </c>
      <c r="R1093" s="57">
        <v>104.827</v>
      </c>
      <c r="S1093" s="80">
        <v>106.65300000000001</v>
      </c>
      <c r="T1093" s="63"/>
      <c r="AD1093" s="57"/>
      <c r="AE1093" s="57"/>
      <c r="AF1093" s="57"/>
      <c r="AG1093" s="57"/>
      <c r="AH1093" s="57"/>
      <c r="AI1093" s="57"/>
      <c r="AJ1093" s="57"/>
      <c r="AK1093" s="57"/>
      <c r="AL1093" s="57"/>
      <c r="AM1093" s="57"/>
      <c r="AN1093" s="57"/>
      <c r="AO1093" s="57"/>
    </row>
    <row r="1094" spans="1:41">
      <c r="A1094" s="55" t="s">
        <v>433</v>
      </c>
      <c r="B1094" s="65" t="s">
        <v>381</v>
      </c>
      <c r="C1094" s="57">
        <v>77.760999999999996</v>
      </c>
      <c r="D1094" s="57">
        <v>78.456000000000003</v>
      </c>
      <c r="E1094" s="57">
        <v>79.992999999999995</v>
      </c>
      <c r="F1094" s="57">
        <v>82.503</v>
      </c>
      <c r="G1094" s="57">
        <v>84.05</v>
      </c>
      <c r="H1094" s="57">
        <v>85.474000000000004</v>
      </c>
      <c r="I1094" s="57">
        <v>87.248999999999995</v>
      </c>
      <c r="J1094" s="57">
        <v>90.38</v>
      </c>
      <c r="K1094" s="57">
        <v>93.951999999999998</v>
      </c>
      <c r="L1094" s="57">
        <v>97.710999999999999</v>
      </c>
      <c r="M1094" s="57">
        <v>99.503</v>
      </c>
      <c r="N1094" s="57">
        <v>102.291</v>
      </c>
      <c r="O1094" s="57">
        <v>100</v>
      </c>
      <c r="P1094" s="57">
        <v>101.381</v>
      </c>
      <c r="Q1094" s="57">
        <v>103.331</v>
      </c>
      <c r="R1094" s="57">
        <v>104.48699999999999</v>
      </c>
      <c r="S1094" s="80">
        <v>106.363</v>
      </c>
      <c r="T1094" s="63"/>
      <c r="AD1094" s="57"/>
      <c r="AE1094" s="57"/>
      <c r="AF1094" s="57"/>
      <c r="AG1094" s="57"/>
      <c r="AH1094" s="57"/>
      <c r="AI1094" s="57"/>
      <c r="AJ1094" s="57"/>
      <c r="AK1094" s="57"/>
      <c r="AL1094" s="57"/>
      <c r="AM1094" s="57"/>
      <c r="AN1094" s="57"/>
      <c r="AO1094" s="57"/>
    </row>
    <row r="1095" spans="1:41">
      <c r="A1095" s="55" t="s">
        <v>433</v>
      </c>
      <c r="B1095" s="68" t="s">
        <v>444</v>
      </c>
      <c r="C1095" s="57">
        <v>76.213999999999999</v>
      </c>
      <c r="D1095" s="57">
        <v>77.197999999999993</v>
      </c>
      <c r="E1095" s="57">
        <v>79.322000000000003</v>
      </c>
      <c r="F1095" s="57">
        <v>81.72</v>
      </c>
      <c r="G1095" s="57">
        <v>83.774000000000001</v>
      </c>
      <c r="H1095" s="57">
        <v>85.593999999999994</v>
      </c>
      <c r="I1095" s="57">
        <v>87.531999999999996</v>
      </c>
      <c r="J1095" s="57">
        <v>91.361999999999995</v>
      </c>
      <c r="K1095" s="57">
        <v>94.566000000000003</v>
      </c>
      <c r="L1095" s="57">
        <v>98.399000000000001</v>
      </c>
      <c r="M1095" s="57">
        <v>100.69499999999999</v>
      </c>
      <c r="N1095" s="57">
        <v>103.508</v>
      </c>
      <c r="O1095" s="57">
        <v>100</v>
      </c>
      <c r="P1095" s="57">
        <v>101.90600000000001</v>
      </c>
      <c r="Q1095" s="57">
        <v>104.63200000000001</v>
      </c>
      <c r="R1095" s="57">
        <v>107.166</v>
      </c>
      <c r="S1095" s="80">
        <v>109.557</v>
      </c>
      <c r="T1095" s="63"/>
      <c r="AD1095" s="57"/>
      <c r="AE1095" s="57"/>
      <c r="AF1095" s="57"/>
      <c r="AG1095" s="57"/>
      <c r="AH1095" s="57"/>
      <c r="AI1095" s="57"/>
      <c r="AJ1095" s="57"/>
      <c r="AK1095" s="57"/>
      <c r="AL1095" s="57"/>
      <c r="AM1095" s="57"/>
      <c r="AN1095" s="57"/>
      <c r="AO1095" s="57"/>
    </row>
    <row r="1096" spans="1:41">
      <c r="A1096" s="55" t="s">
        <v>433</v>
      </c>
      <c r="B1096" s="68" t="s">
        <v>445</v>
      </c>
      <c r="C1096" s="57">
        <v>78.257999999999996</v>
      </c>
      <c r="D1096" s="57">
        <v>78.853999999999999</v>
      </c>
      <c r="E1096" s="57">
        <v>80.19</v>
      </c>
      <c r="F1096" s="57">
        <v>82.736999999999995</v>
      </c>
      <c r="G1096" s="57">
        <v>84.123999999999995</v>
      </c>
      <c r="H1096" s="57">
        <v>85.427000000000007</v>
      </c>
      <c r="I1096" s="57">
        <v>87.158000000000001</v>
      </c>
      <c r="J1096" s="57">
        <v>90.123000000000005</v>
      </c>
      <c r="K1096" s="57">
        <v>93.769000000000005</v>
      </c>
      <c r="L1096" s="57">
        <v>97.512</v>
      </c>
      <c r="M1096" s="57">
        <v>99.188999999999993</v>
      </c>
      <c r="N1096" s="57">
        <v>101.97</v>
      </c>
      <c r="O1096" s="57">
        <v>100</v>
      </c>
      <c r="P1096" s="57">
        <v>101.235</v>
      </c>
      <c r="Q1096" s="57">
        <v>102.964</v>
      </c>
      <c r="R1096" s="57">
        <v>103.71899999999999</v>
      </c>
      <c r="S1096" s="80">
        <v>105.45099999999999</v>
      </c>
      <c r="T1096" s="63"/>
      <c r="AD1096" s="57"/>
      <c r="AE1096" s="57"/>
      <c r="AF1096" s="57"/>
      <c r="AG1096" s="57"/>
      <c r="AH1096" s="57"/>
      <c r="AI1096" s="57"/>
      <c r="AJ1096" s="57"/>
      <c r="AK1096" s="57"/>
      <c r="AL1096" s="57"/>
      <c r="AM1096" s="57"/>
      <c r="AN1096" s="57"/>
      <c r="AO1096" s="57"/>
    </row>
    <row r="1097" spans="1:41">
      <c r="A1097" s="55" t="s">
        <v>433</v>
      </c>
      <c r="B1097" s="65" t="s">
        <v>382</v>
      </c>
      <c r="C1097" s="57">
        <v>79.385000000000005</v>
      </c>
      <c r="D1097" s="57">
        <v>79.986999999999995</v>
      </c>
      <c r="E1097" s="57">
        <v>81.278000000000006</v>
      </c>
      <c r="F1097" s="57">
        <v>84.412000000000006</v>
      </c>
      <c r="G1097" s="57">
        <v>85.02</v>
      </c>
      <c r="H1097" s="57">
        <v>85.546000000000006</v>
      </c>
      <c r="I1097" s="57">
        <v>87.992000000000004</v>
      </c>
      <c r="J1097" s="57">
        <v>91.396000000000001</v>
      </c>
      <c r="K1097" s="57">
        <v>94.527000000000001</v>
      </c>
      <c r="L1097" s="57">
        <v>97.97</v>
      </c>
      <c r="M1097" s="57">
        <v>100.411</v>
      </c>
      <c r="N1097" s="57">
        <v>103.49299999999999</v>
      </c>
      <c r="O1097" s="57">
        <v>100</v>
      </c>
      <c r="P1097" s="57">
        <v>102.693</v>
      </c>
      <c r="Q1097" s="57">
        <v>105.21299999999999</v>
      </c>
      <c r="R1097" s="57">
        <v>106.785</v>
      </c>
      <c r="S1097" s="80">
        <v>108.33199999999999</v>
      </c>
      <c r="AD1097" s="57"/>
      <c r="AE1097" s="57"/>
      <c r="AF1097" s="57"/>
      <c r="AG1097" s="57"/>
      <c r="AH1097" s="57"/>
      <c r="AI1097" s="57"/>
      <c r="AJ1097" s="57"/>
      <c r="AK1097" s="57"/>
      <c r="AL1097" s="57"/>
      <c r="AM1097" s="57"/>
      <c r="AN1097" s="57"/>
      <c r="AO1097" s="57"/>
    </row>
    <row r="1098" spans="1:41">
      <c r="A1098" s="55" t="s">
        <v>433</v>
      </c>
      <c r="B1098" s="65" t="s">
        <v>383</v>
      </c>
      <c r="C1098" s="57">
        <v>79.480999999999995</v>
      </c>
      <c r="D1098" s="57">
        <v>80.471999999999994</v>
      </c>
      <c r="E1098" s="57">
        <v>82.123999999999995</v>
      </c>
      <c r="F1098" s="57">
        <v>84.677999999999997</v>
      </c>
      <c r="G1098" s="57">
        <v>85.369</v>
      </c>
      <c r="H1098" s="57">
        <v>86.103999999999999</v>
      </c>
      <c r="I1098" s="57">
        <v>87.608999999999995</v>
      </c>
      <c r="J1098" s="57">
        <v>89.914000000000001</v>
      </c>
      <c r="K1098" s="57">
        <v>92.545000000000002</v>
      </c>
      <c r="L1098" s="57">
        <v>95.658000000000001</v>
      </c>
      <c r="M1098" s="57">
        <v>97.709000000000003</v>
      </c>
      <c r="N1098" s="57">
        <v>100.87</v>
      </c>
      <c r="O1098" s="57">
        <v>100</v>
      </c>
      <c r="P1098" s="57">
        <v>101.514</v>
      </c>
      <c r="Q1098" s="57">
        <v>103.67</v>
      </c>
      <c r="R1098" s="57">
        <v>104.825</v>
      </c>
      <c r="S1098" s="80">
        <v>106.08199999999999</v>
      </c>
      <c r="AD1098" s="57"/>
      <c r="AE1098" s="57"/>
      <c r="AF1098" s="57"/>
      <c r="AG1098" s="57"/>
      <c r="AH1098" s="57"/>
      <c r="AI1098" s="57"/>
      <c r="AJ1098" s="57"/>
      <c r="AK1098" s="57"/>
      <c r="AL1098" s="57"/>
      <c r="AM1098" s="57"/>
      <c r="AN1098" s="57"/>
      <c r="AO1098" s="57"/>
    </row>
    <row r="1099" spans="1:41">
      <c r="A1099" s="55" t="s">
        <v>433</v>
      </c>
      <c r="B1099" s="65" t="s">
        <v>384</v>
      </c>
      <c r="C1099" s="57">
        <v>79.94</v>
      </c>
      <c r="D1099" s="57">
        <v>81.078999999999994</v>
      </c>
      <c r="E1099" s="57">
        <v>82.486000000000004</v>
      </c>
      <c r="F1099" s="57">
        <v>84.724000000000004</v>
      </c>
      <c r="G1099" s="57">
        <v>85.575000000000003</v>
      </c>
      <c r="H1099" s="57">
        <v>86.370999999999995</v>
      </c>
      <c r="I1099" s="57">
        <v>87.853999999999999</v>
      </c>
      <c r="J1099" s="57">
        <v>90.188999999999993</v>
      </c>
      <c r="K1099" s="57">
        <v>92.617000000000004</v>
      </c>
      <c r="L1099" s="57">
        <v>95.703000000000003</v>
      </c>
      <c r="M1099" s="57">
        <v>97.765000000000001</v>
      </c>
      <c r="N1099" s="57">
        <v>100.63800000000001</v>
      </c>
      <c r="O1099" s="57">
        <v>100</v>
      </c>
      <c r="P1099" s="57">
        <v>101.325</v>
      </c>
      <c r="Q1099" s="57">
        <v>103.38</v>
      </c>
      <c r="R1099" s="57">
        <v>104.54</v>
      </c>
      <c r="S1099" s="80">
        <v>105.881</v>
      </c>
      <c r="T1099" s="63"/>
      <c r="AD1099" s="57"/>
      <c r="AE1099" s="57"/>
      <c r="AF1099" s="57"/>
      <c r="AG1099" s="57"/>
      <c r="AH1099" s="57"/>
      <c r="AI1099" s="57"/>
      <c r="AJ1099" s="57"/>
      <c r="AK1099" s="57"/>
      <c r="AL1099" s="57"/>
      <c r="AM1099" s="57"/>
      <c r="AN1099" s="57"/>
      <c r="AO1099" s="57"/>
    </row>
    <row r="1100" spans="1:41">
      <c r="A1100" s="55" t="s">
        <v>433</v>
      </c>
      <c r="B1100" s="65" t="s">
        <v>385</v>
      </c>
      <c r="C1100" s="57">
        <v>81.796000000000006</v>
      </c>
      <c r="D1100" s="57">
        <v>82.784000000000006</v>
      </c>
      <c r="E1100" s="57">
        <v>83.942999999999998</v>
      </c>
      <c r="F1100" s="57">
        <v>85.8</v>
      </c>
      <c r="G1100" s="57">
        <v>86.691000000000003</v>
      </c>
      <c r="H1100" s="57">
        <v>87.658000000000001</v>
      </c>
      <c r="I1100" s="57">
        <v>89.221999999999994</v>
      </c>
      <c r="J1100" s="57">
        <v>91.367000000000004</v>
      </c>
      <c r="K1100" s="57">
        <v>93.557000000000002</v>
      </c>
      <c r="L1100" s="57">
        <v>96.421000000000006</v>
      </c>
      <c r="M1100" s="57">
        <v>97.87</v>
      </c>
      <c r="N1100" s="57">
        <v>100.14700000000001</v>
      </c>
      <c r="O1100" s="57">
        <v>100</v>
      </c>
      <c r="P1100" s="57">
        <v>101.42700000000001</v>
      </c>
      <c r="Q1100" s="57">
        <v>102.59399999999999</v>
      </c>
      <c r="R1100" s="57">
        <v>103.72799999999999</v>
      </c>
      <c r="S1100" s="80">
        <v>105.11799999999999</v>
      </c>
      <c r="T1100" s="63"/>
      <c r="AD1100" s="57"/>
      <c r="AE1100" s="57"/>
      <c r="AF1100" s="57"/>
      <c r="AG1100" s="57"/>
      <c r="AH1100" s="57"/>
      <c r="AI1100" s="57"/>
      <c r="AJ1100" s="57"/>
      <c r="AK1100" s="57"/>
      <c r="AL1100" s="57"/>
      <c r="AM1100" s="57"/>
      <c r="AN1100" s="57"/>
      <c r="AO1100" s="57"/>
    </row>
    <row r="1101" spans="1:41">
      <c r="A1101" s="55" t="s">
        <v>433</v>
      </c>
      <c r="B1101" s="65" t="s">
        <v>386</v>
      </c>
      <c r="C1101" s="57">
        <v>83.122</v>
      </c>
      <c r="D1101" s="57">
        <v>83.965999999999994</v>
      </c>
      <c r="E1101" s="57">
        <v>85.146000000000001</v>
      </c>
      <c r="F1101" s="57">
        <v>87.102000000000004</v>
      </c>
      <c r="G1101" s="57">
        <v>87.674000000000007</v>
      </c>
      <c r="H1101" s="57">
        <v>88.566999999999993</v>
      </c>
      <c r="I1101" s="57">
        <v>89.662999999999997</v>
      </c>
      <c r="J1101" s="57">
        <v>91.626000000000005</v>
      </c>
      <c r="K1101" s="57">
        <v>93.56</v>
      </c>
      <c r="L1101" s="57">
        <v>96.251000000000005</v>
      </c>
      <c r="M1101" s="57">
        <v>98.123000000000005</v>
      </c>
      <c r="N1101" s="57">
        <v>100.925</v>
      </c>
      <c r="O1101" s="57">
        <v>100</v>
      </c>
      <c r="P1101" s="57">
        <v>101.33799999999999</v>
      </c>
      <c r="Q1101" s="57">
        <v>102.55</v>
      </c>
      <c r="R1101" s="57">
        <v>103.375</v>
      </c>
      <c r="S1101" s="80">
        <v>104.67400000000001</v>
      </c>
      <c r="T1101" s="63"/>
      <c r="AD1101" s="57"/>
      <c r="AE1101" s="57"/>
      <c r="AF1101" s="57"/>
      <c r="AG1101" s="57"/>
      <c r="AH1101" s="57"/>
      <c r="AI1101" s="57"/>
      <c r="AJ1101" s="57"/>
      <c r="AK1101" s="57"/>
      <c r="AL1101" s="57"/>
      <c r="AM1101" s="57"/>
      <c r="AN1101" s="57"/>
      <c r="AO1101" s="57"/>
    </row>
    <row r="1102" spans="1:41">
      <c r="A1102" s="55" t="s">
        <v>433</v>
      </c>
      <c r="B1102" s="65" t="s">
        <v>387</v>
      </c>
      <c r="C1102" s="57">
        <v>78.748000000000005</v>
      </c>
      <c r="D1102" s="57">
        <v>79.995000000000005</v>
      </c>
      <c r="E1102" s="57">
        <v>81.53</v>
      </c>
      <c r="F1102" s="57">
        <v>83.95</v>
      </c>
      <c r="G1102" s="57">
        <v>84.882000000000005</v>
      </c>
      <c r="H1102" s="57">
        <v>85.611000000000004</v>
      </c>
      <c r="I1102" s="57">
        <v>87.188999999999993</v>
      </c>
      <c r="J1102" s="57">
        <v>89.661000000000001</v>
      </c>
      <c r="K1102" s="57">
        <v>92.245000000000005</v>
      </c>
      <c r="L1102" s="57">
        <v>95.453999999999994</v>
      </c>
      <c r="M1102" s="57">
        <v>97.668000000000006</v>
      </c>
      <c r="N1102" s="57">
        <v>100.642</v>
      </c>
      <c r="O1102" s="57">
        <v>100</v>
      </c>
      <c r="P1102" s="57">
        <v>101.304</v>
      </c>
      <c r="Q1102" s="57">
        <v>103.71599999999999</v>
      </c>
      <c r="R1102" s="57">
        <v>104.958</v>
      </c>
      <c r="S1102" s="80">
        <v>106.301</v>
      </c>
      <c r="AD1102" s="57"/>
      <c r="AE1102" s="57"/>
      <c r="AF1102" s="57"/>
      <c r="AG1102" s="57"/>
      <c r="AH1102" s="57"/>
      <c r="AI1102" s="57"/>
      <c r="AJ1102" s="57"/>
      <c r="AK1102" s="57"/>
      <c r="AL1102" s="57"/>
      <c r="AM1102" s="57"/>
      <c r="AN1102" s="57"/>
      <c r="AO1102" s="57"/>
    </row>
    <row r="1103" spans="1:41">
      <c r="A1103" s="55" t="s">
        <v>433</v>
      </c>
      <c r="B1103" s="65" t="s">
        <v>388</v>
      </c>
      <c r="C1103" s="57">
        <v>82.429000000000002</v>
      </c>
      <c r="D1103" s="57">
        <v>84.078000000000003</v>
      </c>
      <c r="E1103" s="57">
        <v>86.004999999999995</v>
      </c>
      <c r="F1103" s="57">
        <v>87.793000000000006</v>
      </c>
      <c r="G1103" s="57">
        <v>88.028999999999996</v>
      </c>
      <c r="H1103" s="57">
        <v>88.206000000000003</v>
      </c>
      <c r="I1103" s="57">
        <v>89.522999999999996</v>
      </c>
      <c r="J1103" s="57">
        <v>91.281999999999996</v>
      </c>
      <c r="K1103" s="57">
        <v>93.727000000000004</v>
      </c>
      <c r="L1103" s="57">
        <v>96.584999999999994</v>
      </c>
      <c r="M1103" s="57">
        <v>98.525999999999996</v>
      </c>
      <c r="N1103" s="57">
        <v>101.185</v>
      </c>
      <c r="O1103" s="57">
        <v>100</v>
      </c>
      <c r="P1103" s="57">
        <v>101.533</v>
      </c>
      <c r="Q1103" s="57">
        <v>103.295</v>
      </c>
      <c r="R1103" s="57">
        <v>104.238</v>
      </c>
      <c r="S1103" s="80">
        <v>105.47</v>
      </c>
      <c r="AD1103" s="57"/>
      <c r="AE1103" s="57"/>
      <c r="AF1103" s="57"/>
      <c r="AG1103" s="57"/>
      <c r="AH1103" s="57"/>
      <c r="AI1103" s="57"/>
      <c r="AJ1103" s="57"/>
      <c r="AK1103" s="57"/>
      <c r="AL1103" s="57"/>
      <c r="AM1103" s="57"/>
      <c r="AN1103" s="57"/>
      <c r="AO1103" s="57"/>
    </row>
    <row r="1104" spans="1:41">
      <c r="A1104" s="55" t="s">
        <v>433</v>
      </c>
      <c r="B1104" s="65" t="s">
        <v>389</v>
      </c>
      <c r="C1104" s="57">
        <v>76.811000000000007</v>
      </c>
      <c r="D1104" s="57">
        <v>77.186000000000007</v>
      </c>
      <c r="E1104" s="57">
        <v>79.195999999999998</v>
      </c>
      <c r="F1104" s="57">
        <v>82.733999999999995</v>
      </c>
      <c r="G1104" s="57">
        <v>83.263000000000005</v>
      </c>
      <c r="H1104" s="57">
        <v>84.117999999999995</v>
      </c>
      <c r="I1104" s="57">
        <v>85.763000000000005</v>
      </c>
      <c r="J1104" s="57">
        <v>88.296999999999997</v>
      </c>
      <c r="K1104" s="57">
        <v>91.543000000000006</v>
      </c>
      <c r="L1104" s="57">
        <v>94.884</v>
      </c>
      <c r="M1104" s="57">
        <v>96.986000000000004</v>
      </c>
      <c r="N1104" s="57">
        <v>101.19499999999999</v>
      </c>
      <c r="O1104" s="57">
        <v>100</v>
      </c>
      <c r="P1104" s="57">
        <v>101.97799999999999</v>
      </c>
      <c r="Q1104" s="57">
        <v>104.69799999999999</v>
      </c>
      <c r="R1104" s="57">
        <v>106.017</v>
      </c>
      <c r="S1104" s="80">
        <v>107.089</v>
      </c>
      <c r="T1104" s="63"/>
      <c r="AD1104" s="57"/>
      <c r="AE1104" s="57"/>
      <c r="AF1104" s="57"/>
      <c r="AG1104" s="57"/>
      <c r="AH1104" s="57"/>
      <c r="AI1104" s="57"/>
      <c r="AJ1104" s="57"/>
      <c r="AK1104" s="57"/>
      <c r="AL1104" s="57"/>
      <c r="AM1104" s="57"/>
      <c r="AN1104" s="57"/>
      <c r="AO1104" s="57"/>
    </row>
    <row r="1105" spans="1:41">
      <c r="A1105" s="55" t="s">
        <v>433</v>
      </c>
      <c r="B1105" s="65" t="s">
        <v>390</v>
      </c>
      <c r="C1105" s="57">
        <v>77.656999999999996</v>
      </c>
      <c r="D1105" s="57">
        <v>78.164000000000001</v>
      </c>
      <c r="E1105" s="57">
        <v>80.206000000000003</v>
      </c>
      <c r="F1105" s="57">
        <v>83.671999999999997</v>
      </c>
      <c r="G1105" s="57">
        <v>84.131</v>
      </c>
      <c r="H1105" s="57">
        <v>84.971000000000004</v>
      </c>
      <c r="I1105" s="57">
        <v>86.540999999999997</v>
      </c>
      <c r="J1105" s="57">
        <v>88.974000000000004</v>
      </c>
      <c r="K1105" s="57">
        <v>92.156999999999996</v>
      </c>
      <c r="L1105" s="57">
        <v>95.391999999999996</v>
      </c>
      <c r="M1105" s="57">
        <v>97.284000000000006</v>
      </c>
      <c r="N1105" s="57">
        <v>101.175</v>
      </c>
      <c r="O1105" s="57">
        <v>100</v>
      </c>
      <c r="P1105" s="57">
        <v>101.836</v>
      </c>
      <c r="Q1105" s="57">
        <v>104.28700000000001</v>
      </c>
      <c r="R1105" s="57">
        <v>105.593</v>
      </c>
      <c r="S1105" s="80">
        <v>106.745</v>
      </c>
      <c r="T1105" s="63"/>
      <c r="AD1105" s="57"/>
      <c r="AE1105" s="57"/>
      <c r="AF1105" s="57"/>
      <c r="AG1105" s="57"/>
      <c r="AH1105" s="57"/>
      <c r="AI1105" s="57"/>
      <c r="AJ1105" s="57"/>
      <c r="AK1105" s="57"/>
      <c r="AL1105" s="57"/>
      <c r="AM1105" s="57"/>
      <c r="AN1105" s="57"/>
      <c r="AO1105" s="57"/>
    </row>
    <row r="1106" spans="1:41">
      <c r="A1106" s="55" t="s">
        <v>433</v>
      </c>
      <c r="B1106" s="65" t="s">
        <v>391</v>
      </c>
      <c r="C1106" s="57">
        <v>72.555999999999997</v>
      </c>
      <c r="D1106" s="57">
        <v>72.2</v>
      </c>
      <c r="E1106" s="57">
        <v>74.043000000000006</v>
      </c>
      <c r="F1106" s="57">
        <v>78.037000000000006</v>
      </c>
      <c r="G1106" s="57">
        <v>78.983999999999995</v>
      </c>
      <c r="H1106" s="57">
        <v>79.94</v>
      </c>
      <c r="I1106" s="57">
        <v>82.049000000000007</v>
      </c>
      <c r="J1106" s="57">
        <v>85.134</v>
      </c>
      <c r="K1106" s="57">
        <v>88.71</v>
      </c>
      <c r="L1106" s="57">
        <v>92.54</v>
      </c>
      <c r="M1106" s="57">
        <v>95.59</v>
      </c>
      <c r="N1106" s="57">
        <v>101.29</v>
      </c>
      <c r="O1106" s="57">
        <v>100</v>
      </c>
      <c r="P1106" s="57">
        <v>102.7</v>
      </c>
      <c r="Q1106" s="57">
        <v>106.76600000000001</v>
      </c>
      <c r="R1106" s="57">
        <v>108.146</v>
      </c>
      <c r="S1106" s="80">
        <v>108.824</v>
      </c>
      <c r="AD1106" s="57"/>
      <c r="AE1106" s="57"/>
      <c r="AF1106" s="57"/>
      <c r="AG1106" s="57"/>
      <c r="AH1106" s="57"/>
      <c r="AI1106" s="57"/>
      <c r="AJ1106" s="57"/>
      <c r="AK1106" s="57"/>
      <c r="AL1106" s="57"/>
      <c r="AM1106" s="57"/>
      <c r="AN1106" s="57"/>
      <c r="AO1106" s="57"/>
    </row>
    <row r="1107" spans="1:41">
      <c r="A1107" s="55" t="s">
        <v>433</v>
      </c>
      <c r="B1107" s="65" t="s">
        <v>392</v>
      </c>
      <c r="C1107" s="57">
        <v>76.858999999999995</v>
      </c>
      <c r="D1107" s="57">
        <v>78.146000000000001</v>
      </c>
      <c r="E1107" s="57">
        <v>79.445999999999998</v>
      </c>
      <c r="F1107" s="57">
        <v>81.769000000000005</v>
      </c>
      <c r="G1107" s="57">
        <v>83.251000000000005</v>
      </c>
      <c r="H1107" s="57">
        <v>83.83</v>
      </c>
      <c r="I1107" s="57">
        <v>85.988</v>
      </c>
      <c r="J1107" s="57">
        <v>88.665999999999997</v>
      </c>
      <c r="K1107" s="57">
        <v>91.703000000000003</v>
      </c>
      <c r="L1107" s="57">
        <v>94.558000000000007</v>
      </c>
      <c r="M1107" s="57">
        <v>96.855999999999995</v>
      </c>
      <c r="N1107" s="57">
        <v>100.28400000000001</v>
      </c>
      <c r="O1107" s="57">
        <v>100</v>
      </c>
      <c r="P1107" s="57">
        <v>101.688</v>
      </c>
      <c r="Q1107" s="57">
        <v>104.27500000000001</v>
      </c>
      <c r="R1107" s="57">
        <v>105.25700000000001</v>
      </c>
      <c r="S1107" s="80">
        <v>106.78700000000001</v>
      </c>
      <c r="AD1107" s="57"/>
      <c r="AE1107" s="57"/>
      <c r="AF1107" s="57"/>
      <c r="AG1107" s="57"/>
      <c r="AH1107" s="57"/>
      <c r="AI1107" s="57"/>
      <c r="AJ1107" s="57"/>
      <c r="AK1107" s="57"/>
      <c r="AL1107" s="57"/>
      <c r="AM1107" s="57"/>
      <c r="AN1107" s="57"/>
      <c r="AO1107" s="57"/>
    </row>
    <row r="1108" spans="1:41">
      <c r="A1108" s="55" t="s">
        <v>433</v>
      </c>
      <c r="B1108" s="65" t="s">
        <v>393</v>
      </c>
      <c r="C1108" s="57">
        <v>76.039000000000001</v>
      </c>
      <c r="D1108" s="57">
        <v>75.893000000000001</v>
      </c>
      <c r="E1108" s="57">
        <v>76.831000000000003</v>
      </c>
      <c r="F1108" s="57">
        <v>80.629000000000005</v>
      </c>
      <c r="G1108" s="57">
        <v>83.784000000000006</v>
      </c>
      <c r="H1108" s="57">
        <v>81.938000000000002</v>
      </c>
      <c r="I1108" s="57">
        <v>86.346000000000004</v>
      </c>
      <c r="J1108" s="57">
        <v>89.619</v>
      </c>
      <c r="K1108" s="57">
        <v>93.584000000000003</v>
      </c>
      <c r="L1108" s="57">
        <v>95.968999999999994</v>
      </c>
      <c r="M1108" s="57">
        <v>97.853999999999999</v>
      </c>
      <c r="N1108" s="57">
        <v>101.508</v>
      </c>
      <c r="O1108" s="57">
        <v>100</v>
      </c>
      <c r="P1108" s="57">
        <v>101.637</v>
      </c>
      <c r="Q1108" s="57">
        <v>104.33199999999999</v>
      </c>
      <c r="R1108" s="57">
        <v>105.767</v>
      </c>
      <c r="S1108" s="80">
        <v>107.33799999999999</v>
      </c>
      <c r="AD1108" s="57"/>
      <c r="AE1108" s="57"/>
      <c r="AF1108" s="57"/>
      <c r="AG1108" s="57"/>
      <c r="AH1108" s="57"/>
      <c r="AI1108" s="57"/>
      <c r="AJ1108" s="57"/>
      <c r="AK1108" s="57"/>
      <c r="AL1108" s="57"/>
      <c r="AM1108" s="57"/>
      <c r="AN1108" s="57"/>
      <c r="AO1108" s="57"/>
    </row>
    <row r="1109" spans="1:41">
      <c r="A1109" s="55" t="s">
        <v>433</v>
      </c>
      <c r="B1109" s="65" t="s">
        <v>394</v>
      </c>
      <c r="C1109" s="57">
        <v>76.983999999999995</v>
      </c>
      <c r="D1109" s="57">
        <v>78.481999999999999</v>
      </c>
      <c r="E1109" s="57">
        <v>79.838999999999999</v>
      </c>
      <c r="F1109" s="57">
        <v>81.929000000000002</v>
      </c>
      <c r="G1109" s="57">
        <v>83.147999999999996</v>
      </c>
      <c r="H1109" s="57">
        <v>84.105999999999995</v>
      </c>
      <c r="I1109" s="57">
        <v>85.926000000000002</v>
      </c>
      <c r="J1109" s="57">
        <v>88.522000000000006</v>
      </c>
      <c r="K1109" s="57">
        <v>91.44</v>
      </c>
      <c r="L1109" s="57">
        <v>94.356999999999999</v>
      </c>
      <c r="M1109" s="57">
        <v>96.710999999999999</v>
      </c>
      <c r="N1109" s="57">
        <v>100.107</v>
      </c>
      <c r="O1109" s="57">
        <v>100</v>
      </c>
      <c r="P1109" s="57">
        <v>101.69499999999999</v>
      </c>
      <c r="Q1109" s="57">
        <v>104.265</v>
      </c>
      <c r="R1109" s="57">
        <v>105.176</v>
      </c>
      <c r="S1109" s="80">
        <v>106.7</v>
      </c>
      <c r="T1109" s="63"/>
      <c r="AD1109" s="57"/>
      <c r="AE1109" s="57"/>
      <c r="AF1109" s="57"/>
      <c r="AG1109" s="57"/>
      <c r="AH1109" s="57"/>
      <c r="AI1109" s="57"/>
      <c r="AJ1109" s="57"/>
      <c r="AK1109" s="57"/>
      <c r="AL1109" s="57"/>
      <c r="AM1109" s="57"/>
      <c r="AN1109" s="57"/>
      <c r="AO1109" s="57"/>
    </row>
    <row r="1110" spans="1:41">
      <c r="A1110" s="55" t="s">
        <v>433</v>
      </c>
      <c r="B1110" s="65" t="s">
        <v>395</v>
      </c>
      <c r="C1110" s="57">
        <v>77.206999999999994</v>
      </c>
      <c r="D1110" s="57">
        <v>78.596000000000004</v>
      </c>
      <c r="E1110" s="57">
        <v>79.947000000000003</v>
      </c>
      <c r="F1110" s="57">
        <v>82.075000000000003</v>
      </c>
      <c r="G1110" s="57">
        <v>83.245000000000005</v>
      </c>
      <c r="H1110" s="57">
        <v>84.245999999999995</v>
      </c>
      <c r="I1110" s="57">
        <v>85.941000000000003</v>
      </c>
      <c r="J1110" s="57">
        <v>88.391999999999996</v>
      </c>
      <c r="K1110" s="57">
        <v>91.323999999999998</v>
      </c>
      <c r="L1110" s="57">
        <v>94.34</v>
      </c>
      <c r="M1110" s="57">
        <v>96.412000000000006</v>
      </c>
      <c r="N1110" s="57">
        <v>99.820999999999998</v>
      </c>
      <c r="O1110" s="57">
        <v>100</v>
      </c>
      <c r="P1110" s="57">
        <v>101.518</v>
      </c>
      <c r="Q1110" s="57">
        <v>103.965</v>
      </c>
      <c r="R1110" s="57">
        <v>104.768</v>
      </c>
      <c r="S1110" s="80">
        <v>106.34699999999999</v>
      </c>
      <c r="T1110" s="63"/>
      <c r="AD1110" s="57"/>
      <c r="AE1110" s="57"/>
      <c r="AF1110" s="57"/>
      <c r="AG1110" s="57"/>
      <c r="AH1110" s="57"/>
      <c r="AI1110" s="57"/>
      <c r="AJ1110" s="57"/>
      <c r="AK1110" s="57"/>
      <c r="AL1110" s="57"/>
      <c r="AM1110" s="57"/>
      <c r="AN1110" s="57"/>
      <c r="AO1110" s="57"/>
    </row>
    <row r="1111" spans="1:41">
      <c r="A1111" s="55" t="s">
        <v>433</v>
      </c>
      <c r="B1111" s="65" t="s">
        <v>446</v>
      </c>
      <c r="C1111" s="57">
        <v>76.165999999999997</v>
      </c>
      <c r="D1111" s="57">
        <v>78.034999999999997</v>
      </c>
      <c r="E1111" s="57">
        <v>79.427000000000007</v>
      </c>
      <c r="F1111" s="57">
        <v>81.418000000000006</v>
      </c>
      <c r="G1111" s="57">
        <v>82.63</v>
      </c>
      <c r="H1111" s="57">
        <v>83.698999999999998</v>
      </c>
      <c r="I1111" s="57">
        <v>85.537000000000006</v>
      </c>
      <c r="J1111" s="57">
        <v>88.177999999999997</v>
      </c>
      <c r="K1111" s="57">
        <v>91.09</v>
      </c>
      <c r="L1111" s="57">
        <v>93.897999999999996</v>
      </c>
      <c r="M1111" s="57">
        <v>96.492000000000004</v>
      </c>
      <c r="N1111" s="57">
        <v>99.835999999999999</v>
      </c>
      <c r="O1111" s="57">
        <v>100</v>
      </c>
      <c r="P1111" s="57">
        <v>101.89700000000001</v>
      </c>
      <c r="Q1111" s="57">
        <v>104.491</v>
      </c>
      <c r="R1111" s="57">
        <v>105.36799999999999</v>
      </c>
      <c r="S1111" s="80">
        <v>106.964</v>
      </c>
      <c r="T1111" s="63"/>
      <c r="AD1111" s="57"/>
      <c r="AE1111" s="57"/>
      <c r="AF1111" s="57"/>
      <c r="AG1111" s="57"/>
      <c r="AH1111" s="57"/>
      <c r="AI1111" s="57"/>
      <c r="AJ1111" s="57"/>
      <c r="AK1111" s="57"/>
      <c r="AL1111" s="57"/>
      <c r="AM1111" s="57"/>
      <c r="AN1111" s="57"/>
      <c r="AO1111" s="57"/>
    </row>
    <row r="1112" spans="1:41">
      <c r="A1112" s="55" t="s">
        <v>433</v>
      </c>
      <c r="B1112" s="65" t="s">
        <v>447</v>
      </c>
      <c r="C1112" s="57">
        <v>77.921999999999997</v>
      </c>
      <c r="D1112" s="57">
        <v>78.959999999999994</v>
      </c>
      <c r="E1112" s="57">
        <v>80.233999999999995</v>
      </c>
      <c r="F1112" s="57">
        <v>82.504999999999995</v>
      </c>
      <c r="G1112" s="57">
        <v>83.82</v>
      </c>
      <c r="H1112" s="57">
        <v>84.480999999999995</v>
      </c>
      <c r="I1112" s="57">
        <v>86.816999999999993</v>
      </c>
      <c r="J1112" s="57">
        <v>89.552000000000007</v>
      </c>
      <c r="K1112" s="57">
        <v>92.585999999999999</v>
      </c>
      <c r="L1112" s="57">
        <v>95.549000000000007</v>
      </c>
      <c r="M1112" s="57">
        <v>97.914000000000001</v>
      </c>
      <c r="N1112" s="57">
        <v>101.581</v>
      </c>
      <c r="O1112" s="57">
        <v>100</v>
      </c>
      <c r="P1112" s="57">
        <v>101.878</v>
      </c>
      <c r="Q1112" s="57">
        <v>104.836</v>
      </c>
      <c r="R1112" s="57">
        <v>105.878</v>
      </c>
      <c r="S1112" s="80">
        <v>107.23</v>
      </c>
      <c r="T1112" s="63"/>
      <c r="AD1112" s="57"/>
      <c r="AE1112" s="57"/>
      <c r="AF1112" s="57"/>
      <c r="AG1112" s="57"/>
      <c r="AH1112" s="57"/>
      <c r="AI1112" s="57"/>
      <c r="AJ1112" s="57"/>
      <c r="AK1112" s="57"/>
      <c r="AL1112" s="57"/>
      <c r="AM1112" s="57"/>
      <c r="AN1112" s="57"/>
      <c r="AO1112" s="57"/>
    </row>
    <row r="1113" spans="1:41">
      <c r="A1113" s="55" t="s">
        <v>433</v>
      </c>
      <c r="B1113" s="65" t="s">
        <v>397</v>
      </c>
      <c r="C1113" s="57">
        <v>78.262</v>
      </c>
      <c r="D1113" s="57">
        <v>79.215000000000003</v>
      </c>
      <c r="E1113" s="57">
        <v>80.531000000000006</v>
      </c>
      <c r="F1113" s="57">
        <v>82.643000000000001</v>
      </c>
      <c r="G1113" s="57">
        <v>84.022999999999996</v>
      </c>
      <c r="H1113" s="57">
        <v>84.647000000000006</v>
      </c>
      <c r="I1113" s="57">
        <v>86.462999999999994</v>
      </c>
      <c r="J1113" s="57">
        <v>89.47</v>
      </c>
      <c r="K1113" s="57">
        <v>92.204999999999998</v>
      </c>
      <c r="L1113" s="57">
        <v>95.034999999999997</v>
      </c>
      <c r="M1113" s="57">
        <v>97.733000000000004</v>
      </c>
      <c r="N1113" s="57">
        <v>100.967</v>
      </c>
      <c r="O1113" s="57">
        <v>100</v>
      </c>
      <c r="P1113" s="57">
        <v>101.43300000000001</v>
      </c>
      <c r="Q1113" s="57">
        <v>104.024</v>
      </c>
      <c r="R1113" s="57">
        <v>105.43600000000001</v>
      </c>
      <c r="S1113" s="80">
        <v>106.51300000000001</v>
      </c>
      <c r="AD1113" s="57"/>
      <c r="AE1113" s="57"/>
      <c r="AF1113" s="57"/>
      <c r="AG1113" s="57"/>
      <c r="AH1113" s="57"/>
      <c r="AI1113" s="57"/>
      <c r="AJ1113" s="57"/>
      <c r="AK1113" s="57"/>
      <c r="AL1113" s="57"/>
      <c r="AM1113" s="57"/>
      <c r="AN1113" s="57"/>
      <c r="AO1113" s="57"/>
    </row>
    <row r="1114" spans="1:41">
      <c r="A1114" s="55" t="s">
        <v>433</v>
      </c>
      <c r="B1114" s="65" t="s">
        <v>398</v>
      </c>
      <c r="C1114" s="57">
        <v>75.531000000000006</v>
      </c>
      <c r="D1114" s="57">
        <v>76.129000000000005</v>
      </c>
      <c r="E1114" s="57">
        <v>77.287999999999997</v>
      </c>
      <c r="F1114" s="57">
        <v>79.251999999999995</v>
      </c>
      <c r="G1114" s="57">
        <v>80.754999999999995</v>
      </c>
      <c r="H1114" s="57">
        <v>81.021000000000001</v>
      </c>
      <c r="I1114" s="57">
        <v>83.515000000000001</v>
      </c>
      <c r="J1114" s="57">
        <v>87.036000000000001</v>
      </c>
      <c r="K1114" s="57">
        <v>90.046000000000006</v>
      </c>
      <c r="L1114" s="57">
        <v>92.97</v>
      </c>
      <c r="M1114" s="57">
        <v>96.149000000000001</v>
      </c>
      <c r="N1114" s="57">
        <v>100.926</v>
      </c>
      <c r="O1114" s="57">
        <v>100</v>
      </c>
      <c r="P1114" s="57">
        <v>102.181</v>
      </c>
      <c r="Q1114" s="57">
        <v>105.80200000000001</v>
      </c>
      <c r="R1114" s="57">
        <v>107.367</v>
      </c>
      <c r="S1114" s="80">
        <v>108.59099999999999</v>
      </c>
      <c r="AD1114" s="57"/>
      <c r="AE1114" s="57"/>
      <c r="AF1114" s="57"/>
      <c r="AG1114" s="57"/>
      <c r="AH1114" s="57"/>
      <c r="AI1114" s="57"/>
      <c r="AJ1114" s="57"/>
      <c r="AK1114" s="57"/>
      <c r="AL1114" s="57"/>
      <c r="AM1114" s="57"/>
      <c r="AN1114" s="57"/>
      <c r="AO1114" s="57"/>
    </row>
    <row r="1115" spans="1:41">
      <c r="A1115" s="55" t="s">
        <v>433</v>
      </c>
      <c r="B1115" s="65" t="s">
        <v>399</v>
      </c>
      <c r="C1115" s="57">
        <v>73.992999999999995</v>
      </c>
      <c r="D1115" s="57">
        <v>75.096000000000004</v>
      </c>
      <c r="E1115" s="57">
        <v>76.994</v>
      </c>
      <c r="F1115" s="57">
        <v>79.5</v>
      </c>
      <c r="G1115" s="57">
        <v>81.498999999999995</v>
      </c>
      <c r="H1115" s="57">
        <v>82.522999999999996</v>
      </c>
      <c r="I1115" s="57">
        <v>84.704999999999998</v>
      </c>
      <c r="J1115" s="57">
        <v>87.668000000000006</v>
      </c>
      <c r="K1115" s="57">
        <v>91.06</v>
      </c>
      <c r="L1115" s="57">
        <v>94.465999999999994</v>
      </c>
      <c r="M1115" s="57">
        <v>97.078000000000003</v>
      </c>
      <c r="N1115" s="57">
        <v>100.702</v>
      </c>
      <c r="O1115" s="57">
        <v>100</v>
      </c>
      <c r="P1115" s="57">
        <v>101.938</v>
      </c>
      <c r="Q1115" s="57">
        <v>104.03</v>
      </c>
      <c r="R1115" s="57">
        <v>105.45</v>
      </c>
      <c r="S1115" s="80">
        <v>107.03400000000001</v>
      </c>
      <c r="T1115" s="63"/>
      <c r="AD1115" s="57"/>
      <c r="AE1115" s="57"/>
      <c r="AF1115" s="57"/>
      <c r="AG1115" s="57"/>
      <c r="AH1115" s="57"/>
      <c r="AI1115" s="57"/>
      <c r="AJ1115" s="57"/>
      <c r="AK1115" s="57"/>
      <c r="AL1115" s="57"/>
      <c r="AM1115" s="57"/>
      <c r="AN1115" s="57"/>
      <c r="AO1115" s="57"/>
    </row>
    <row r="1116" spans="1:41">
      <c r="A1116" s="55" t="s">
        <v>433</v>
      </c>
      <c r="B1116" s="65" t="s">
        <v>400</v>
      </c>
      <c r="C1116" s="57">
        <v>71.706000000000003</v>
      </c>
      <c r="D1116" s="57">
        <v>73.066000000000003</v>
      </c>
      <c r="E1116" s="57">
        <v>75.566000000000003</v>
      </c>
      <c r="F1116" s="57">
        <v>78.441999999999993</v>
      </c>
      <c r="G1116" s="57">
        <v>80.685000000000002</v>
      </c>
      <c r="H1116" s="57">
        <v>82.096000000000004</v>
      </c>
      <c r="I1116" s="57">
        <v>83.978999999999999</v>
      </c>
      <c r="J1116" s="57">
        <v>86.775000000000006</v>
      </c>
      <c r="K1116" s="57">
        <v>90.069000000000003</v>
      </c>
      <c r="L1116" s="57">
        <v>93.340999999999994</v>
      </c>
      <c r="M1116" s="57">
        <v>96.218000000000004</v>
      </c>
      <c r="N1116" s="57">
        <v>99.653999999999996</v>
      </c>
      <c r="O1116" s="57">
        <v>100</v>
      </c>
      <c r="P1116" s="57">
        <v>101.733</v>
      </c>
      <c r="Q1116" s="57">
        <v>103.242</v>
      </c>
      <c r="R1116" s="57">
        <v>104.893</v>
      </c>
      <c r="S1116" s="80">
        <v>106.682</v>
      </c>
      <c r="T1116" s="63"/>
      <c r="AD1116" s="57"/>
      <c r="AE1116" s="57"/>
      <c r="AF1116" s="57"/>
      <c r="AG1116" s="57"/>
      <c r="AH1116" s="57"/>
      <c r="AI1116" s="57"/>
      <c r="AJ1116" s="57"/>
      <c r="AK1116" s="57"/>
      <c r="AL1116" s="57"/>
      <c r="AM1116" s="57"/>
      <c r="AN1116" s="57"/>
      <c r="AO1116" s="57"/>
    </row>
    <row r="1117" spans="1:41">
      <c r="A1117" s="55" t="s">
        <v>433</v>
      </c>
      <c r="B1117" s="65" t="s">
        <v>401</v>
      </c>
      <c r="C1117" s="57">
        <v>76.296000000000006</v>
      </c>
      <c r="D1117" s="57">
        <v>77.153000000000006</v>
      </c>
      <c r="E1117" s="57">
        <v>78.48</v>
      </c>
      <c r="F1117" s="57">
        <v>80.613</v>
      </c>
      <c r="G1117" s="57">
        <v>82.343999999999994</v>
      </c>
      <c r="H1117" s="57">
        <v>82.912000000000006</v>
      </c>
      <c r="I1117" s="57">
        <v>85.448999999999998</v>
      </c>
      <c r="J1117" s="57">
        <v>88.591999999999999</v>
      </c>
      <c r="K1117" s="57">
        <v>92.084999999999994</v>
      </c>
      <c r="L1117" s="57">
        <v>95.626000000000005</v>
      </c>
      <c r="M1117" s="57">
        <v>97.977999999999994</v>
      </c>
      <c r="N1117" s="57">
        <v>101.797</v>
      </c>
      <c r="O1117" s="57">
        <v>100</v>
      </c>
      <c r="P1117" s="57">
        <v>102.158</v>
      </c>
      <c r="Q1117" s="57">
        <v>104.89700000000001</v>
      </c>
      <c r="R1117" s="57">
        <v>106.065</v>
      </c>
      <c r="S1117" s="80">
        <v>107.428</v>
      </c>
      <c r="AD1117" s="57"/>
      <c r="AE1117" s="57"/>
      <c r="AF1117" s="57"/>
      <c r="AG1117" s="57"/>
      <c r="AH1117" s="57"/>
      <c r="AI1117" s="57"/>
      <c r="AJ1117" s="57"/>
      <c r="AK1117" s="57"/>
      <c r="AL1117" s="57"/>
      <c r="AM1117" s="57"/>
      <c r="AN1117" s="57"/>
      <c r="AO1117" s="57"/>
    </row>
    <row r="1118" spans="1:41">
      <c r="A1118" s="55" t="s">
        <v>433</v>
      </c>
      <c r="B1118" s="65" t="s">
        <v>402</v>
      </c>
      <c r="C1118" s="57">
        <v>75.819000000000003</v>
      </c>
      <c r="D1118" s="57">
        <v>76.296000000000006</v>
      </c>
      <c r="E1118" s="57">
        <v>77.275000000000006</v>
      </c>
      <c r="F1118" s="57">
        <v>79.108999999999995</v>
      </c>
      <c r="G1118" s="57">
        <v>80.492000000000004</v>
      </c>
      <c r="H1118" s="57">
        <v>80.567999999999998</v>
      </c>
      <c r="I1118" s="57">
        <v>83.138999999999996</v>
      </c>
      <c r="J1118" s="57">
        <v>86.805999999999997</v>
      </c>
      <c r="K1118" s="57">
        <v>89.710999999999999</v>
      </c>
      <c r="L1118" s="57">
        <v>92.501000000000005</v>
      </c>
      <c r="M1118" s="57">
        <v>95.85</v>
      </c>
      <c r="N1118" s="57">
        <v>100.999</v>
      </c>
      <c r="O1118" s="57">
        <v>100</v>
      </c>
      <c r="P1118" s="57">
        <v>102.258</v>
      </c>
      <c r="Q1118" s="57">
        <v>106.363</v>
      </c>
      <c r="R1118" s="57">
        <v>107.974</v>
      </c>
      <c r="S1118" s="80">
        <v>109.086</v>
      </c>
      <c r="T1118" s="63"/>
      <c r="AD1118" s="57"/>
      <c r="AE1118" s="57"/>
      <c r="AF1118" s="57"/>
      <c r="AG1118" s="57"/>
      <c r="AH1118" s="57"/>
      <c r="AI1118" s="57"/>
      <c r="AJ1118" s="57"/>
      <c r="AK1118" s="57"/>
      <c r="AL1118" s="57"/>
      <c r="AM1118" s="57"/>
      <c r="AN1118" s="57"/>
      <c r="AO1118" s="57"/>
    </row>
    <row r="1119" spans="1:41">
      <c r="A1119" s="55" t="s">
        <v>433</v>
      </c>
      <c r="B1119" s="65" t="s">
        <v>403</v>
      </c>
      <c r="C1119" s="57">
        <v>74.822999999999993</v>
      </c>
      <c r="D1119" s="57">
        <v>76.046999999999997</v>
      </c>
      <c r="E1119" s="57">
        <v>77.405000000000001</v>
      </c>
      <c r="F1119" s="57">
        <v>79.635000000000005</v>
      </c>
      <c r="G1119" s="57">
        <v>80.620999999999995</v>
      </c>
      <c r="H1119" s="57">
        <v>80.716999999999999</v>
      </c>
      <c r="I1119" s="57">
        <v>83.253</v>
      </c>
      <c r="J1119" s="57">
        <v>86.7</v>
      </c>
      <c r="K1119" s="57">
        <v>89.650999999999996</v>
      </c>
      <c r="L1119" s="57">
        <v>92.721999999999994</v>
      </c>
      <c r="M1119" s="57">
        <v>96.132999999999996</v>
      </c>
      <c r="N1119" s="57">
        <v>101.006</v>
      </c>
      <c r="O1119" s="57">
        <v>100</v>
      </c>
      <c r="P1119" s="57">
        <v>101.59099999999999</v>
      </c>
      <c r="Q1119" s="57">
        <v>104.99299999999999</v>
      </c>
      <c r="R1119" s="57">
        <v>106.596</v>
      </c>
      <c r="S1119" s="80">
        <v>108.03700000000001</v>
      </c>
      <c r="T1119" s="63"/>
      <c r="AD1119" s="57"/>
      <c r="AE1119" s="57"/>
      <c r="AF1119" s="57"/>
      <c r="AG1119" s="57"/>
      <c r="AH1119" s="57"/>
      <c r="AI1119" s="57"/>
      <c r="AJ1119" s="57"/>
      <c r="AK1119" s="57"/>
      <c r="AL1119" s="57"/>
      <c r="AM1119" s="57"/>
      <c r="AN1119" s="57"/>
      <c r="AO1119" s="57"/>
    </row>
    <row r="1120" spans="1:41">
      <c r="A1120" s="55" t="s">
        <v>433</v>
      </c>
      <c r="B1120" s="65" t="s">
        <v>404</v>
      </c>
      <c r="C1120" s="57">
        <v>76.138999999999996</v>
      </c>
      <c r="D1120" s="57">
        <v>76.382000000000005</v>
      </c>
      <c r="E1120" s="57">
        <v>77.241</v>
      </c>
      <c r="F1120" s="57">
        <v>78.944999999999993</v>
      </c>
      <c r="G1120" s="57">
        <v>80.459000000000003</v>
      </c>
      <c r="H1120" s="57">
        <v>80.528000000000006</v>
      </c>
      <c r="I1120" s="57">
        <v>83.111000000000004</v>
      </c>
      <c r="J1120" s="57">
        <v>86.846000000000004</v>
      </c>
      <c r="K1120" s="57">
        <v>89.738</v>
      </c>
      <c r="L1120" s="57">
        <v>92.438000000000002</v>
      </c>
      <c r="M1120" s="57">
        <v>95.766999999999996</v>
      </c>
      <c r="N1120" s="57">
        <v>100.997</v>
      </c>
      <c r="O1120" s="57">
        <v>100</v>
      </c>
      <c r="P1120" s="57">
        <v>102.44499999999999</v>
      </c>
      <c r="Q1120" s="57">
        <v>106.735</v>
      </c>
      <c r="R1120" s="57">
        <v>108.349</v>
      </c>
      <c r="S1120" s="80">
        <v>109.374</v>
      </c>
      <c r="AD1120" s="57"/>
      <c r="AE1120" s="57"/>
      <c r="AF1120" s="57"/>
      <c r="AG1120" s="57"/>
      <c r="AH1120" s="57"/>
      <c r="AI1120" s="57"/>
      <c r="AJ1120" s="57"/>
      <c r="AK1120" s="57"/>
      <c r="AL1120" s="57"/>
      <c r="AM1120" s="57"/>
      <c r="AN1120" s="57"/>
      <c r="AO1120" s="57"/>
    </row>
    <row r="1121" spans="1:41">
      <c r="A1121" s="55" t="s">
        <v>433</v>
      </c>
      <c r="B1121" s="65" t="s">
        <v>415</v>
      </c>
      <c r="C1121" s="57">
        <v>83.465000000000003</v>
      </c>
      <c r="D1121" s="57">
        <v>83.602000000000004</v>
      </c>
      <c r="E1121" s="57">
        <v>83.974000000000004</v>
      </c>
      <c r="F1121" s="57">
        <v>84.924000000000007</v>
      </c>
      <c r="G1121" s="57">
        <v>85.584000000000003</v>
      </c>
      <c r="H1121" s="57">
        <v>86.063999999999993</v>
      </c>
      <c r="I1121" s="57">
        <v>87.831000000000003</v>
      </c>
      <c r="J1121" s="57">
        <v>90.141000000000005</v>
      </c>
      <c r="K1121" s="57">
        <v>92.881</v>
      </c>
      <c r="L1121" s="57">
        <v>95.887</v>
      </c>
      <c r="M1121" s="57">
        <v>98.308000000000007</v>
      </c>
      <c r="N1121" s="57">
        <v>101.401</v>
      </c>
      <c r="O1121" s="57">
        <v>100</v>
      </c>
      <c r="P1121" s="57">
        <v>101.411</v>
      </c>
      <c r="Q1121" s="57">
        <v>103.70399999999999</v>
      </c>
      <c r="R1121" s="57">
        <v>104.821</v>
      </c>
      <c r="S1121" s="80">
        <v>106.018</v>
      </c>
      <c r="AD1121" s="57"/>
      <c r="AE1121" s="57"/>
      <c r="AF1121" s="57"/>
      <c r="AG1121" s="57"/>
      <c r="AH1121" s="57"/>
      <c r="AI1121" s="57"/>
      <c r="AJ1121" s="57"/>
      <c r="AK1121" s="57"/>
      <c r="AL1121" s="57"/>
      <c r="AM1121" s="57"/>
      <c r="AN1121" s="57"/>
      <c r="AO1121" s="57"/>
    </row>
    <row r="1122" spans="1:41">
      <c r="A1122" s="55" t="s">
        <v>433</v>
      </c>
      <c r="B1122" s="65" t="s">
        <v>174</v>
      </c>
      <c r="C1122" s="57">
        <v>70.105000000000004</v>
      </c>
      <c r="D1122" s="57">
        <v>69.692999999999998</v>
      </c>
      <c r="E1122" s="57">
        <v>71.293999999999997</v>
      </c>
      <c r="F1122" s="57">
        <v>75.302999999999997</v>
      </c>
      <c r="G1122" s="57">
        <v>76.447000000000003</v>
      </c>
      <c r="H1122" s="57">
        <v>77.019000000000005</v>
      </c>
      <c r="I1122" s="57">
        <v>80.414000000000001</v>
      </c>
      <c r="J1122" s="57">
        <v>84.075999999999993</v>
      </c>
      <c r="K1122" s="57">
        <v>89.706000000000003</v>
      </c>
      <c r="L1122" s="57">
        <v>93.948999999999998</v>
      </c>
      <c r="M1122" s="57">
        <v>97.897000000000006</v>
      </c>
      <c r="N1122" s="57">
        <v>104.684</v>
      </c>
      <c r="O1122" s="57">
        <v>100</v>
      </c>
      <c r="P1122" s="57">
        <v>103.788</v>
      </c>
      <c r="Q1122" s="57">
        <v>109.143</v>
      </c>
      <c r="R1122" s="57">
        <v>110.78100000000001</v>
      </c>
      <c r="S1122" s="80">
        <v>112.4</v>
      </c>
      <c r="AD1122" s="57"/>
      <c r="AE1122" s="57"/>
      <c r="AF1122" s="57"/>
      <c r="AG1122" s="57"/>
      <c r="AH1122" s="57"/>
      <c r="AI1122" s="57"/>
      <c r="AJ1122" s="57"/>
      <c r="AK1122" s="57"/>
      <c r="AL1122" s="57"/>
      <c r="AM1122" s="57"/>
      <c r="AN1122" s="57"/>
      <c r="AO1122" s="57"/>
    </row>
    <row r="1123" spans="1:41">
      <c r="A1123" s="55" t="s">
        <v>433</v>
      </c>
      <c r="B1123" s="65" t="s">
        <v>219</v>
      </c>
      <c r="C1123" s="57">
        <v>73.834000000000003</v>
      </c>
      <c r="D1123" s="57">
        <v>74.116</v>
      </c>
      <c r="E1123" s="57">
        <v>75.313000000000002</v>
      </c>
      <c r="F1123" s="57">
        <v>78.238</v>
      </c>
      <c r="G1123" s="57">
        <v>80.12</v>
      </c>
      <c r="H1123" s="57">
        <v>81.546999999999997</v>
      </c>
      <c r="I1123" s="57">
        <v>84.293999999999997</v>
      </c>
      <c r="J1123" s="57">
        <v>87.355999999999995</v>
      </c>
      <c r="K1123" s="57">
        <v>91.387</v>
      </c>
      <c r="L1123" s="57">
        <v>94.908000000000001</v>
      </c>
      <c r="M1123" s="57">
        <v>97.582999999999998</v>
      </c>
      <c r="N1123" s="57">
        <v>102.43</v>
      </c>
      <c r="O1123" s="57">
        <v>100</v>
      </c>
      <c r="P1123" s="57">
        <v>102.779</v>
      </c>
      <c r="Q1123" s="57">
        <v>107.26</v>
      </c>
      <c r="R1123" s="57">
        <v>108.75700000000001</v>
      </c>
      <c r="S1123" s="80">
        <v>110.11499999999999</v>
      </c>
      <c r="T1123" s="63"/>
      <c r="AD1123" s="57"/>
      <c r="AE1123" s="57"/>
      <c r="AF1123" s="57"/>
      <c r="AG1123" s="57"/>
      <c r="AH1123" s="57"/>
      <c r="AI1123" s="57"/>
      <c r="AJ1123" s="57"/>
      <c r="AK1123" s="57"/>
      <c r="AL1123" s="57"/>
      <c r="AM1123" s="57"/>
      <c r="AN1123" s="57"/>
      <c r="AO1123" s="57"/>
    </row>
    <row r="1124" spans="1:41">
      <c r="A1124" s="55" t="s">
        <v>433</v>
      </c>
      <c r="B1124" s="55" t="s">
        <v>448</v>
      </c>
      <c r="C1124" s="57">
        <v>74.331999999999994</v>
      </c>
      <c r="D1124" s="57">
        <v>74.569999999999993</v>
      </c>
      <c r="E1124" s="57">
        <v>75.692999999999998</v>
      </c>
      <c r="F1124" s="57">
        <v>78.572999999999993</v>
      </c>
      <c r="G1124" s="57">
        <v>80.350999999999999</v>
      </c>
      <c r="H1124" s="57">
        <v>81.855000000000004</v>
      </c>
      <c r="I1124" s="57">
        <v>84.405000000000001</v>
      </c>
      <c r="J1124" s="57">
        <v>87.399000000000001</v>
      </c>
      <c r="K1124" s="57">
        <v>91.212000000000003</v>
      </c>
      <c r="L1124" s="57">
        <v>94.688999999999993</v>
      </c>
      <c r="M1124" s="57">
        <v>97.331999999999994</v>
      </c>
      <c r="N1124" s="57">
        <v>101.92700000000001</v>
      </c>
      <c r="O1124" s="57">
        <v>100</v>
      </c>
      <c r="P1124" s="57">
        <v>102.631</v>
      </c>
      <c r="Q1124" s="57">
        <v>107.041</v>
      </c>
      <c r="R1124" s="57">
        <v>108.538</v>
      </c>
      <c r="S1124" s="80">
        <v>109.78</v>
      </c>
      <c r="T1124" s="63"/>
      <c r="AD1124" s="57"/>
      <c r="AE1124" s="57"/>
      <c r="AF1124" s="57"/>
      <c r="AG1124" s="57"/>
      <c r="AH1124" s="57"/>
      <c r="AI1124" s="57"/>
      <c r="AJ1124" s="57"/>
      <c r="AK1124" s="57"/>
      <c r="AL1124" s="57"/>
      <c r="AM1124" s="57"/>
      <c r="AN1124" s="57"/>
      <c r="AO1124" s="57"/>
    </row>
    <row r="1125" spans="1:41">
      <c r="A1125" s="55" t="s">
        <v>433</v>
      </c>
      <c r="B1125" s="69" t="s">
        <v>449</v>
      </c>
      <c r="C1125" s="57">
        <v>74.016999999999996</v>
      </c>
      <c r="D1125" s="57">
        <v>74.295000000000002</v>
      </c>
      <c r="E1125" s="57">
        <v>75.451999999999998</v>
      </c>
      <c r="F1125" s="57">
        <v>78.433999999999997</v>
      </c>
      <c r="G1125" s="57">
        <v>80.057000000000002</v>
      </c>
      <c r="H1125" s="57">
        <v>81.564999999999998</v>
      </c>
      <c r="I1125" s="57">
        <v>84.474000000000004</v>
      </c>
      <c r="J1125" s="57">
        <v>87.531000000000006</v>
      </c>
      <c r="K1125" s="57">
        <v>91.462000000000003</v>
      </c>
      <c r="L1125" s="57">
        <v>94.918000000000006</v>
      </c>
      <c r="M1125" s="57">
        <v>97.573999999999998</v>
      </c>
      <c r="N1125" s="57">
        <v>102.557</v>
      </c>
      <c r="O1125" s="57">
        <v>100</v>
      </c>
      <c r="P1125" s="57">
        <v>102.569</v>
      </c>
      <c r="Q1125" s="57">
        <v>107.16200000000001</v>
      </c>
      <c r="R1125" s="57">
        <v>108.453</v>
      </c>
      <c r="S1125" s="80">
        <v>109.67700000000001</v>
      </c>
      <c r="T1125" s="63"/>
      <c r="AD1125" s="57"/>
      <c r="AE1125" s="57"/>
      <c r="AF1125" s="57"/>
      <c r="AG1125" s="57"/>
      <c r="AH1125" s="57"/>
      <c r="AI1125" s="57"/>
      <c r="AJ1125" s="57"/>
      <c r="AK1125" s="57"/>
      <c r="AL1125" s="57"/>
      <c r="AM1125" s="57"/>
      <c r="AN1125" s="57"/>
      <c r="AO1125" s="57"/>
    </row>
    <row r="1126" spans="1:41">
      <c r="A1126" s="55" t="s">
        <v>433</v>
      </c>
      <c r="B1126" s="69" t="s">
        <v>450</v>
      </c>
      <c r="C1126" s="57">
        <v>75.138000000000005</v>
      </c>
      <c r="D1126" s="57">
        <v>75.275999999999996</v>
      </c>
      <c r="E1126" s="57">
        <v>76.301000000000002</v>
      </c>
      <c r="F1126" s="57">
        <v>78.903000000000006</v>
      </c>
      <c r="G1126" s="57">
        <v>81.070999999999998</v>
      </c>
      <c r="H1126" s="57">
        <v>82.564999999999998</v>
      </c>
      <c r="I1126" s="57">
        <v>84.26</v>
      </c>
      <c r="J1126" s="57">
        <v>87.099000000000004</v>
      </c>
      <c r="K1126" s="57">
        <v>90.629000000000005</v>
      </c>
      <c r="L1126" s="57">
        <v>94.156000000000006</v>
      </c>
      <c r="M1126" s="57">
        <v>96.77</v>
      </c>
      <c r="N1126" s="57">
        <v>100.4</v>
      </c>
      <c r="O1126" s="57">
        <v>100</v>
      </c>
      <c r="P1126" s="57">
        <v>102.779</v>
      </c>
      <c r="Q1126" s="57">
        <v>106.759</v>
      </c>
      <c r="R1126" s="57">
        <v>108.746</v>
      </c>
      <c r="S1126" s="80">
        <v>110.02800000000001</v>
      </c>
      <c r="T1126" s="63"/>
      <c r="AD1126" s="57"/>
      <c r="AE1126" s="57"/>
      <c r="AF1126" s="57"/>
      <c r="AG1126" s="57"/>
      <c r="AH1126" s="57"/>
      <c r="AI1126" s="57"/>
      <c r="AJ1126" s="57"/>
      <c r="AK1126" s="57"/>
      <c r="AL1126" s="57"/>
      <c r="AM1126" s="57"/>
      <c r="AN1126" s="57"/>
      <c r="AO1126" s="57"/>
    </row>
    <row r="1127" spans="1:41" ht="15">
      <c r="A1127" s="55" t="s">
        <v>433</v>
      </c>
      <c r="B1127" s="70" t="s">
        <v>451</v>
      </c>
      <c r="C1127" s="57">
        <v>68.701999999999998</v>
      </c>
      <c r="D1127" s="57">
        <v>69.316999999999993</v>
      </c>
      <c r="E1127" s="57">
        <v>71.042000000000002</v>
      </c>
      <c r="F1127" s="57">
        <v>74.259</v>
      </c>
      <c r="G1127" s="57">
        <v>76.924000000000007</v>
      </c>
      <c r="H1127" s="57">
        <v>77.644000000000005</v>
      </c>
      <c r="I1127" s="57">
        <v>82.497</v>
      </c>
      <c r="J1127" s="57">
        <v>86.382000000000005</v>
      </c>
      <c r="K1127" s="57">
        <v>93.149000000000001</v>
      </c>
      <c r="L1127" s="57">
        <v>97.165000000000006</v>
      </c>
      <c r="M1127" s="57">
        <v>100.194</v>
      </c>
      <c r="N1127" s="57">
        <v>107.663</v>
      </c>
      <c r="O1127" s="57">
        <v>100</v>
      </c>
      <c r="P1127" s="57">
        <v>104.351</v>
      </c>
      <c r="Q1127" s="57">
        <v>109.568</v>
      </c>
      <c r="R1127" s="57">
        <v>111.072</v>
      </c>
      <c r="S1127" s="80">
        <v>113.316</v>
      </c>
      <c r="AD1127" s="57"/>
      <c r="AE1127" s="57"/>
      <c r="AF1127" s="57"/>
      <c r="AG1127" s="57"/>
      <c r="AH1127" s="57"/>
      <c r="AI1127" s="57"/>
      <c r="AJ1127" s="57"/>
      <c r="AK1127" s="57"/>
      <c r="AL1127" s="57"/>
      <c r="AM1127" s="57"/>
      <c r="AN1127" s="57"/>
      <c r="AO1127" s="57"/>
    </row>
    <row r="1128" spans="1:41">
      <c r="A1128" s="55" t="s">
        <v>433</v>
      </c>
      <c r="B1128" s="65" t="s">
        <v>221</v>
      </c>
      <c r="C1128" s="57">
        <v>68.462999999999994</v>
      </c>
      <c r="D1128" s="57">
        <v>67.808000000000007</v>
      </c>
      <c r="E1128" s="57">
        <v>69.534999999999997</v>
      </c>
      <c r="F1128" s="57">
        <v>73.881</v>
      </c>
      <c r="G1128" s="57">
        <v>74.768000000000001</v>
      </c>
      <c r="H1128" s="57">
        <v>75.028999999999996</v>
      </c>
      <c r="I1128" s="57">
        <v>78.674000000000007</v>
      </c>
      <c r="J1128" s="57">
        <v>82.602000000000004</v>
      </c>
      <c r="K1128" s="57">
        <v>88.983999999999995</v>
      </c>
      <c r="L1128" s="57">
        <v>93.575000000000003</v>
      </c>
      <c r="M1128" s="57">
        <v>98.13</v>
      </c>
      <c r="N1128" s="57">
        <v>105.9</v>
      </c>
      <c r="O1128" s="57">
        <v>100</v>
      </c>
      <c r="P1128" s="57">
        <v>104.364</v>
      </c>
      <c r="Q1128" s="57">
        <v>110.233</v>
      </c>
      <c r="R1128" s="57">
        <v>111.953</v>
      </c>
      <c r="S1128" s="80">
        <v>113.712</v>
      </c>
      <c r="T1128" s="63"/>
      <c r="AD1128" s="57"/>
      <c r="AE1128" s="57"/>
      <c r="AF1128" s="57"/>
      <c r="AG1128" s="57"/>
      <c r="AH1128" s="57"/>
      <c r="AI1128" s="57"/>
      <c r="AJ1128" s="57"/>
      <c r="AK1128" s="57"/>
      <c r="AL1128" s="57"/>
      <c r="AM1128" s="57"/>
      <c r="AN1128" s="57"/>
      <c r="AO1128" s="57"/>
    </row>
    <row r="1129" spans="1:41">
      <c r="A1129" s="55" t="s">
        <v>433</v>
      </c>
      <c r="B1129" s="65" t="s">
        <v>452</v>
      </c>
      <c r="C1129" s="57">
        <v>68.701999999999998</v>
      </c>
      <c r="D1129" s="57">
        <v>68.376000000000005</v>
      </c>
      <c r="E1129" s="57">
        <v>69.957999999999998</v>
      </c>
      <c r="F1129" s="57">
        <v>73.819000000000003</v>
      </c>
      <c r="G1129" s="57">
        <v>74.792000000000002</v>
      </c>
      <c r="H1129" s="57">
        <v>75.19</v>
      </c>
      <c r="I1129" s="57">
        <v>78.418999999999997</v>
      </c>
      <c r="J1129" s="57">
        <v>82.07</v>
      </c>
      <c r="K1129" s="57">
        <v>87.855000000000004</v>
      </c>
      <c r="L1129" s="57">
        <v>92.406999999999996</v>
      </c>
      <c r="M1129" s="57">
        <v>97.043999999999997</v>
      </c>
      <c r="N1129" s="57">
        <v>104.477</v>
      </c>
      <c r="O1129" s="57">
        <v>100</v>
      </c>
      <c r="P1129" s="57">
        <v>103.997</v>
      </c>
      <c r="Q1129" s="57">
        <v>109.907</v>
      </c>
      <c r="R1129" s="57">
        <v>112.11</v>
      </c>
      <c r="S1129" s="80">
        <v>113.71299999999999</v>
      </c>
      <c r="T1129" s="63"/>
      <c r="AD1129" s="57"/>
      <c r="AE1129" s="57"/>
      <c r="AF1129" s="57"/>
      <c r="AG1129" s="57"/>
      <c r="AH1129" s="57"/>
      <c r="AI1129" s="57"/>
      <c r="AJ1129" s="57"/>
      <c r="AK1129" s="57"/>
      <c r="AL1129" s="57"/>
      <c r="AM1129" s="57"/>
      <c r="AN1129" s="57"/>
      <c r="AO1129" s="57"/>
    </row>
    <row r="1130" spans="1:41">
      <c r="A1130" s="55" t="s">
        <v>433</v>
      </c>
      <c r="B1130" s="65" t="s">
        <v>453</v>
      </c>
      <c r="C1130" s="57">
        <v>66.462999999999994</v>
      </c>
      <c r="D1130" s="57">
        <v>64.319000000000003</v>
      </c>
      <c r="E1130" s="57">
        <v>66.715000000000003</v>
      </c>
      <c r="F1130" s="57">
        <v>73.513999999999996</v>
      </c>
      <c r="G1130" s="57">
        <v>73.921000000000006</v>
      </c>
      <c r="H1130" s="57">
        <v>73.450999999999993</v>
      </c>
      <c r="I1130" s="57">
        <v>79.224000000000004</v>
      </c>
      <c r="J1130" s="57">
        <v>84.519000000000005</v>
      </c>
      <c r="K1130" s="57">
        <v>93.843999999999994</v>
      </c>
      <c r="L1130" s="57">
        <v>98.597999999999999</v>
      </c>
      <c r="M1130" s="57">
        <v>102.741</v>
      </c>
      <c r="N1130" s="57">
        <v>112.051</v>
      </c>
      <c r="O1130" s="57">
        <v>100</v>
      </c>
      <c r="P1130" s="57">
        <v>105.902</v>
      </c>
      <c r="Q1130" s="57">
        <v>111.6</v>
      </c>
      <c r="R1130" s="57">
        <v>111.3</v>
      </c>
      <c r="S1130" s="80">
        <v>113.71</v>
      </c>
      <c r="AD1130" s="57"/>
      <c r="AE1130" s="57"/>
      <c r="AF1130" s="57"/>
      <c r="AG1130" s="57"/>
      <c r="AH1130" s="57"/>
      <c r="AI1130" s="57"/>
      <c r="AJ1130" s="57"/>
      <c r="AK1130" s="57"/>
      <c r="AL1130" s="57"/>
      <c r="AM1130" s="57"/>
      <c r="AN1130" s="57"/>
      <c r="AO1130" s="57"/>
    </row>
    <row r="1131" spans="1:41">
      <c r="B1131" s="55" t="s">
        <v>198</v>
      </c>
      <c r="AD1131" s="57"/>
      <c r="AE1131" s="57"/>
      <c r="AF1131" s="57"/>
      <c r="AG1131" s="57"/>
      <c r="AH1131" s="57"/>
      <c r="AI1131" s="57"/>
      <c r="AJ1131" s="57"/>
      <c r="AK1131" s="57"/>
      <c r="AL1131" s="57"/>
      <c r="AM1131" s="57"/>
      <c r="AN1131" s="57"/>
      <c r="AO1131" s="57"/>
    </row>
    <row r="1132" spans="1:41" ht="14.25">
      <c r="A1132" s="55" t="s">
        <v>433</v>
      </c>
      <c r="B1132" s="69" t="s">
        <v>454</v>
      </c>
      <c r="C1132" s="55">
        <v>74.290999999999997</v>
      </c>
      <c r="D1132" s="55">
        <v>71.734999999999999</v>
      </c>
      <c r="E1132" s="55">
        <v>71.823999999999998</v>
      </c>
      <c r="F1132" s="55">
        <v>75.286000000000001</v>
      </c>
      <c r="G1132" s="55">
        <v>74.632999999999996</v>
      </c>
      <c r="H1132" s="55">
        <v>74.097999999999999</v>
      </c>
      <c r="I1132" s="55">
        <v>77.325999999999993</v>
      </c>
      <c r="J1132" s="55">
        <v>83.480999999999995</v>
      </c>
      <c r="K1132" s="55">
        <v>89.832999999999998</v>
      </c>
      <c r="L1132" s="55">
        <v>95.369</v>
      </c>
      <c r="M1132" s="55">
        <v>100.18899999999999</v>
      </c>
      <c r="N1132" s="55">
        <v>111.529</v>
      </c>
      <c r="O1132" s="55">
        <v>100</v>
      </c>
      <c r="P1132" s="55">
        <v>107.82</v>
      </c>
      <c r="Q1132" s="55">
        <v>118.822</v>
      </c>
      <c r="R1132" s="55">
        <v>119.205</v>
      </c>
      <c r="S1132" s="80">
        <v>119.527</v>
      </c>
      <c r="AD1132" s="57"/>
      <c r="AE1132" s="57"/>
      <c r="AF1132" s="57"/>
      <c r="AG1132" s="57"/>
      <c r="AH1132" s="57"/>
      <c r="AI1132" s="57"/>
      <c r="AJ1132" s="57"/>
      <c r="AK1132" s="57"/>
      <c r="AL1132" s="57"/>
      <c r="AM1132" s="57"/>
      <c r="AN1132" s="57"/>
      <c r="AO1132" s="57"/>
    </row>
    <row r="1133" spans="1:41" ht="14.25">
      <c r="A1133" s="55" t="s">
        <v>433</v>
      </c>
      <c r="B1133" s="69" t="s">
        <v>455</v>
      </c>
      <c r="C1133" s="57">
        <v>79.572000000000003</v>
      </c>
      <c r="D1133" s="57">
        <v>79.745000000000005</v>
      </c>
      <c r="E1133" s="57">
        <v>80.989999999999995</v>
      </c>
      <c r="F1133" s="57">
        <v>83.665000000000006</v>
      </c>
      <c r="G1133" s="57">
        <v>84.334999999999994</v>
      </c>
      <c r="H1133" s="57">
        <v>84.700999999999993</v>
      </c>
      <c r="I1133" s="57">
        <v>86.953000000000003</v>
      </c>
      <c r="J1133" s="57">
        <v>89.81</v>
      </c>
      <c r="K1133" s="57">
        <v>93.296000000000006</v>
      </c>
      <c r="L1133" s="57">
        <v>96.483999999999995</v>
      </c>
      <c r="M1133" s="57">
        <v>98.885999999999996</v>
      </c>
      <c r="N1133" s="57">
        <v>102.964</v>
      </c>
      <c r="O1133" s="57">
        <v>100</v>
      </c>
      <c r="P1133" s="57">
        <v>102.273</v>
      </c>
      <c r="Q1133" s="57">
        <v>104.974</v>
      </c>
      <c r="R1133" s="57">
        <v>106.018</v>
      </c>
      <c r="S1133" s="80">
        <v>107.34</v>
      </c>
      <c r="T1133" s="63"/>
      <c r="AD1133" s="57"/>
      <c r="AE1133" s="57"/>
      <c r="AF1133" s="57"/>
      <c r="AG1133" s="57"/>
      <c r="AH1133" s="57"/>
      <c r="AI1133" s="57"/>
      <c r="AJ1133" s="57"/>
      <c r="AK1133" s="57"/>
      <c r="AL1133" s="57"/>
      <c r="AM1133" s="57"/>
      <c r="AN1133" s="57"/>
      <c r="AO1133" s="57"/>
    </row>
    <row r="1134" spans="1:41" ht="14.25">
      <c r="A1134" s="55" t="s">
        <v>433</v>
      </c>
      <c r="B1134" s="71" t="s">
        <v>456</v>
      </c>
      <c r="C1134" s="57">
        <v>101.55800000000001</v>
      </c>
      <c r="D1134" s="57">
        <v>98.247</v>
      </c>
      <c r="E1134" s="57">
        <v>96.423000000000002</v>
      </c>
      <c r="F1134" s="57">
        <v>95.915000000000006</v>
      </c>
      <c r="G1134" s="57">
        <v>94.427999999999997</v>
      </c>
      <c r="H1134" s="57">
        <v>93.504000000000005</v>
      </c>
      <c r="I1134" s="57">
        <v>93.77</v>
      </c>
      <c r="J1134" s="57">
        <v>94.653999999999996</v>
      </c>
      <c r="K1134" s="57">
        <v>95.888999999999996</v>
      </c>
      <c r="L1134" s="57">
        <v>98.066999999999993</v>
      </c>
      <c r="M1134" s="57">
        <v>98.608000000000004</v>
      </c>
      <c r="N1134" s="57">
        <v>100.51600000000001</v>
      </c>
      <c r="O1134" s="57">
        <v>100</v>
      </c>
      <c r="P1134" s="57">
        <v>100.745</v>
      </c>
      <c r="Q1134" s="57">
        <v>101.79</v>
      </c>
      <c r="R1134" s="57">
        <v>102.431</v>
      </c>
      <c r="S1134" s="80">
        <v>103.179</v>
      </c>
      <c r="AD1134" s="57"/>
      <c r="AE1134" s="57"/>
      <c r="AF1134" s="57"/>
      <c r="AG1134" s="57"/>
      <c r="AH1134" s="57"/>
      <c r="AI1134" s="57"/>
      <c r="AJ1134" s="57"/>
      <c r="AK1134" s="57"/>
      <c r="AL1134" s="57"/>
      <c r="AM1134" s="57"/>
      <c r="AN1134" s="57"/>
      <c r="AO1134" s="57"/>
    </row>
    <row r="1135" spans="1:41">
      <c r="C1135" s="57"/>
      <c r="D1135" s="57"/>
      <c r="E1135" s="57"/>
      <c r="F1135" s="57"/>
      <c r="G1135" s="57"/>
      <c r="H1135" s="57"/>
      <c r="I1135" s="57"/>
      <c r="J1135" s="57"/>
      <c r="K1135" s="57"/>
      <c r="L1135" s="57"/>
      <c r="M1135" s="57"/>
      <c r="N1135" s="57"/>
      <c r="O1135" s="57"/>
      <c r="P1135" s="57"/>
      <c r="AD1135" s="57"/>
      <c r="AE1135" s="57"/>
      <c r="AF1135" s="57"/>
      <c r="AG1135" s="57"/>
      <c r="AH1135" s="57"/>
      <c r="AI1135" s="57"/>
      <c r="AJ1135" s="57"/>
      <c r="AK1135" s="57"/>
      <c r="AL1135" s="57"/>
      <c r="AM1135" s="57"/>
      <c r="AN1135" s="57"/>
      <c r="AO1135" s="57"/>
    </row>
    <row r="1136" spans="1:41">
      <c r="B1136" s="78"/>
      <c r="C1136" s="57"/>
      <c r="D1136" s="57"/>
      <c r="E1136" s="57"/>
      <c r="F1136" s="57"/>
      <c r="G1136" s="57"/>
      <c r="H1136" s="57"/>
      <c r="I1136" s="57"/>
      <c r="J1136" s="57"/>
      <c r="K1136" s="57"/>
      <c r="L1136" s="57"/>
      <c r="M1136" s="57"/>
      <c r="N1136" s="57"/>
      <c r="O1136" s="57"/>
      <c r="P1136" s="57"/>
      <c r="AD1136" s="57"/>
      <c r="AE1136" s="57"/>
      <c r="AF1136" s="57"/>
      <c r="AG1136" s="57"/>
      <c r="AH1136" s="57"/>
      <c r="AI1136" s="57"/>
      <c r="AJ1136" s="57"/>
      <c r="AK1136" s="57"/>
      <c r="AL1136" s="57"/>
      <c r="AM1136" s="57"/>
      <c r="AN1136" s="57"/>
      <c r="AO1136" s="57"/>
    </row>
    <row r="1138" spans="1:11">
      <c r="A1138" s="195" t="s">
        <v>466</v>
      </c>
      <c r="B1138" s="195"/>
      <c r="C1138" s="195"/>
      <c r="D1138" s="195"/>
      <c r="E1138" s="195"/>
      <c r="F1138" s="195"/>
      <c r="G1138" s="195"/>
      <c r="H1138" s="195"/>
      <c r="K1138" s="65"/>
    </row>
    <row r="1139" spans="1:11" ht="39" customHeight="1">
      <c r="A1139" s="195" t="s">
        <v>467</v>
      </c>
      <c r="B1139" s="195"/>
      <c r="C1139" s="195"/>
      <c r="D1139" s="195"/>
      <c r="E1139" s="195"/>
      <c r="F1139" s="195"/>
      <c r="G1139" s="195"/>
      <c r="H1139" s="195"/>
      <c r="I1139" s="195"/>
      <c r="K1139" s="65"/>
    </row>
    <row r="1140" spans="1:11" ht="44.25" customHeight="1">
      <c r="A1140" s="195" t="s">
        <v>468</v>
      </c>
      <c r="B1140" s="195"/>
      <c r="C1140" s="195"/>
      <c r="D1140" s="195"/>
      <c r="E1140" s="195"/>
      <c r="F1140" s="195"/>
      <c r="G1140" s="195"/>
      <c r="H1140" s="195"/>
      <c r="K1140" s="65"/>
    </row>
    <row r="1141" spans="1:11" ht="54" customHeight="1">
      <c r="A1141" s="196" t="s">
        <v>469</v>
      </c>
      <c r="B1141" s="197"/>
      <c r="C1141" s="197"/>
      <c r="D1141" s="197"/>
      <c r="E1141" s="197"/>
      <c r="F1141" s="197"/>
      <c r="G1141" s="197"/>
      <c r="H1141" s="197"/>
      <c r="K1141" s="65"/>
    </row>
    <row r="1142" spans="1:11">
      <c r="A1142" s="69" t="s">
        <v>470</v>
      </c>
      <c r="K1142" s="65"/>
    </row>
    <row r="1143" spans="1:11">
      <c r="A1143" s="85"/>
      <c r="C1143" s="63"/>
      <c r="D1143" s="63"/>
      <c r="E1143" s="63"/>
      <c r="F1143" s="63"/>
    </row>
  </sheetData>
  <mergeCells count="4">
    <mergeCell ref="A1138:H1138"/>
    <mergeCell ref="A1139:I1139"/>
    <mergeCell ref="A1140:H1140"/>
    <mergeCell ref="A1141:H1141"/>
  </mergeCell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9"/>
  <sheetViews>
    <sheetView workbookViewId="0">
      <selection activeCell="B20" sqref="B20"/>
    </sheetView>
  </sheetViews>
  <sheetFormatPr defaultRowHeight="15"/>
  <cols>
    <col min="1" max="1" width="17.25" customWidth="1"/>
  </cols>
  <sheetData>
    <row r="1" spans="1:2">
      <c r="A1" t="s">
        <v>263</v>
      </c>
    </row>
    <row r="2" spans="1:2">
      <c r="A2" t="s">
        <v>264</v>
      </c>
    </row>
    <row r="3" spans="1:2">
      <c r="A3" t="s">
        <v>265</v>
      </c>
    </row>
    <row r="4" spans="1:2">
      <c r="A4" t="s">
        <v>266</v>
      </c>
    </row>
    <row r="5" spans="1:2">
      <c r="A5" t="s">
        <v>267</v>
      </c>
    </row>
    <row r="6" spans="1:2">
      <c r="A6" t="s">
        <v>268</v>
      </c>
    </row>
    <row r="8" spans="1:2">
      <c r="A8" t="s">
        <v>269</v>
      </c>
      <c r="B8" t="s">
        <v>270</v>
      </c>
    </row>
    <row r="10" spans="1:2">
      <c r="A10" t="s">
        <v>271</v>
      </c>
    </row>
    <row r="11" spans="1:2">
      <c r="A11" t="s">
        <v>272</v>
      </c>
      <c r="B11" t="s">
        <v>269</v>
      </c>
    </row>
    <row r="12" spans="1:2">
      <c r="A12" s="21">
        <v>32874</v>
      </c>
      <c r="B12" s="22">
        <v>130.65799999999999</v>
      </c>
    </row>
    <row r="13" spans="1:2">
      <c r="A13" s="21">
        <v>33239</v>
      </c>
      <c r="B13" s="22">
        <v>136.167</v>
      </c>
    </row>
    <row r="14" spans="1:2">
      <c r="A14" s="21">
        <v>33604</v>
      </c>
      <c r="B14" s="22">
        <v>140.30799999999999</v>
      </c>
    </row>
    <row r="15" spans="1:2">
      <c r="A15" s="21">
        <v>33970</v>
      </c>
      <c r="B15" s="22">
        <v>144.47499999999999</v>
      </c>
    </row>
    <row r="16" spans="1:2">
      <c r="A16" s="21">
        <v>34335</v>
      </c>
      <c r="B16" s="22">
        <v>148.22499999999999</v>
      </c>
    </row>
    <row r="17" spans="1:2">
      <c r="A17" s="21">
        <v>34700</v>
      </c>
      <c r="B17" s="22">
        <v>152.38300000000001</v>
      </c>
    </row>
    <row r="19" spans="1:2">
      <c r="A19" t="s">
        <v>312</v>
      </c>
      <c r="B19">
        <f>B17/B14</f>
        <v>1.0860606665336261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70"/>
  <sheetViews>
    <sheetView tabSelected="1" workbookViewId="0">
      <selection activeCell="F19" sqref="F19"/>
    </sheetView>
  </sheetViews>
  <sheetFormatPr defaultRowHeight="15"/>
  <cols>
    <col min="2" max="2" width="16.875" style="3" bestFit="1" customWidth="1"/>
    <col min="3" max="10" width="17.125" customWidth="1"/>
    <col min="11" max="11" width="14.125" customWidth="1"/>
  </cols>
  <sheetData>
    <row r="1" spans="1:11" ht="18.75">
      <c r="A1" s="10" t="s">
        <v>158</v>
      </c>
    </row>
    <row r="2" spans="1:11">
      <c r="A2" s="3"/>
    </row>
    <row r="3" spans="1:11">
      <c r="C3">
        <v>1</v>
      </c>
      <c r="D3">
        <v>2</v>
      </c>
      <c r="E3">
        <v>3</v>
      </c>
      <c r="F3">
        <v>4</v>
      </c>
      <c r="G3">
        <v>5</v>
      </c>
      <c r="H3">
        <v>6</v>
      </c>
      <c r="I3">
        <v>7</v>
      </c>
      <c r="J3">
        <v>8</v>
      </c>
      <c r="K3">
        <v>9</v>
      </c>
    </row>
    <row r="4" spans="1:11">
      <c r="B4" s="12"/>
      <c r="C4" s="200" t="s">
        <v>83</v>
      </c>
      <c r="D4" s="200"/>
      <c r="E4" s="200"/>
      <c r="F4" s="200"/>
      <c r="G4" s="200"/>
      <c r="H4" s="199" t="s">
        <v>84</v>
      </c>
      <c r="I4" s="199"/>
      <c r="J4" s="199"/>
      <c r="K4" s="13" t="s">
        <v>91</v>
      </c>
    </row>
    <row r="5" spans="1:11" s="4" customFormat="1">
      <c r="B5" s="14"/>
      <c r="C5" s="14" t="s">
        <v>85</v>
      </c>
      <c r="D5" s="14" t="s">
        <v>86</v>
      </c>
      <c r="E5" s="14" t="s">
        <v>87</v>
      </c>
      <c r="F5" s="14" t="s">
        <v>88</v>
      </c>
      <c r="G5" s="14" t="s">
        <v>89</v>
      </c>
      <c r="H5" s="14" t="s">
        <v>94</v>
      </c>
      <c r="I5" s="14" t="s">
        <v>95</v>
      </c>
      <c r="J5" s="14" t="s">
        <v>92</v>
      </c>
      <c r="K5" s="14"/>
    </row>
    <row r="6" spans="1:11">
      <c r="A6">
        <v>1</v>
      </c>
      <c r="B6" s="12" t="s">
        <v>85</v>
      </c>
      <c r="C6" s="11">
        <v>1457664.4256283147</v>
      </c>
      <c r="D6" s="11">
        <v>591824.30158035248</v>
      </c>
      <c r="E6" s="11">
        <v>180657.11863607931</v>
      </c>
      <c r="F6" s="11">
        <v>230577.65280182436</v>
      </c>
      <c r="G6" s="11">
        <v>84161.899337216688</v>
      </c>
      <c r="H6" s="11">
        <v>738358.15433947998</v>
      </c>
      <c r="I6" s="11">
        <v>403903.5442850886</v>
      </c>
      <c r="J6" s="11">
        <v>201759.46980164474</v>
      </c>
      <c r="K6" s="11">
        <v>3888906.5664100014</v>
      </c>
    </row>
    <row r="7" spans="1:11">
      <c r="A7">
        <v>2</v>
      </c>
      <c r="B7" s="12" t="s">
        <v>86</v>
      </c>
      <c r="C7" s="11">
        <v>779095.45130959386</v>
      </c>
      <c r="D7" s="11">
        <v>2284879.7721782909</v>
      </c>
      <c r="E7" s="11">
        <v>168030.50841478771</v>
      </c>
      <c r="F7" s="11">
        <v>82720.572507183431</v>
      </c>
      <c r="G7" s="11">
        <v>123289.03514630221</v>
      </c>
      <c r="H7" s="11">
        <v>5188591.0212805048</v>
      </c>
      <c r="I7" s="11">
        <v>226256.89498675888</v>
      </c>
      <c r="J7" s="11">
        <v>42645.155326576991</v>
      </c>
      <c r="K7" s="11">
        <v>8895508.4111499973</v>
      </c>
    </row>
    <row r="8" spans="1:11">
      <c r="A8">
        <v>3</v>
      </c>
      <c r="B8" s="12" t="s">
        <v>87</v>
      </c>
      <c r="C8" s="11">
        <v>16453.02276</v>
      </c>
      <c r="D8" s="11">
        <v>85496.466709999993</v>
      </c>
      <c r="E8" s="11">
        <v>703.22217000000001</v>
      </c>
      <c r="F8" s="11">
        <v>3.6678173490543622</v>
      </c>
      <c r="G8" s="11">
        <v>29.727222507434895</v>
      </c>
      <c r="H8" s="11">
        <v>0</v>
      </c>
      <c r="I8" s="11">
        <v>588073.75</v>
      </c>
      <c r="J8" s="11">
        <v>38.143320143516661</v>
      </c>
      <c r="K8" s="11">
        <v>690798.00000000012</v>
      </c>
    </row>
    <row r="9" spans="1:11">
      <c r="A9">
        <v>4</v>
      </c>
      <c r="B9" s="12" t="s">
        <v>88</v>
      </c>
      <c r="C9" s="11">
        <v>267580.62368602346</v>
      </c>
      <c r="D9" s="11">
        <v>82244.365542032916</v>
      </c>
      <c r="E9" s="11">
        <v>23667.237065463043</v>
      </c>
      <c r="F9" s="11">
        <v>6635482.6183962869</v>
      </c>
      <c r="G9" s="11">
        <v>3041230.643553535</v>
      </c>
      <c r="H9" s="11">
        <v>197072.97946615159</v>
      </c>
      <c r="I9" s="11">
        <v>160883.9678614859</v>
      </c>
      <c r="J9" s="11">
        <v>6080735.9890204975</v>
      </c>
      <c r="K9" s="11">
        <v>16488898.424591478</v>
      </c>
    </row>
    <row r="10" spans="1:11">
      <c r="A10">
        <v>5</v>
      </c>
      <c r="B10" s="12" t="s">
        <v>89</v>
      </c>
      <c r="C10" s="11">
        <v>26233.315626331863</v>
      </c>
      <c r="D10" s="11">
        <v>56019.119195252657</v>
      </c>
      <c r="E10" s="11">
        <v>4835.4159554745165</v>
      </c>
      <c r="F10" s="11">
        <v>3184994.4959528297</v>
      </c>
      <c r="G10" s="11">
        <v>6615874.9736709194</v>
      </c>
      <c r="H10" s="11">
        <v>16281.76358373736</v>
      </c>
      <c r="I10" s="11">
        <v>1434.0265293672894</v>
      </c>
      <c r="J10" s="11">
        <v>15312524.024034129</v>
      </c>
      <c r="K10" s="11">
        <v>25218197.134548042</v>
      </c>
    </row>
    <row r="11" spans="1:11">
      <c r="A11">
        <v>6</v>
      </c>
      <c r="B11" s="12" t="s">
        <v>90</v>
      </c>
      <c r="C11" s="11">
        <v>1341879.7499000002</v>
      </c>
      <c r="D11" s="11">
        <v>5795044.3020000011</v>
      </c>
      <c r="E11" s="11">
        <v>312904.48044000001</v>
      </c>
      <c r="F11" s="11">
        <v>6355119.5140511477</v>
      </c>
      <c r="G11" s="11">
        <v>15353610.853376705</v>
      </c>
      <c r="H11" s="11">
        <v>-24607.039209999999</v>
      </c>
      <c r="I11" s="11">
        <v>15451.286189999999</v>
      </c>
      <c r="J11" s="11">
        <v>836736.16772000038</v>
      </c>
      <c r="K11" s="11">
        <v>29986139.314467855</v>
      </c>
    </row>
    <row r="12" spans="1:11">
      <c r="A12">
        <v>7</v>
      </c>
      <c r="B12" s="12" t="s">
        <v>91</v>
      </c>
      <c r="C12" s="11">
        <v>3888906.5889102644</v>
      </c>
      <c r="D12" s="11">
        <v>8895508.3272059299</v>
      </c>
      <c r="E12" s="11">
        <v>690797.98268180457</v>
      </c>
      <c r="F12" s="11">
        <v>16488898.52152662</v>
      </c>
      <c r="G12" s="11">
        <v>25218197.132307187</v>
      </c>
      <c r="H12" s="11">
        <v>6115696.8794598738</v>
      </c>
      <c r="I12" s="11">
        <v>1396003.4698527006</v>
      </c>
      <c r="J12" s="11">
        <v>22474438.949222993</v>
      </c>
      <c r="K12" s="11">
        <v>85168447.851167381</v>
      </c>
    </row>
    <row r="13" spans="1:11">
      <c r="B13" s="8" t="s">
        <v>498</v>
      </c>
      <c r="C13" s="6">
        <v>0.28859704244503315</v>
      </c>
      <c r="D13" s="6">
        <v>0.66013861109381189</v>
      </c>
      <c r="E13" s="6">
        <v>5.1264346461154936E-2</v>
      </c>
      <c r="F13" s="6"/>
      <c r="G13" s="6"/>
      <c r="H13" s="6"/>
      <c r="I13" s="6"/>
      <c r="J13" s="6"/>
      <c r="K13" s="6"/>
    </row>
    <row r="14" spans="1:11">
      <c r="C14" s="6"/>
      <c r="D14" s="6"/>
      <c r="E14" s="6"/>
      <c r="F14" s="6"/>
      <c r="G14" s="6"/>
    </row>
    <row r="15" spans="1:11">
      <c r="A15" s="8" t="s">
        <v>96</v>
      </c>
      <c r="B15" s="8" t="s">
        <v>502</v>
      </c>
      <c r="C15" s="9"/>
      <c r="D15" s="9"/>
    </row>
    <row r="16" spans="1:11">
      <c r="A16" s="8"/>
      <c r="B16" s="8"/>
      <c r="C16" s="9"/>
      <c r="D16" s="9"/>
    </row>
    <row r="17" spans="1:4">
      <c r="A17" s="8"/>
      <c r="B17" s="8" t="s">
        <v>100</v>
      </c>
      <c r="C17" s="9"/>
      <c r="D17" s="9"/>
    </row>
    <row r="18" spans="1:4">
      <c r="A18" s="9"/>
      <c r="B18" s="8"/>
      <c r="C18" s="9"/>
      <c r="D18" s="9"/>
    </row>
    <row r="19" spans="1:4">
      <c r="A19" s="9"/>
      <c r="B19" s="198" t="s">
        <v>97</v>
      </c>
      <c r="C19" s="9" t="s">
        <v>41</v>
      </c>
      <c r="D19" s="9" t="s">
        <v>0</v>
      </c>
    </row>
    <row r="20" spans="1:4">
      <c r="A20" s="9"/>
      <c r="B20" s="198"/>
      <c r="C20" s="9" t="s">
        <v>42</v>
      </c>
      <c r="D20" s="9" t="s">
        <v>1</v>
      </c>
    </row>
    <row r="21" spans="1:4">
      <c r="A21" s="9"/>
      <c r="B21" s="198"/>
      <c r="C21" s="9" t="s">
        <v>43</v>
      </c>
      <c r="D21" s="9" t="s">
        <v>2</v>
      </c>
    </row>
    <row r="22" spans="1:4">
      <c r="A22" s="9"/>
      <c r="B22" s="198"/>
      <c r="C22" s="9" t="s">
        <v>44</v>
      </c>
      <c r="D22" s="9" t="s">
        <v>3</v>
      </c>
    </row>
    <row r="23" spans="1:4">
      <c r="A23" s="9"/>
      <c r="B23" s="198"/>
      <c r="C23" s="9" t="s">
        <v>45</v>
      </c>
      <c r="D23" s="9" t="s">
        <v>4</v>
      </c>
    </row>
    <row r="24" spans="1:4">
      <c r="A24" s="9"/>
      <c r="B24" s="198"/>
      <c r="C24" s="9" t="s">
        <v>46</v>
      </c>
      <c r="D24" s="9" t="s">
        <v>5</v>
      </c>
    </row>
    <row r="25" spans="1:4">
      <c r="A25" s="9"/>
      <c r="B25" s="198"/>
      <c r="C25" s="9" t="s">
        <v>47</v>
      </c>
      <c r="D25" s="9" t="s">
        <v>6</v>
      </c>
    </row>
    <row r="26" spans="1:4">
      <c r="A26" s="9"/>
      <c r="B26" s="198"/>
      <c r="C26" s="9" t="s">
        <v>48</v>
      </c>
      <c r="D26" s="9" t="s">
        <v>7</v>
      </c>
    </row>
    <row r="27" spans="1:4">
      <c r="A27" s="9"/>
      <c r="B27" s="198"/>
      <c r="C27" s="9" t="s">
        <v>49</v>
      </c>
      <c r="D27" s="9" t="s">
        <v>8</v>
      </c>
    </row>
    <row r="28" spans="1:4">
      <c r="A28" s="9"/>
      <c r="B28" s="198"/>
      <c r="C28" s="9" t="s">
        <v>50</v>
      </c>
      <c r="D28" s="9" t="s">
        <v>9</v>
      </c>
    </row>
    <row r="29" spans="1:4">
      <c r="A29" s="9"/>
      <c r="B29" s="198"/>
      <c r="C29" s="9" t="s">
        <v>51</v>
      </c>
      <c r="D29" s="9" t="s">
        <v>10</v>
      </c>
    </row>
    <row r="30" spans="1:4">
      <c r="A30" s="9"/>
      <c r="B30" s="198"/>
      <c r="C30" s="9" t="s">
        <v>52</v>
      </c>
      <c r="D30" s="9" t="s">
        <v>11</v>
      </c>
    </row>
    <row r="31" spans="1:4">
      <c r="A31" s="9"/>
      <c r="B31" s="198"/>
      <c r="C31" s="9" t="s">
        <v>53</v>
      </c>
      <c r="D31" s="9" t="s">
        <v>12</v>
      </c>
    </row>
    <row r="32" spans="1:4">
      <c r="A32" s="9"/>
      <c r="B32" s="198"/>
      <c r="C32" s="9" t="s">
        <v>54</v>
      </c>
      <c r="D32" s="9" t="s">
        <v>13</v>
      </c>
    </row>
    <row r="33" spans="1:4">
      <c r="A33" s="9"/>
      <c r="B33" s="198"/>
      <c r="C33" s="9" t="s">
        <v>55</v>
      </c>
      <c r="D33" s="9" t="s">
        <v>14</v>
      </c>
    </row>
    <row r="34" spans="1:4">
      <c r="A34" s="9"/>
      <c r="B34" s="198"/>
      <c r="C34" s="9" t="s">
        <v>56</v>
      </c>
      <c r="D34" s="9" t="s">
        <v>15</v>
      </c>
    </row>
    <row r="35" spans="1:4">
      <c r="A35" s="9"/>
      <c r="B35" s="198" t="s">
        <v>82</v>
      </c>
      <c r="C35" s="9" t="s">
        <v>57</v>
      </c>
      <c r="D35" s="9" t="s">
        <v>16</v>
      </c>
    </row>
    <row r="36" spans="1:4">
      <c r="A36" s="9"/>
      <c r="B36" s="198"/>
      <c r="C36" s="9" t="s">
        <v>59</v>
      </c>
      <c r="D36" s="9" t="s">
        <v>18</v>
      </c>
    </row>
    <row r="37" spans="1:4">
      <c r="A37" s="9"/>
      <c r="B37" s="198"/>
      <c r="C37" s="9" t="s">
        <v>60</v>
      </c>
      <c r="D37" s="9" t="s">
        <v>19</v>
      </c>
    </row>
    <row r="38" spans="1:4">
      <c r="A38" s="9"/>
      <c r="B38" s="198"/>
      <c r="C38" s="9" t="s">
        <v>61</v>
      </c>
      <c r="D38" s="9" t="s">
        <v>20</v>
      </c>
    </row>
    <row r="39" spans="1:4">
      <c r="A39" s="9"/>
      <c r="B39" s="198"/>
      <c r="C39" s="9" t="s">
        <v>62</v>
      </c>
      <c r="D39" s="9" t="s">
        <v>21</v>
      </c>
    </row>
    <row r="40" spans="1:4">
      <c r="A40" s="9"/>
      <c r="B40" s="198"/>
      <c r="C40" s="9" t="s">
        <v>63</v>
      </c>
      <c r="D40" s="9" t="s">
        <v>22</v>
      </c>
    </row>
    <row r="41" spans="1:4">
      <c r="A41" s="9"/>
      <c r="B41" s="198"/>
      <c r="C41" s="9" t="s">
        <v>64</v>
      </c>
      <c r="D41" s="9" t="s">
        <v>23</v>
      </c>
    </row>
    <row r="42" spans="1:4">
      <c r="A42" s="9"/>
      <c r="B42" s="198"/>
      <c r="C42" s="9" t="s">
        <v>65</v>
      </c>
      <c r="D42" s="9" t="s">
        <v>24</v>
      </c>
    </row>
    <row r="43" spans="1:4">
      <c r="A43" s="9"/>
      <c r="B43" s="198"/>
      <c r="C43" s="9" t="s">
        <v>66</v>
      </c>
      <c r="D43" s="9" t="s">
        <v>25</v>
      </c>
    </row>
    <row r="44" spans="1:4">
      <c r="A44" s="9"/>
      <c r="B44" s="198"/>
      <c r="C44" s="9" t="s">
        <v>67</v>
      </c>
      <c r="D44" s="9" t="s">
        <v>26</v>
      </c>
    </row>
    <row r="45" spans="1:4">
      <c r="A45" s="9"/>
      <c r="B45" s="198"/>
      <c r="C45" s="9" t="s">
        <v>68</v>
      </c>
      <c r="D45" s="9" t="s">
        <v>27</v>
      </c>
    </row>
    <row r="46" spans="1:4">
      <c r="A46" s="9"/>
      <c r="B46" s="198"/>
      <c r="C46" s="9" t="s">
        <v>69</v>
      </c>
      <c r="D46" s="9" t="s">
        <v>28</v>
      </c>
    </row>
    <row r="47" spans="1:4">
      <c r="A47" s="9"/>
      <c r="B47" s="198"/>
      <c r="C47" s="9" t="s">
        <v>70</v>
      </c>
      <c r="D47" s="9" t="s">
        <v>29</v>
      </c>
    </row>
    <row r="48" spans="1:4">
      <c r="A48" s="9"/>
      <c r="B48" s="198"/>
      <c r="C48" s="9" t="s">
        <v>71</v>
      </c>
      <c r="D48" s="9" t="s">
        <v>30</v>
      </c>
    </row>
    <row r="49" spans="1:4">
      <c r="A49" s="9"/>
      <c r="B49" s="198"/>
      <c r="C49" s="9" t="s">
        <v>72</v>
      </c>
      <c r="D49" s="9" t="s">
        <v>31</v>
      </c>
    </row>
    <row r="50" spans="1:4">
      <c r="A50" s="9"/>
      <c r="B50" s="198"/>
      <c r="C50" s="9" t="s">
        <v>73</v>
      </c>
      <c r="D50" s="9" t="s">
        <v>32</v>
      </c>
    </row>
    <row r="51" spans="1:4">
      <c r="A51" s="9"/>
      <c r="B51" s="198"/>
      <c r="C51" s="9" t="s">
        <v>74</v>
      </c>
      <c r="D51" s="9" t="s">
        <v>33</v>
      </c>
    </row>
    <row r="52" spans="1:4">
      <c r="A52" s="9"/>
      <c r="B52" s="198"/>
      <c r="C52" s="9" t="s">
        <v>75</v>
      </c>
      <c r="D52" s="9" t="s">
        <v>34</v>
      </c>
    </row>
    <row r="53" spans="1:4">
      <c r="A53" s="9"/>
      <c r="B53" s="9" t="s">
        <v>17</v>
      </c>
      <c r="C53" s="9" t="s">
        <v>58</v>
      </c>
      <c r="D53" s="9" t="s">
        <v>17</v>
      </c>
    </row>
    <row r="54" spans="1:4">
      <c r="A54" s="9"/>
      <c r="B54" s="8"/>
      <c r="C54" s="9"/>
      <c r="D54" s="9"/>
    </row>
    <row r="55" spans="1:4">
      <c r="A55" s="9"/>
      <c r="B55" s="8" t="s">
        <v>98</v>
      </c>
      <c r="C55" s="9"/>
      <c r="D55" s="9"/>
    </row>
    <row r="56" spans="1:4">
      <c r="A56" s="9"/>
      <c r="B56" s="9" t="s">
        <v>40</v>
      </c>
      <c r="C56" s="9" t="s">
        <v>40</v>
      </c>
      <c r="D56" s="9"/>
    </row>
    <row r="57" spans="1:4">
      <c r="B57" s="9" t="s">
        <v>81</v>
      </c>
      <c r="C57" s="9" t="s">
        <v>99</v>
      </c>
    </row>
    <row r="59" spans="1:4">
      <c r="B59" s="3" t="s">
        <v>101</v>
      </c>
    </row>
    <row r="60" spans="1:4">
      <c r="B60" s="3" t="s">
        <v>94</v>
      </c>
      <c r="C60" t="s">
        <v>76</v>
      </c>
      <c r="D60" t="s">
        <v>35</v>
      </c>
    </row>
    <row r="61" spans="1:4">
      <c r="C61" t="s">
        <v>77</v>
      </c>
      <c r="D61" t="s">
        <v>36</v>
      </c>
    </row>
    <row r="62" spans="1:4">
      <c r="C62" t="s">
        <v>78</v>
      </c>
      <c r="D62" t="s">
        <v>37</v>
      </c>
    </row>
    <row r="63" spans="1:4">
      <c r="B63" s="3" t="s">
        <v>95</v>
      </c>
      <c r="C63" t="s">
        <v>79</v>
      </c>
      <c r="D63" t="s">
        <v>38</v>
      </c>
    </row>
    <row r="64" spans="1:4">
      <c r="C64" t="s">
        <v>80</v>
      </c>
      <c r="D64" t="s">
        <v>39</v>
      </c>
    </row>
    <row r="66" spans="2:4">
      <c r="B66" s="3" t="s">
        <v>92</v>
      </c>
      <c r="C66" t="s">
        <v>76</v>
      </c>
      <c r="D66" t="s">
        <v>35</v>
      </c>
    </row>
    <row r="67" spans="2:4">
      <c r="C67" t="s">
        <v>77</v>
      </c>
      <c r="D67" t="s">
        <v>36</v>
      </c>
    </row>
    <row r="68" spans="2:4">
      <c r="C68" t="s">
        <v>78</v>
      </c>
      <c r="D68" t="s">
        <v>37</v>
      </c>
    </row>
    <row r="69" spans="2:4">
      <c r="C69" t="s">
        <v>79</v>
      </c>
      <c r="D69" t="s">
        <v>38</v>
      </c>
    </row>
    <row r="70" spans="2:4">
      <c r="C70" t="s">
        <v>80</v>
      </c>
      <c r="D70" t="s">
        <v>39</v>
      </c>
    </row>
  </sheetData>
  <mergeCells count="4">
    <mergeCell ref="B19:B34"/>
    <mergeCell ref="B35:B52"/>
    <mergeCell ref="H4:J4"/>
    <mergeCell ref="C4:G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7"/>
  <sheetViews>
    <sheetView topLeftCell="A2" workbookViewId="0">
      <selection activeCell="A15" sqref="A15"/>
    </sheetView>
  </sheetViews>
  <sheetFormatPr defaultRowHeight="15"/>
  <cols>
    <col min="2" max="2" width="24.625" bestFit="1" customWidth="1"/>
    <col min="3" max="3" width="13.125" bestFit="1" customWidth="1"/>
    <col min="4" max="4" width="13.75" bestFit="1" customWidth="1"/>
  </cols>
  <sheetData>
    <row r="1" spans="1:5" ht="18.75">
      <c r="A1" s="10" t="s">
        <v>471</v>
      </c>
    </row>
    <row r="4" spans="1:5">
      <c r="B4" s="9" t="s">
        <v>244</v>
      </c>
      <c r="C4" t="s">
        <v>472</v>
      </c>
      <c r="D4" t="s">
        <v>474</v>
      </c>
      <c r="E4" t="s">
        <v>473</v>
      </c>
    </row>
    <row r="5" spans="1:5">
      <c r="B5" t="s">
        <v>237</v>
      </c>
      <c r="C5">
        <f>C12-C6-C7-C8-C9+C10+C11</f>
        <v>4215.7</v>
      </c>
      <c r="D5">
        <f>FRED!$B$19*1000*'Step2a-NIPACalcs'!C5</f>
        <v>4578505.9519058075</v>
      </c>
      <c r="E5">
        <f>100*D5/D$12</f>
        <v>64.467144801431346</v>
      </c>
    </row>
    <row r="6" spans="1:5">
      <c r="B6" t="s">
        <v>238</v>
      </c>
      <c r="C6">
        <f>'NIPA-1.1.5'!C28-'NIPA-5.1'!C31</f>
        <v>1049.3000000000002</v>
      </c>
      <c r="D6">
        <f>FRED!$B$19*1000*'Step2a-NIPACalcs'!C6</f>
        <v>1139603.457393734</v>
      </c>
      <c r="E6">
        <f t="shared" ref="E6:E12" si="0">100*D6/D$12</f>
        <v>16.046059975838396</v>
      </c>
    </row>
    <row r="7" spans="1:5">
      <c r="B7" t="s">
        <v>239</v>
      </c>
      <c r="C7">
        <f>'NIPA-5.1'!C27</f>
        <v>1309.0999999999999</v>
      </c>
      <c r="D7">
        <f>FRED!$B$19*1000*'Step2a-NIPACalcs'!C7</f>
        <v>1421762.0185591697</v>
      </c>
      <c r="E7">
        <f t="shared" si="0"/>
        <v>20.018962274249535</v>
      </c>
    </row>
    <row r="8" spans="1:5">
      <c r="B8" t="s">
        <v>240</v>
      </c>
      <c r="C8">
        <f>'NIPA-1.1.5'!C23</f>
        <v>455.3</v>
      </c>
      <c r="D8">
        <f>FRED!$B$19*1000*'Step2a-NIPACalcs'!C8</f>
        <v>494483.42147275998</v>
      </c>
      <c r="E8">
        <f t="shared" si="0"/>
        <v>6.9625189240438585</v>
      </c>
    </row>
    <row r="9" spans="1:5">
      <c r="B9" t="s">
        <v>241</v>
      </c>
      <c r="C9">
        <f>'NIPA-1.1.5'!C24</f>
        <v>177.7</v>
      </c>
      <c r="D9">
        <f>FRED!$B$19*1000*'Step2a-NIPACalcs'!C9</f>
        <v>192992.98044302536</v>
      </c>
      <c r="E9">
        <f t="shared" si="0"/>
        <v>2.7174162372119337</v>
      </c>
    </row>
    <row r="10" spans="1:5">
      <c r="B10" t="s">
        <v>242</v>
      </c>
      <c r="C10">
        <f>'NIPA-1.1.5'!C26</f>
        <v>544.9</v>
      </c>
      <c r="D10">
        <f>FRED!$B$19*1000*'Step2a-NIPACalcs'!C10</f>
        <v>591794.45719417278</v>
      </c>
      <c r="E10">
        <f t="shared" si="0"/>
        <v>8.3326961601394629</v>
      </c>
    </row>
    <row r="11" spans="1:5">
      <c r="B11" t="s">
        <v>243</v>
      </c>
      <c r="C11">
        <f>'NIPA-1.1.5'!C27</f>
        <v>122.9</v>
      </c>
      <c r="D11">
        <f>FRED!$B$19*1000*'Step2a-NIPACalcs'!C11</f>
        <v>133476.85591698266</v>
      </c>
      <c r="E11">
        <f t="shared" si="0"/>
        <v>1.8794060526356036</v>
      </c>
    </row>
    <row r="12" spans="1:5">
      <c r="B12" t="s">
        <v>245</v>
      </c>
      <c r="C12">
        <f>'NIPA-1.1.5'!C7</f>
        <v>6539.3</v>
      </c>
      <c r="D12">
        <f>FRED!$B$19*1000*'Step2a-NIPACalcs'!C12</f>
        <v>7102076.5166633409</v>
      </c>
      <c r="E12">
        <f t="shared" si="0"/>
        <v>99.999999999999986</v>
      </c>
    </row>
    <row r="14" spans="1:5">
      <c r="B14" s="9" t="s">
        <v>260</v>
      </c>
    </row>
    <row r="15" spans="1:5">
      <c r="B15" s="7" t="s">
        <v>261</v>
      </c>
      <c r="C15">
        <f>C5/(C6+C5)</f>
        <v>0.80070275403608737</v>
      </c>
    </row>
    <row r="17" spans="2:2">
      <c r="B17" s="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C30"/>
  <sheetViews>
    <sheetView workbookViewId="0">
      <selection activeCell="H23" sqref="H23"/>
    </sheetView>
  </sheetViews>
  <sheetFormatPr defaultRowHeight="15"/>
  <cols>
    <col min="2" max="2" width="23.125" bestFit="1" customWidth="1"/>
    <col min="3" max="3" width="13.625" customWidth="1"/>
    <col min="4" max="4" width="13.125" bestFit="1" customWidth="1"/>
    <col min="5" max="5" width="13.75" bestFit="1" customWidth="1"/>
  </cols>
  <sheetData>
    <row r="1" spans="1:29" ht="18.75">
      <c r="A1" s="10" t="s">
        <v>475</v>
      </c>
      <c r="B1" s="10"/>
    </row>
    <row r="3" spans="1:29" ht="15.75" thickBot="1">
      <c r="B3" s="88"/>
      <c r="C3" s="88">
        <v>1987</v>
      </c>
      <c r="D3" s="88">
        <f>C3+1</f>
        <v>1988</v>
      </c>
      <c r="E3" s="88">
        <f t="shared" ref="E3:AB3" si="0">D3+1</f>
        <v>1989</v>
      </c>
      <c r="F3" s="88">
        <f t="shared" si="0"/>
        <v>1990</v>
      </c>
      <c r="G3" s="88">
        <f t="shared" si="0"/>
        <v>1991</v>
      </c>
      <c r="H3" s="88">
        <f t="shared" si="0"/>
        <v>1992</v>
      </c>
      <c r="I3" s="88">
        <f t="shared" si="0"/>
        <v>1993</v>
      </c>
      <c r="J3" s="88">
        <f t="shared" si="0"/>
        <v>1994</v>
      </c>
      <c r="K3" s="88">
        <f t="shared" si="0"/>
        <v>1995</v>
      </c>
      <c r="L3" s="88">
        <f t="shared" si="0"/>
        <v>1996</v>
      </c>
      <c r="M3" s="88">
        <f>L3+1</f>
        <v>1997</v>
      </c>
      <c r="N3" s="88">
        <f t="shared" si="0"/>
        <v>1998</v>
      </c>
      <c r="O3" s="88">
        <f t="shared" si="0"/>
        <v>1999</v>
      </c>
      <c r="P3" s="88">
        <f t="shared" si="0"/>
        <v>2000</v>
      </c>
      <c r="Q3" s="88">
        <f t="shared" si="0"/>
        <v>2001</v>
      </c>
      <c r="R3" s="88">
        <f t="shared" si="0"/>
        <v>2002</v>
      </c>
      <c r="S3" s="88">
        <f t="shared" si="0"/>
        <v>2003</v>
      </c>
      <c r="T3" s="88">
        <f t="shared" si="0"/>
        <v>2004</v>
      </c>
      <c r="U3" s="88">
        <f t="shared" si="0"/>
        <v>2005</v>
      </c>
      <c r="V3" s="88">
        <f t="shared" si="0"/>
        <v>2006</v>
      </c>
      <c r="W3" s="88">
        <f t="shared" si="0"/>
        <v>2007</v>
      </c>
      <c r="X3" s="88">
        <f t="shared" si="0"/>
        <v>2008</v>
      </c>
      <c r="Y3" s="88">
        <f t="shared" si="0"/>
        <v>2009</v>
      </c>
      <c r="Z3" s="88">
        <f t="shared" si="0"/>
        <v>2010</v>
      </c>
      <c r="AA3" s="88">
        <f t="shared" si="0"/>
        <v>2011</v>
      </c>
      <c r="AB3" s="88">
        <f t="shared" si="0"/>
        <v>2012</v>
      </c>
      <c r="AC3" s="88">
        <v>2013</v>
      </c>
    </row>
    <row r="4" spans="1:29">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row>
    <row r="5" spans="1:29">
      <c r="B5" s="9" t="s">
        <v>482</v>
      </c>
    </row>
    <row r="6" spans="1:29">
      <c r="B6" t="s">
        <v>245</v>
      </c>
      <c r="C6">
        <f>'1987-97_02NAICS_VA, GO, II'!C3</f>
        <v>4736354</v>
      </c>
      <c r="D6">
        <f>'1987-97_02NAICS_VA, GO, II'!D3</f>
        <v>5100422</v>
      </c>
      <c r="E6">
        <f>'1987-97_02NAICS_VA, GO, II'!E3</f>
        <v>5482146</v>
      </c>
      <c r="F6">
        <f>'1987-97_02NAICS_VA, GO, II'!F3</f>
        <v>5800527</v>
      </c>
      <c r="G6">
        <f>'1987-97_02NAICS_VA, GO, II'!G3</f>
        <v>5992094</v>
      </c>
      <c r="H6">
        <f>'1987-97_02NAICS_VA, GO, II'!H3</f>
        <v>6342306</v>
      </c>
      <c r="I6">
        <f>'1987-97_02NAICS_VA, GO, II'!I3</f>
        <v>6667350</v>
      </c>
      <c r="J6">
        <f>'1987-97_02NAICS_VA, GO, II'!J3</f>
        <v>7085160</v>
      </c>
      <c r="K6">
        <f>'1987-97_02NAICS_VA, GO, II'!K3</f>
        <v>7414655</v>
      </c>
      <c r="L6" s="2">
        <f>'1987-97_02NAICS_VA, GO, II'!L3</f>
        <v>7838456</v>
      </c>
      <c r="M6" s="2">
        <f>'1987-97_02NAICS_VA, GO, II'!M3</f>
        <v>8332362</v>
      </c>
    </row>
    <row r="7" spans="1:29">
      <c r="B7" t="s">
        <v>476</v>
      </c>
      <c r="C7">
        <f>SUM('1987-97_02NAICS_VA, GO, II'!C5,'1987-97_02NAICS_VA, GO, II'!C8,'1987-97_02NAICS_VA, GO, II'!C14)</f>
        <v>974930</v>
      </c>
      <c r="D7">
        <f>SUM('1987-97_02NAICS_VA, GO, II'!D5,'1987-97_02NAICS_VA, GO, II'!D8,'1987-97_02NAICS_VA, GO, II'!D14)</f>
        <v>1052322</v>
      </c>
      <c r="E7">
        <f>SUM('1987-97_02NAICS_VA, GO, II'!E5,'1987-97_02NAICS_VA, GO, II'!E8,'1987-97_02NAICS_VA, GO, II'!E14)</f>
        <v>1120290</v>
      </c>
      <c r="F7">
        <f>SUM('1987-97_02NAICS_VA, GO, II'!F5,'1987-97_02NAICS_VA, GO, II'!F8,'1987-97_02NAICS_VA, GO, II'!F14)</f>
        <v>1152976</v>
      </c>
      <c r="G7">
        <f>SUM('1987-97_02NAICS_VA, GO, II'!G5,'1987-97_02NAICS_VA, GO, II'!G8,'1987-97_02NAICS_VA, GO, II'!G14)</f>
        <v>1144419</v>
      </c>
      <c r="H7">
        <f>SUM('1987-97_02NAICS_VA, GO, II'!H5,'1987-97_02NAICS_VA, GO, II'!H8,'1987-97_02NAICS_VA, GO, II'!H14)</f>
        <v>1189581</v>
      </c>
      <c r="I7">
        <f>SUM('1987-97_02NAICS_VA, GO, II'!I5,'1987-97_02NAICS_VA, GO, II'!I8,'1987-97_02NAICS_VA, GO, II'!I14)</f>
        <v>1223942</v>
      </c>
      <c r="J7">
        <f>SUM('1987-97_02NAICS_VA, GO, II'!J5,'1987-97_02NAICS_VA, GO, II'!J8,'1987-97_02NAICS_VA, GO, II'!J14)</f>
        <v>1308820</v>
      </c>
      <c r="K7">
        <f>SUM('1987-97_02NAICS_VA, GO, II'!K5,'1987-97_02NAICS_VA, GO, II'!K8,'1987-97_02NAICS_VA, GO, II'!K14)</f>
        <v>1348895</v>
      </c>
      <c r="L7" s="2">
        <f>SUM('1987-97_02NAICS_VA, GO, II'!L5,'1987-97_02NAICS_VA, GO, II'!L8,'1987-97_02NAICS_VA, GO, II'!L14)</f>
        <v>1412723</v>
      </c>
      <c r="M7" s="2">
        <f>SUM('1987-97_02NAICS_VA, GO, II'!M5,'1987-97_02NAICS_VA, GO, II'!M8,'1987-97_02NAICS_VA, GO, II'!M14)</f>
        <v>1480497</v>
      </c>
    </row>
    <row r="8" spans="1:29">
      <c r="B8" t="s">
        <v>477</v>
      </c>
      <c r="C8">
        <f>C6-C7-C9</f>
        <v>3551338</v>
      </c>
      <c r="D8">
        <f t="shared" ref="D8:M8" si="1">D6-D7-D9</f>
        <v>3821645</v>
      </c>
      <c r="E8">
        <f t="shared" si="1"/>
        <v>4123277</v>
      </c>
      <c r="F8">
        <f t="shared" si="1"/>
        <v>4403994</v>
      </c>
      <c r="G8">
        <f t="shared" si="1"/>
        <v>4618912</v>
      </c>
      <c r="H8">
        <f t="shared" si="1"/>
        <v>4919553</v>
      </c>
      <c r="I8">
        <f t="shared" si="1"/>
        <v>5193035</v>
      </c>
      <c r="J8">
        <f t="shared" si="1"/>
        <v>5499097</v>
      </c>
      <c r="K8">
        <f t="shared" si="1"/>
        <v>5771536</v>
      </c>
      <c r="L8" s="2">
        <f t="shared" si="1"/>
        <v>6104857</v>
      </c>
      <c r="M8" s="2">
        <f t="shared" si="1"/>
        <v>6505126</v>
      </c>
    </row>
    <row r="9" spans="1:29">
      <c r="B9" t="s">
        <v>478</v>
      </c>
      <c r="C9">
        <f>'1987-97_02NAICS_VA, GO, II'!C13</f>
        <v>210086</v>
      </c>
      <c r="D9">
        <f>'1987-97_02NAICS_VA, GO, II'!D13</f>
        <v>226455</v>
      </c>
      <c r="E9">
        <f>'1987-97_02NAICS_VA, GO, II'!E13</f>
        <v>238579</v>
      </c>
      <c r="F9">
        <f>'1987-97_02NAICS_VA, GO, II'!F13</f>
        <v>243557</v>
      </c>
      <c r="G9">
        <f>'1987-97_02NAICS_VA, GO, II'!G13</f>
        <v>228763</v>
      </c>
      <c r="H9">
        <f>'1987-97_02NAICS_VA, GO, II'!H13</f>
        <v>233172</v>
      </c>
      <c r="I9">
        <f>'1987-97_02NAICS_VA, GO, II'!I13</f>
        <v>250373</v>
      </c>
      <c r="J9">
        <f>'1987-97_02NAICS_VA, GO, II'!J13</f>
        <v>277243</v>
      </c>
      <c r="K9">
        <f>'1987-97_02NAICS_VA, GO, II'!K13</f>
        <v>294224</v>
      </c>
      <c r="L9" s="2">
        <f>'1987-97_02NAICS_VA, GO, II'!L13</f>
        <v>320876</v>
      </c>
      <c r="M9" s="2">
        <f>'1987-97_02NAICS_VA, GO, II'!M13</f>
        <v>346739</v>
      </c>
    </row>
    <row r="10" spans="1:29">
      <c r="L10" s="2"/>
      <c r="M10" s="2"/>
    </row>
    <row r="11" spans="1:29">
      <c r="B11" s="9" t="s">
        <v>483</v>
      </c>
      <c r="C11" s="7"/>
      <c r="L11" s="2"/>
      <c r="M11" s="2"/>
    </row>
    <row r="12" spans="1:29">
      <c r="B12" t="s">
        <v>245</v>
      </c>
      <c r="L12" s="2"/>
      <c r="M12" s="87">
        <f>'07NAICS_VA, GO, II'!C3</f>
        <v>8608515</v>
      </c>
      <c r="N12" s="86">
        <f>'07NAICS_VA, GO, II'!D3</f>
        <v>9089168</v>
      </c>
      <c r="O12" s="86">
        <f>'07NAICS_VA, GO, II'!E3</f>
        <v>9660624</v>
      </c>
      <c r="P12" s="86">
        <f>'07NAICS_VA, GO, II'!F3</f>
        <v>10284779</v>
      </c>
      <c r="Q12" s="86">
        <f>'07NAICS_VA, GO, II'!G3</f>
        <v>10621824</v>
      </c>
      <c r="R12" s="86">
        <f>'07NAICS_VA, GO, II'!H3</f>
        <v>10977514</v>
      </c>
      <c r="S12" s="86">
        <f>'07NAICS_VA, GO, II'!I3</f>
        <v>11510670</v>
      </c>
      <c r="T12" s="86">
        <f>'07NAICS_VA, GO, II'!J3</f>
        <v>12274928</v>
      </c>
      <c r="U12" s="86">
        <f>'07NAICS_VA, GO, II'!K3</f>
        <v>13093726</v>
      </c>
      <c r="V12" s="86">
        <f>'07NAICS_VA, GO, II'!L3</f>
        <v>13855888</v>
      </c>
      <c r="W12" s="86">
        <f>'07NAICS_VA, GO, II'!M3</f>
        <v>14477635</v>
      </c>
      <c r="X12" s="86">
        <f>'07NAICS_VA, GO, II'!N3</f>
        <v>14718582</v>
      </c>
      <c r="Y12" s="86">
        <f>'07NAICS_VA, GO, II'!O3</f>
        <v>14418739</v>
      </c>
      <c r="Z12" s="86">
        <f>'07NAICS_VA, GO, II'!P3</f>
        <v>14964372</v>
      </c>
      <c r="AA12" s="86">
        <f>'07NAICS_VA, GO, II'!Q3</f>
        <v>15517926</v>
      </c>
      <c r="AB12" s="86">
        <f>'07NAICS_VA, GO, II'!R3</f>
        <v>16163158</v>
      </c>
      <c r="AC12" s="86">
        <f>'07NAICS_VA, GO, II'!S3</f>
        <v>16768053</v>
      </c>
    </row>
    <row r="13" spans="1:29">
      <c r="B13" t="s">
        <v>476</v>
      </c>
      <c r="L13" s="2"/>
      <c r="M13" s="87">
        <f>SUM('07NAICS_VA, GO, II'!C5,'07NAICS_VA, GO, II'!C8,'07NAICS_VA, GO, II'!C14)</f>
        <v>1594028</v>
      </c>
      <c r="N13" s="86">
        <f>SUM('07NAICS_VA, GO, II'!D5,'07NAICS_VA, GO, II'!D8,'07NAICS_VA, GO, II'!D14)</f>
        <v>1616428</v>
      </c>
      <c r="O13" s="86">
        <f>SUM('07NAICS_VA, GO, II'!E5,'07NAICS_VA, GO, II'!E8,'07NAICS_VA, GO, II'!E14)</f>
        <v>1670777</v>
      </c>
      <c r="P13" s="86">
        <f>SUM('07NAICS_VA, GO, II'!F5,'07NAICS_VA, GO, II'!F8,'07NAICS_VA, GO, II'!F14)</f>
        <v>1764325</v>
      </c>
      <c r="Q13" s="86">
        <f>SUM('07NAICS_VA, GO, II'!G5,'07NAICS_VA, GO, II'!G8,'07NAICS_VA, GO, II'!G14)</f>
        <v>1703672</v>
      </c>
      <c r="R13" s="86">
        <f>SUM('07NAICS_VA, GO, II'!H5,'07NAICS_VA, GO, II'!H8,'07NAICS_VA, GO, II'!H14)</f>
        <v>1681960</v>
      </c>
      <c r="S13" s="86">
        <f>SUM('07NAICS_VA, GO, II'!I5,'07NAICS_VA, GO, II'!I8,'07NAICS_VA, GO, II'!I14)</f>
        <v>1787252</v>
      </c>
      <c r="T13" s="86">
        <f>SUM('07NAICS_VA, GO, II'!J5,'07NAICS_VA, GO, II'!J8,'07NAICS_VA, GO, II'!J14)</f>
        <v>1929414</v>
      </c>
      <c r="U13" s="86">
        <f>SUM('07NAICS_VA, GO, II'!K5,'07NAICS_VA, GO, II'!K8,'07NAICS_VA, GO, II'!K14)</f>
        <v>2059390</v>
      </c>
      <c r="V13" s="86">
        <f>SUM('07NAICS_VA, GO, II'!L5,'07NAICS_VA, GO, II'!L8,'07NAICS_VA, GO, II'!L14)</f>
        <v>2205971</v>
      </c>
      <c r="W13" s="86">
        <f>SUM('07NAICS_VA, GO, II'!M5,'07NAICS_VA, GO, II'!M8,'07NAICS_VA, GO, II'!M14)</f>
        <v>2310347</v>
      </c>
      <c r="X13" s="86">
        <f>SUM('07NAICS_VA, GO, II'!N5,'07NAICS_VA, GO, II'!N8,'07NAICS_VA, GO, II'!N14)</f>
        <v>2370102</v>
      </c>
      <c r="Y13" s="86">
        <f>SUM('07NAICS_VA, GO, II'!O5,'07NAICS_VA, GO, II'!O8,'07NAICS_VA, GO, II'!O14)</f>
        <v>2154716</v>
      </c>
      <c r="Z13" s="86">
        <f>SUM('07NAICS_VA, GO, II'!P5,'07NAICS_VA, GO, II'!P8,'07NAICS_VA, GO, II'!P14)</f>
        <v>2322522</v>
      </c>
      <c r="AA13" s="86">
        <f>SUM('07NAICS_VA, GO, II'!Q5,'07NAICS_VA, GO, II'!Q8,'07NAICS_VA, GO, II'!Q14)</f>
        <v>2503184</v>
      </c>
      <c r="AB13" s="86">
        <f>SUM('07NAICS_VA, GO, II'!R5,'07NAICS_VA, GO, II'!R8,'07NAICS_VA, GO, II'!R14)</f>
        <v>2596553</v>
      </c>
      <c r="AC13" s="86">
        <f>SUM('07NAICS_VA, GO, II'!S5,'07NAICS_VA, GO, II'!S8,'07NAICS_VA, GO, II'!S14)</f>
        <v>2694514</v>
      </c>
    </row>
    <row r="14" spans="1:29">
      <c r="B14" t="s">
        <v>477</v>
      </c>
      <c r="L14" s="2"/>
      <c r="M14" s="87">
        <f>M12-M13-M15</f>
        <v>6673790</v>
      </c>
      <c r="N14" s="86">
        <f t="shared" ref="N14:AC14" si="2">N12-N13-N15</f>
        <v>7092279</v>
      </c>
      <c r="O14" s="86">
        <f t="shared" si="2"/>
        <v>7571452</v>
      </c>
      <c r="P14" s="86">
        <f t="shared" si="2"/>
        <v>8058116</v>
      </c>
      <c r="Q14" s="86">
        <f t="shared" si="2"/>
        <v>8430144</v>
      </c>
      <c r="R14" s="86">
        <f t="shared" si="2"/>
        <v>8800698</v>
      </c>
      <c r="S14" s="86">
        <f t="shared" si="2"/>
        <v>9196285</v>
      </c>
      <c r="T14" s="86">
        <f t="shared" si="2"/>
        <v>9757985</v>
      </c>
      <c r="U14" s="86">
        <f t="shared" si="2"/>
        <v>10380231</v>
      </c>
      <c r="V14" s="86">
        <f t="shared" si="2"/>
        <v>10951689</v>
      </c>
      <c r="W14" s="86">
        <f t="shared" si="2"/>
        <v>11452300</v>
      </c>
      <c r="X14" s="86">
        <f t="shared" si="2"/>
        <v>11695496</v>
      </c>
      <c r="Y14" s="86">
        <f t="shared" si="2"/>
        <v>11686728</v>
      </c>
      <c r="Z14" s="86">
        <f t="shared" si="2"/>
        <v>12100233</v>
      </c>
      <c r="AA14" s="86">
        <f t="shared" si="2"/>
        <v>12468128</v>
      </c>
      <c r="AB14" s="86">
        <f t="shared" si="2"/>
        <v>12979929</v>
      </c>
      <c r="AC14" s="86">
        <f t="shared" si="2"/>
        <v>13453616</v>
      </c>
    </row>
    <row r="15" spans="1:29">
      <c r="B15" t="s">
        <v>478</v>
      </c>
      <c r="L15" s="2"/>
      <c r="M15" s="87">
        <f>'07NAICS_VA, GO, II'!C13</f>
        <v>340697</v>
      </c>
      <c r="N15" s="86">
        <f>'07NAICS_VA, GO, II'!D13</f>
        <v>380461</v>
      </c>
      <c r="O15" s="86">
        <f>'07NAICS_VA, GO, II'!E13</f>
        <v>418395</v>
      </c>
      <c r="P15" s="86">
        <f>'07NAICS_VA, GO, II'!F13</f>
        <v>462338</v>
      </c>
      <c r="Q15" s="86">
        <f>'07NAICS_VA, GO, II'!G13</f>
        <v>488008</v>
      </c>
      <c r="R15" s="86">
        <f>'07NAICS_VA, GO, II'!H13</f>
        <v>494856</v>
      </c>
      <c r="S15" s="86">
        <f>'07NAICS_VA, GO, II'!I13</f>
        <v>527133</v>
      </c>
      <c r="T15" s="86">
        <f>'07NAICS_VA, GO, II'!J13</f>
        <v>587529</v>
      </c>
      <c r="U15" s="86">
        <f>'07NAICS_VA, GO, II'!K13</f>
        <v>654105</v>
      </c>
      <c r="V15" s="86">
        <f>'07NAICS_VA, GO, II'!L13</f>
        <v>698228</v>
      </c>
      <c r="W15" s="86">
        <f>'07NAICS_VA, GO, II'!M13</f>
        <v>714988</v>
      </c>
      <c r="X15" s="86">
        <f>'07NAICS_VA, GO, II'!N13</f>
        <v>652984</v>
      </c>
      <c r="Y15" s="86">
        <f>'07NAICS_VA, GO, II'!O13</f>
        <v>577295</v>
      </c>
      <c r="Z15" s="86">
        <f>'07NAICS_VA, GO, II'!P13</f>
        <v>541617</v>
      </c>
      <c r="AA15" s="86">
        <f>'07NAICS_VA, GO, II'!Q13</f>
        <v>546614</v>
      </c>
      <c r="AB15" s="86">
        <f>'07NAICS_VA, GO, II'!R13</f>
        <v>586676</v>
      </c>
      <c r="AC15" s="86">
        <f>'07NAICS_VA, GO, II'!S13</f>
        <v>619923</v>
      </c>
    </row>
    <row r="16" spans="1:29">
      <c r="L16" s="2"/>
      <c r="M16" s="2"/>
    </row>
    <row r="17" spans="2:29">
      <c r="B17" s="9" t="s">
        <v>484</v>
      </c>
      <c r="L17" s="2"/>
      <c r="M17" s="2"/>
    </row>
    <row r="18" spans="2:29">
      <c r="B18" t="s">
        <v>245</v>
      </c>
      <c r="C18">
        <f t="shared" ref="C18:K18" si="3">D18*(C6/D6)</f>
        <v>4893327.300747375</v>
      </c>
      <c r="D18">
        <f t="shared" si="3"/>
        <v>5269461.3236114802</v>
      </c>
      <c r="E18">
        <f t="shared" si="3"/>
        <v>5663836.5055658882</v>
      </c>
      <c r="F18">
        <f t="shared" si="3"/>
        <v>5992769.3596851649</v>
      </c>
      <c r="G18">
        <f t="shared" si="3"/>
        <v>6190685.3159296243</v>
      </c>
      <c r="H18">
        <f t="shared" si="3"/>
        <v>6552504.1201510439</v>
      </c>
      <c r="I18">
        <f t="shared" si="3"/>
        <v>6888320.8009025529</v>
      </c>
      <c r="J18">
        <f t="shared" si="3"/>
        <v>7319977.9531182153</v>
      </c>
      <c r="K18">
        <f t="shared" si="3"/>
        <v>7660393.1499045528</v>
      </c>
      <c r="L18" s="2">
        <f>M12*(L6/M6)</f>
        <v>8098239.857178553</v>
      </c>
      <c r="M18" s="87">
        <f>M12</f>
        <v>8608515</v>
      </c>
      <c r="N18" s="87">
        <f t="shared" ref="N18:AC21" si="4">N12</f>
        <v>9089168</v>
      </c>
      <c r="O18" s="87">
        <f t="shared" si="4"/>
        <v>9660624</v>
      </c>
      <c r="P18" s="87">
        <f t="shared" si="4"/>
        <v>10284779</v>
      </c>
      <c r="Q18" s="87">
        <f t="shared" si="4"/>
        <v>10621824</v>
      </c>
      <c r="R18" s="87">
        <f t="shared" si="4"/>
        <v>10977514</v>
      </c>
      <c r="S18" s="87">
        <f t="shared" si="4"/>
        <v>11510670</v>
      </c>
      <c r="T18" s="87">
        <f t="shared" si="4"/>
        <v>12274928</v>
      </c>
      <c r="U18" s="87">
        <f t="shared" si="4"/>
        <v>13093726</v>
      </c>
      <c r="V18" s="87">
        <f t="shared" si="4"/>
        <v>13855888</v>
      </c>
      <c r="W18" s="87">
        <f t="shared" si="4"/>
        <v>14477635</v>
      </c>
      <c r="X18" s="87">
        <f t="shared" si="4"/>
        <v>14718582</v>
      </c>
      <c r="Y18" s="87">
        <f t="shared" si="4"/>
        <v>14418739</v>
      </c>
      <c r="Z18" s="87">
        <f t="shared" si="4"/>
        <v>14964372</v>
      </c>
      <c r="AA18" s="87">
        <f t="shared" si="4"/>
        <v>15517926</v>
      </c>
      <c r="AB18" s="87">
        <f t="shared" si="4"/>
        <v>16163158</v>
      </c>
      <c r="AC18" s="87">
        <f t="shared" si="4"/>
        <v>16768053</v>
      </c>
    </row>
    <row r="19" spans="2:29">
      <c r="B19" t="s">
        <v>476</v>
      </c>
      <c r="C19">
        <f t="shared" ref="C19" si="5">D19*(C7/D7)</f>
        <v>1049691.9061909618</v>
      </c>
      <c r="D19">
        <f t="shared" ref="D19:E19" si="6">E19*(D7/E7)</f>
        <v>1133018.6640135038</v>
      </c>
      <c r="E19">
        <f t="shared" si="6"/>
        <v>1206198.7482041505</v>
      </c>
      <c r="F19">
        <f t="shared" ref="F19:G19" si="7">G19*(F7/G7)</f>
        <v>1241391.2539694442</v>
      </c>
      <c r="G19">
        <f t="shared" si="7"/>
        <v>1232178.0656982083</v>
      </c>
      <c r="H19">
        <f t="shared" ref="H19:I19" si="8">I19*(H7/I7)</f>
        <v>1280803.2858344193</v>
      </c>
      <c r="I19">
        <f t="shared" si="8"/>
        <v>1317799.2379423939</v>
      </c>
      <c r="J19">
        <f t="shared" ref="J19:K21" si="9">K19*(J7/K7)</f>
        <v>1409186.0550612397</v>
      </c>
      <c r="K19">
        <f t="shared" si="9"/>
        <v>1452334.1817376195</v>
      </c>
      <c r="L19" s="2">
        <f t="shared" ref="L19:L21" si="10">M13*(L7/M7)</f>
        <v>1521056.7925797892</v>
      </c>
      <c r="M19" s="87">
        <f t="shared" ref="M19:AB21" si="11">M13</f>
        <v>1594028</v>
      </c>
      <c r="N19" s="87">
        <f t="shared" si="11"/>
        <v>1616428</v>
      </c>
      <c r="O19" s="87">
        <f t="shared" si="11"/>
        <v>1670777</v>
      </c>
      <c r="P19" s="87">
        <f t="shared" si="11"/>
        <v>1764325</v>
      </c>
      <c r="Q19" s="87">
        <f t="shared" si="11"/>
        <v>1703672</v>
      </c>
      <c r="R19" s="87">
        <f t="shared" si="11"/>
        <v>1681960</v>
      </c>
      <c r="S19" s="87">
        <f t="shared" si="11"/>
        <v>1787252</v>
      </c>
      <c r="T19" s="87">
        <f t="shared" si="11"/>
        <v>1929414</v>
      </c>
      <c r="U19" s="87">
        <f t="shared" si="11"/>
        <v>2059390</v>
      </c>
      <c r="V19" s="87">
        <f t="shared" si="11"/>
        <v>2205971</v>
      </c>
      <c r="W19" s="87">
        <f t="shared" si="11"/>
        <v>2310347</v>
      </c>
      <c r="X19" s="87">
        <f t="shared" si="11"/>
        <v>2370102</v>
      </c>
      <c r="Y19" s="87">
        <f t="shared" si="11"/>
        <v>2154716</v>
      </c>
      <c r="Z19" s="87">
        <f t="shared" si="11"/>
        <v>2322522</v>
      </c>
      <c r="AA19" s="87">
        <f t="shared" si="11"/>
        <v>2503184</v>
      </c>
      <c r="AB19" s="87">
        <f t="shared" si="11"/>
        <v>2596553</v>
      </c>
      <c r="AC19" s="87">
        <f t="shared" si="4"/>
        <v>2694514</v>
      </c>
    </row>
    <row r="20" spans="2:29">
      <c r="B20" t="s">
        <v>477</v>
      </c>
      <c r="C20" s="87">
        <f t="shared" ref="C20:M20" si="12">C18-C19-C21</f>
        <v>3637210.1872910061</v>
      </c>
      <c r="D20" s="87">
        <f t="shared" si="12"/>
        <v>3913933.685600243</v>
      </c>
      <c r="E20" s="87">
        <f t="shared" si="12"/>
        <v>4223216.0466138842</v>
      </c>
      <c r="F20" s="87">
        <f t="shared" si="12"/>
        <v>4512065.1376648238</v>
      </c>
      <c r="G20" s="87">
        <f t="shared" si="12"/>
        <v>4733730.4936190937</v>
      </c>
      <c r="H20" s="87">
        <f t="shared" si="12"/>
        <v>5042591.9054565886</v>
      </c>
      <c r="I20" s="87">
        <f t="shared" si="12"/>
        <v>5324511.3651427804</v>
      </c>
      <c r="J20" s="87">
        <f t="shared" si="12"/>
        <v>5638379.9156408068</v>
      </c>
      <c r="K20" s="87">
        <f t="shared" si="12"/>
        <v>5918961.883247152</v>
      </c>
      <c r="L20" s="87">
        <f t="shared" si="12"/>
        <v>6261898.3963843426</v>
      </c>
      <c r="M20" s="87">
        <f t="shared" si="12"/>
        <v>6673790</v>
      </c>
      <c r="N20" s="87">
        <f t="shared" ref="N20:AC20" si="13">N18-N19-N21</f>
        <v>7092279</v>
      </c>
      <c r="O20" s="87">
        <f t="shared" si="13"/>
        <v>7571452</v>
      </c>
      <c r="P20" s="87">
        <f t="shared" si="13"/>
        <v>8058116</v>
      </c>
      <c r="Q20" s="87">
        <f t="shared" si="13"/>
        <v>8430144</v>
      </c>
      <c r="R20" s="87">
        <f t="shared" si="13"/>
        <v>8800698</v>
      </c>
      <c r="S20" s="87">
        <f t="shared" si="13"/>
        <v>9196285</v>
      </c>
      <c r="T20" s="87">
        <f t="shared" si="13"/>
        <v>9757985</v>
      </c>
      <c r="U20" s="87">
        <f t="shared" si="13"/>
        <v>10380231</v>
      </c>
      <c r="V20" s="87">
        <f t="shared" si="13"/>
        <v>10951689</v>
      </c>
      <c r="W20" s="87">
        <f t="shared" si="13"/>
        <v>11452300</v>
      </c>
      <c r="X20" s="87">
        <f t="shared" si="13"/>
        <v>11695496</v>
      </c>
      <c r="Y20" s="87">
        <f t="shared" si="13"/>
        <v>11686728</v>
      </c>
      <c r="Z20" s="87">
        <f t="shared" si="13"/>
        <v>12100233</v>
      </c>
      <c r="AA20" s="87">
        <f t="shared" si="13"/>
        <v>12468128</v>
      </c>
      <c r="AB20" s="87">
        <f t="shared" si="13"/>
        <v>12979929</v>
      </c>
      <c r="AC20" s="87">
        <f t="shared" si="13"/>
        <v>13453616</v>
      </c>
    </row>
    <row r="21" spans="2:29">
      <c r="B21" t="s">
        <v>478</v>
      </c>
      <c r="C21">
        <f t="shared" ref="C21" si="14">D21*(C9/D9)</f>
        <v>206425.20726540711</v>
      </c>
      <c r="D21">
        <f t="shared" ref="D21:E21" si="15">E21*(D9/E9)</f>
        <v>222508.97399773315</v>
      </c>
      <c r="E21">
        <f t="shared" si="15"/>
        <v>234421.71074785356</v>
      </c>
      <c r="F21">
        <f t="shared" ref="F21:G21" si="16">G21*(F9/G9)</f>
        <v>239312.96805089706</v>
      </c>
      <c r="G21">
        <f t="shared" si="16"/>
        <v>224776.75661232224</v>
      </c>
      <c r="H21">
        <f t="shared" ref="H21:I21" si="17">I21*(H9/I9)</f>
        <v>229108.92886003596</v>
      </c>
      <c r="I21">
        <f t="shared" si="17"/>
        <v>246010.1978173785</v>
      </c>
      <c r="J21">
        <f t="shared" si="9"/>
        <v>272411.98241616896</v>
      </c>
      <c r="K21">
        <f t="shared" si="9"/>
        <v>289097.08491978119</v>
      </c>
      <c r="L21" s="2">
        <f t="shared" si="10"/>
        <v>315284.66821442067</v>
      </c>
      <c r="M21" s="87">
        <f t="shared" si="11"/>
        <v>340697</v>
      </c>
      <c r="N21" s="87">
        <f t="shared" si="4"/>
        <v>380461</v>
      </c>
      <c r="O21" s="87">
        <f t="shared" si="4"/>
        <v>418395</v>
      </c>
      <c r="P21" s="87">
        <f t="shared" si="4"/>
        <v>462338</v>
      </c>
      <c r="Q21" s="87">
        <f t="shared" si="4"/>
        <v>488008</v>
      </c>
      <c r="R21" s="87">
        <f t="shared" si="4"/>
        <v>494856</v>
      </c>
      <c r="S21" s="87">
        <f t="shared" si="4"/>
        <v>527133</v>
      </c>
      <c r="T21" s="87">
        <f t="shared" si="4"/>
        <v>587529</v>
      </c>
      <c r="U21" s="87">
        <f t="shared" si="4"/>
        <v>654105</v>
      </c>
      <c r="V21" s="87">
        <f t="shared" si="4"/>
        <v>698228</v>
      </c>
      <c r="W21" s="87">
        <f t="shared" si="4"/>
        <v>714988</v>
      </c>
      <c r="X21" s="87">
        <f t="shared" si="4"/>
        <v>652984</v>
      </c>
      <c r="Y21" s="87">
        <f t="shared" si="4"/>
        <v>577295</v>
      </c>
      <c r="Z21" s="87">
        <f t="shared" si="4"/>
        <v>541617</v>
      </c>
      <c r="AA21" s="87">
        <f t="shared" si="4"/>
        <v>546614</v>
      </c>
      <c r="AB21" s="87">
        <f t="shared" si="4"/>
        <v>586676</v>
      </c>
      <c r="AC21" s="87">
        <f t="shared" si="4"/>
        <v>619923</v>
      </c>
    </row>
    <row r="22" spans="2:29">
      <c r="L22" s="2"/>
      <c r="M22" s="2"/>
      <c r="N22" s="2"/>
      <c r="O22" s="2"/>
      <c r="P22" s="2"/>
      <c r="Q22" s="2"/>
      <c r="R22" s="2"/>
      <c r="S22" s="2"/>
      <c r="T22" s="2"/>
      <c r="U22" s="2"/>
      <c r="V22" s="2"/>
      <c r="W22" s="2"/>
      <c r="X22" s="2"/>
      <c r="Y22" s="2"/>
      <c r="Z22" s="2"/>
      <c r="AA22" s="2"/>
      <c r="AB22" s="2"/>
      <c r="AC22" s="2"/>
    </row>
    <row r="23" spans="2:29">
      <c r="B23" t="s">
        <v>481</v>
      </c>
      <c r="C23">
        <f>C19/C$18</f>
        <v>0.21451495918342489</v>
      </c>
      <c r="D23">
        <f t="shared" ref="D23:M23" si="18">D19/D$18</f>
        <v>0.21501603189241697</v>
      </c>
      <c r="E23">
        <f t="shared" si="18"/>
        <v>0.21296496588819455</v>
      </c>
      <c r="F23">
        <f t="shared" si="18"/>
        <v>0.20714817798939317</v>
      </c>
      <c r="G23">
        <f t="shared" si="18"/>
        <v>0.1990374252310349</v>
      </c>
      <c r="H23">
        <f t="shared" si="18"/>
        <v>0.19546775741743375</v>
      </c>
      <c r="I23">
        <f t="shared" si="18"/>
        <v>0.19130921396252729</v>
      </c>
      <c r="J23">
        <f t="shared" si="18"/>
        <v>0.19251233597786246</v>
      </c>
      <c r="K23">
        <f t="shared" si="18"/>
        <v>0.18959003191053128</v>
      </c>
      <c r="L23">
        <f t="shared" si="18"/>
        <v>0.18782560400844056</v>
      </c>
      <c r="M23">
        <f t="shared" si="18"/>
        <v>0.18516875442512443</v>
      </c>
      <c r="N23">
        <f t="shared" ref="N23:AC23" si="19">N19/N$18</f>
        <v>0.1778411401351587</v>
      </c>
      <c r="O23">
        <f t="shared" si="19"/>
        <v>0.17294710983472703</v>
      </c>
      <c r="P23">
        <f t="shared" si="19"/>
        <v>0.17154719610406796</v>
      </c>
      <c r="Q23">
        <f t="shared" si="19"/>
        <v>0.16039354446091367</v>
      </c>
      <c r="R23">
        <f t="shared" si="19"/>
        <v>0.15321866134718662</v>
      </c>
      <c r="S23">
        <f t="shared" si="19"/>
        <v>0.155269154619149</v>
      </c>
      <c r="T23">
        <f t="shared" si="19"/>
        <v>0.15718332523009504</v>
      </c>
      <c r="U23">
        <f t="shared" si="19"/>
        <v>0.15728067014690852</v>
      </c>
      <c r="V23">
        <f t="shared" si="19"/>
        <v>0.15920820087460291</v>
      </c>
      <c r="W23">
        <f t="shared" si="19"/>
        <v>0.15958041489511235</v>
      </c>
      <c r="X23">
        <f t="shared" si="19"/>
        <v>0.16102787619079068</v>
      </c>
      <c r="Y23">
        <f t="shared" si="19"/>
        <v>0.14943858821496109</v>
      </c>
      <c r="Z23">
        <f t="shared" si="19"/>
        <v>0.15520343920880877</v>
      </c>
      <c r="AA23">
        <f t="shared" si="19"/>
        <v>0.16130918526096852</v>
      </c>
      <c r="AB23">
        <f t="shared" si="19"/>
        <v>0.16064639100848979</v>
      </c>
      <c r="AC23">
        <f t="shared" si="19"/>
        <v>0.16069331364828104</v>
      </c>
    </row>
    <row r="24" spans="2:29">
      <c r="B24" t="s">
        <v>480</v>
      </c>
      <c r="C24">
        <f t="shared" ref="C24:M25" si="20">C20/C$18</f>
        <v>0.74330000094935045</v>
      </c>
      <c r="D24">
        <f t="shared" si="20"/>
        <v>0.74275783523879968</v>
      </c>
      <c r="E24">
        <f t="shared" si="20"/>
        <v>0.74564582548661196</v>
      </c>
      <c r="F24">
        <f t="shared" si="20"/>
        <v>0.75291820306294399</v>
      </c>
      <c r="G24">
        <f t="shared" si="20"/>
        <v>0.76465370989516257</v>
      </c>
      <c r="H24">
        <f t="shared" si="20"/>
        <v>0.76956714761140055</v>
      </c>
      <c r="I24">
        <f t="shared" si="20"/>
        <v>0.77297668314825407</v>
      </c>
      <c r="J24">
        <f t="shared" si="20"/>
        <v>0.77027280023964151</v>
      </c>
      <c r="K24">
        <f t="shared" si="20"/>
        <v>0.77267077125420136</v>
      </c>
      <c r="L24">
        <f t="shared" si="20"/>
        <v>0.77324190278626836</v>
      </c>
      <c r="M24">
        <f t="shared" si="20"/>
        <v>0.77525450092147141</v>
      </c>
      <c r="N24">
        <f t="shared" ref="N24:AC24" si="21">N20/N$18</f>
        <v>0.78030013308148771</v>
      </c>
      <c r="O24">
        <f t="shared" si="21"/>
        <v>0.78374357598432565</v>
      </c>
      <c r="P24">
        <f t="shared" si="21"/>
        <v>0.78349918846092848</v>
      </c>
      <c r="Q24">
        <f t="shared" si="21"/>
        <v>0.79366255739127289</v>
      </c>
      <c r="R24">
        <f t="shared" si="21"/>
        <v>0.80170227976935393</v>
      </c>
      <c r="S24">
        <f t="shared" si="21"/>
        <v>0.79893568315310926</v>
      </c>
      <c r="T24">
        <f t="shared" si="21"/>
        <v>0.79495252436511232</v>
      </c>
      <c r="U24">
        <f t="shared" si="21"/>
        <v>0.79276372516119553</v>
      </c>
      <c r="V24">
        <f t="shared" si="21"/>
        <v>0.79039964814958086</v>
      </c>
      <c r="W24">
        <f t="shared" si="21"/>
        <v>0.79103389469343577</v>
      </c>
      <c r="X24">
        <f t="shared" si="21"/>
        <v>0.79460752401284307</v>
      </c>
      <c r="Y24">
        <f t="shared" si="21"/>
        <v>0.81052358323428975</v>
      </c>
      <c r="Z24">
        <f t="shared" si="21"/>
        <v>0.80860279335477625</v>
      </c>
      <c r="AA24">
        <f t="shared" si="21"/>
        <v>0.80346613329642114</v>
      </c>
      <c r="AB24">
        <f t="shared" si="21"/>
        <v>0.80305649428162496</v>
      </c>
      <c r="AC24">
        <f t="shared" si="21"/>
        <v>0.80233620444782705</v>
      </c>
    </row>
    <row r="25" spans="2:29">
      <c r="B25" t="s">
        <v>479</v>
      </c>
      <c r="C25">
        <f t="shared" si="20"/>
        <v>4.2185039867224716E-2</v>
      </c>
      <c r="D25">
        <f t="shared" si="20"/>
        <v>4.2226132868783316E-2</v>
      </c>
      <c r="E25">
        <f t="shared" si="20"/>
        <v>4.1389208625193519E-2</v>
      </c>
      <c r="F25">
        <f t="shared" si="20"/>
        <v>3.9933618947662883E-2</v>
      </c>
      <c r="G25">
        <f t="shared" si="20"/>
        <v>3.6308864873802527E-2</v>
      </c>
      <c r="H25">
        <f t="shared" si="20"/>
        <v>3.4965094971165726E-2</v>
      </c>
      <c r="I25">
        <f t="shared" si="20"/>
        <v>3.5714102889218606E-2</v>
      </c>
      <c r="J25">
        <f t="shared" si="20"/>
        <v>3.7214863782496097E-2</v>
      </c>
      <c r="K25">
        <f t="shared" si="20"/>
        <v>3.7739196835267295E-2</v>
      </c>
      <c r="L25">
        <f t="shared" si="20"/>
        <v>3.8932493205290984E-2</v>
      </c>
      <c r="M25">
        <f t="shared" si="20"/>
        <v>3.9576744653404217E-2</v>
      </c>
      <c r="N25">
        <f t="shared" ref="N25:AC25" si="22">N21/N$18</f>
        <v>4.1858726783353548E-2</v>
      </c>
      <c r="O25">
        <f t="shared" si="22"/>
        <v>4.3309314180947314E-2</v>
      </c>
      <c r="P25">
        <f t="shared" si="22"/>
        <v>4.4953615435003515E-2</v>
      </c>
      <c r="Q25">
        <f t="shared" si="22"/>
        <v>4.5943898147813404E-2</v>
      </c>
      <c r="R25">
        <f t="shared" si="22"/>
        <v>4.5079058883459408E-2</v>
      </c>
      <c r="S25">
        <f t="shared" si="22"/>
        <v>4.5795162227741736E-2</v>
      </c>
      <c r="T25">
        <f t="shared" si="22"/>
        <v>4.7864150404792596E-2</v>
      </c>
      <c r="U25">
        <f t="shared" si="22"/>
        <v>4.9955604691895951E-2</v>
      </c>
      <c r="V25">
        <f t="shared" si="22"/>
        <v>5.0392150975816202E-2</v>
      </c>
      <c r="W25">
        <f t="shared" si="22"/>
        <v>4.9385690411451869E-2</v>
      </c>
      <c r="X25">
        <f t="shared" si="22"/>
        <v>4.4364599796366255E-2</v>
      </c>
      <c r="Y25">
        <f t="shared" si="22"/>
        <v>4.0037828550749131E-2</v>
      </c>
      <c r="Z25">
        <f t="shared" si="22"/>
        <v>3.6193767436414975E-2</v>
      </c>
      <c r="AA25">
        <f t="shared" si="22"/>
        <v>3.522468144261031E-2</v>
      </c>
      <c r="AB25">
        <f t="shared" si="22"/>
        <v>3.6297114709885281E-2</v>
      </c>
      <c r="AC25">
        <f t="shared" si="22"/>
        <v>3.6970481903891884E-2</v>
      </c>
    </row>
    <row r="26" spans="2:29">
      <c r="L26" s="2"/>
      <c r="M26" s="2"/>
    </row>
    <row r="27" spans="2:29">
      <c r="C27" s="9"/>
    </row>
    <row r="28" spans="2:29">
      <c r="C28" s="7"/>
    </row>
    <row r="30" spans="2:29">
      <c r="C30" s="9"/>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50"/>
  <sheetViews>
    <sheetView zoomScale="75" zoomScaleNormal="75" workbookViewId="0">
      <pane xSplit="2" topLeftCell="C1" activePane="topRight" state="frozen"/>
      <selection activeCell="H113" sqref="H113"/>
      <selection pane="topRight" activeCell="F42" sqref="F42"/>
    </sheetView>
  </sheetViews>
  <sheetFormatPr defaultRowHeight="15"/>
  <cols>
    <col min="2" max="2" width="28.75" bestFit="1" customWidth="1"/>
    <col min="3" max="11" width="20.125" customWidth="1"/>
    <col min="12" max="12" width="3.375" customWidth="1"/>
    <col min="13" max="14" width="18.875" customWidth="1"/>
    <col min="15" max="15" width="10.625" bestFit="1" customWidth="1"/>
  </cols>
  <sheetData>
    <row r="1" spans="1:16" ht="18.75">
      <c r="A1" s="10" t="s">
        <v>246</v>
      </c>
    </row>
    <row r="3" spans="1:16">
      <c r="B3" s="3" t="s">
        <v>279</v>
      </c>
    </row>
    <row r="5" spans="1:16">
      <c r="C5" s="200" t="s">
        <v>83</v>
      </c>
      <c r="D5" s="200"/>
      <c r="E5" s="200"/>
      <c r="F5" s="200"/>
      <c r="G5" s="200"/>
      <c r="H5" s="199" t="s">
        <v>84</v>
      </c>
      <c r="I5" s="199"/>
      <c r="J5" s="199"/>
      <c r="K5" s="199"/>
      <c r="L5" s="13"/>
    </row>
    <row r="6" spans="1:16">
      <c r="C6" s="14" t="s">
        <v>85</v>
      </c>
      <c r="D6" s="14" t="s">
        <v>86</v>
      </c>
      <c r="E6" s="14" t="s">
        <v>87</v>
      </c>
      <c r="F6" s="14" t="s">
        <v>88</v>
      </c>
      <c r="G6" s="14" t="s">
        <v>89</v>
      </c>
      <c r="H6" s="14" t="s">
        <v>94</v>
      </c>
      <c r="I6" s="14" t="s">
        <v>93</v>
      </c>
      <c r="J6" s="14" t="s">
        <v>95</v>
      </c>
      <c r="K6" s="14" t="s">
        <v>92</v>
      </c>
      <c r="L6" s="14"/>
      <c r="M6" s="20" t="s">
        <v>256</v>
      </c>
      <c r="N6" s="19" t="s">
        <v>257</v>
      </c>
    </row>
    <row r="7" spans="1:16">
      <c r="B7" s="12" t="s">
        <v>247</v>
      </c>
      <c r="C7" s="6">
        <f>'Step1-AggregateWIOD'!C6</f>
        <v>1457664.4256283147</v>
      </c>
      <c r="D7" s="6">
        <f>'Step1-AggregateWIOD'!D6</f>
        <v>591824.30158035248</v>
      </c>
      <c r="E7" s="6">
        <f>'Step1-AggregateWIOD'!E6</f>
        <v>180657.11863607931</v>
      </c>
      <c r="F7" s="6">
        <v>0</v>
      </c>
      <c r="G7" s="6">
        <v>0</v>
      </c>
      <c r="H7">
        <f>'Step1-AggregateWIOD'!H6*'Step2a-NIPACalcs'!C$15</f>
        <v>591205.40764462412</v>
      </c>
      <c r="I7">
        <f>(1-'Step2a-NIPACalcs'!C$15)*'Step1-AggregateWIOD'!H6</f>
        <v>147152.74669485592</v>
      </c>
      <c r="J7" s="6">
        <f>'Step1-AggregateWIOD'!I6</f>
        <v>403903.5442850886</v>
      </c>
      <c r="K7" s="6">
        <v>0</v>
      </c>
      <c r="M7" s="6">
        <f>SUM(C7:K7)</f>
        <v>3372407.5444693151</v>
      </c>
      <c r="N7" s="6">
        <f>C22-N12</f>
        <v>3511720.9197997879</v>
      </c>
      <c r="O7" s="5" t="s">
        <v>277</v>
      </c>
      <c r="P7" s="9" t="s">
        <v>291</v>
      </c>
    </row>
    <row r="8" spans="1:16">
      <c r="B8" s="12" t="s">
        <v>248</v>
      </c>
      <c r="C8" s="6">
        <f>'Step1-AggregateWIOD'!C7</f>
        <v>779095.45130959386</v>
      </c>
      <c r="D8" s="6">
        <f>'Step1-AggregateWIOD'!D7</f>
        <v>2284879.7721782909</v>
      </c>
      <c r="E8" s="6">
        <f>'Step1-AggregateWIOD'!E7</f>
        <v>168030.50841478771</v>
      </c>
      <c r="F8" s="6">
        <v>0</v>
      </c>
      <c r="G8" s="6">
        <v>0</v>
      </c>
      <c r="H8">
        <f>'Step1-AggregateWIOD'!H7*'Step2a-NIPACalcs'!C$15</f>
        <v>4154519.1203062152</v>
      </c>
      <c r="I8">
        <f>(1-'Step2a-NIPACalcs'!C$15)*'Step1-AggregateWIOD'!H7</f>
        <v>1034071.9009742894</v>
      </c>
      <c r="J8" s="6">
        <f>'Step1-AggregateWIOD'!I7</f>
        <v>226256.89498675888</v>
      </c>
      <c r="K8">
        <v>0</v>
      </c>
      <c r="M8" s="6">
        <f t="shared" ref="M8:M19" si="0">SUM(C8:K8)</f>
        <v>8646853.6481699347</v>
      </c>
      <c r="N8" s="6">
        <f>D22-N13</f>
        <v>8921308.1103946082</v>
      </c>
      <c r="O8" s="5" t="s">
        <v>277</v>
      </c>
      <c r="P8" s="9" t="s">
        <v>287</v>
      </c>
    </row>
    <row r="9" spans="1:16">
      <c r="B9" s="12" t="s">
        <v>249</v>
      </c>
      <c r="C9" s="6">
        <v>0</v>
      </c>
      <c r="D9" s="6">
        <v>0</v>
      </c>
      <c r="E9" s="6">
        <v>0</v>
      </c>
      <c r="F9" s="6">
        <v>0</v>
      </c>
      <c r="G9" s="6">
        <v>0</v>
      </c>
      <c r="H9">
        <v>0</v>
      </c>
      <c r="I9" s="6">
        <v>0</v>
      </c>
      <c r="J9" s="6">
        <f>'Step1-AggregateWIOD'!I8</f>
        <v>588073.75</v>
      </c>
      <c r="K9" s="6">
        <v>0</v>
      </c>
      <c r="M9" s="6">
        <f t="shared" si="0"/>
        <v>588073.75</v>
      </c>
      <c r="N9" s="6">
        <f>E22</f>
        <v>713929.96151539974</v>
      </c>
      <c r="O9" s="5" t="s">
        <v>277</v>
      </c>
      <c r="P9" s="9" t="s">
        <v>288</v>
      </c>
    </row>
    <row r="10" spans="1:16">
      <c r="B10" s="12" t="s">
        <v>250</v>
      </c>
      <c r="C10" s="6">
        <v>0</v>
      </c>
      <c r="D10" s="6">
        <v>0</v>
      </c>
      <c r="E10" s="6">
        <v>0</v>
      </c>
      <c r="F10" s="6">
        <f>'Step1-AggregateWIOD'!F9</f>
        <v>6635482.6183962869</v>
      </c>
      <c r="G10" s="6">
        <f>'Step1-AggregateWIOD'!G9</f>
        <v>3041230.643553535</v>
      </c>
      <c r="H10" s="6">
        <v>0</v>
      </c>
      <c r="I10" s="6">
        <v>0</v>
      </c>
      <c r="J10" s="6">
        <v>0</v>
      </c>
      <c r="K10" s="6">
        <f>'Step1-AggregateWIOD'!J9</f>
        <v>6080735.9890204975</v>
      </c>
      <c r="M10" s="6">
        <f t="shared" si="0"/>
        <v>15757449.250970319</v>
      </c>
      <c r="N10" s="6">
        <f>F22-N14</f>
        <v>15127412.02090133</v>
      </c>
      <c r="O10" s="5" t="s">
        <v>277</v>
      </c>
      <c r="P10" s="9" t="s">
        <v>289</v>
      </c>
    </row>
    <row r="11" spans="1:16">
      <c r="B11" s="12" t="s">
        <v>251</v>
      </c>
      <c r="C11" s="6">
        <v>0</v>
      </c>
      <c r="D11" s="6">
        <v>0</v>
      </c>
      <c r="E11" s="6">
        <v>0</v>
      </c>
      <c r="F11" s="6">
        <f>'Step1-AggregateWIOD'!F10</f>
        <v>3184994.4959528297</v>
      </c>
      <c r="G11" s="6">
        <f>'Step1-AggregateWIOD'!G10</f>
        <v>6615874.9736709194</v>
      </c>
      <c r="H11" s="6">
        <v>0</v>
      </c>
      <c r="I11" s="6">
        <v>0</v>
      </c>
      <c r="J11" s="6">
        <v>0</v>
      </c>
      <c r="K11" s="6">
        <f>'Step1-AggregateWIOD'!J10</f>
        <v>15312524.024034129</v>
      </c>
      <c r="M11" s="6">
        <f t="shared" si="0"/>
        <v>25113393.49365788</v>
      </c>
      <c r="N11" s="6">
        <f>G22-N15</f>
        <v>23907526.738118872</v>
      </c>
      <c r="O11" s="5" t="s">
        <v>277</v>
      </c>
      <c r="P11" s="9" t="s">
        <v>290</v>
      </c>
    </row>
    <row r="12" spans="1:16">
      <c r="B12" s="12" t="s">
        <v>252</v>
      </c>
      <c r="C12" s="6">
        <v>0</v>
      </c>
      <c r="D12" s="6">
        <v>0</v>
      </c>
      <c r="E12" s="6">
        <v>0</v>
      </c>
      <c r="F12" s="6">
        <f>'Step1-AggregateWIOD'!F6</f>
        <v>230577.65280182436</v>
      </c>
      <c r="G12" s="6">
        <f>'Step1-AggregateWIOD'!G6</f>
        <v>84161.899337216688</v>
      </c>
      <c r="H12" s="6">
        <v>0</v>
      </c>
      <c r="I12" s="6">
        <v>0</v>
      </c>
      <c r="J12" s="6">
        <v>0</v>
      </c>
      <c r="K12" s="6">
        <f>'Step1-AggregateWIOD'!J6</f>
        <v>201759.46980164474</v>
      </c>
      <c r="M12" s="6">
        <f t="shared" si="0"/>
        <v>516499.02194068575</v>
      </c>
      <c r="N12">
        <f>1000*FRED!B19*'Step2a-NIPACalcs'!C8</f>
        <v>494483.42147275998</v>
      </c>
      <c r="O12" s="5" t="s">
        <v>277</v>
      </c>
      <c r="P12" s="9" t="s">
        <v>292</v>
      </c>
    </row>
    <row r="13" spans="1:16">
      <c r="B13" s="12" t="s">
        <v>253</v>
      </c>
      <c r="C13" s="6">
        <v>0</v>
      </c>
      <c r="D13" s="6">
        <v>0</v>
      </c>
      <c r="E13" s="6">
        <v>0</v>
      </c>
      <c r="F13" s="6">
        <f>'Step1-AggregateWIOD'!F7</f>
        <v>82720.572507183431</v>
      </c>
      <c r="G13" s="6">
        <f>'Step1-AggregateWIOD'!G7</f>
        <v>123289.03514630221</v>
      </c>
      <c r="H13" s="6">
        <v>0</v>
      </c>
      <c r="I13" s="6">
        <v>0</v>
      </c>
      <c r="J13" s="6">
        <v>0</v>
      </c>
      <c r="K13" s="6">
        <f>'Step1-AggregateWIOD'!J7</f>
        <v>42645.155326576991</v>
      </c>
      <c r="M13" s="6">
        <f t="shared" si="0"/>
        <v>248654.76298006263</v>
      </c>
      <c r="N13">
        <f>1000*FRED!B19*'Step2a-NIPACalcs'!C9</f>
        <v>192992.98044302536</v>
      </c>
      <c r="O13" s="5" t="s">
        <v>277</v>
      </c>
      <c r="P13" s="9" t="s">
        <v>293</v>
      </c>
    </row>
    <row r="14" spans="1:16">
      <c r="B14" s="12" t="s">
        <v>254</v>
      </c>
      <c r="C14" s="6">
        <f>'Step1-AggregateWIOD'!C9</f>
        <v>267580.62368602346</v>
      </c>
      <c r="D14" s="6">
        <f>'Step1-AggregateWIOD'!D9</f>
        <v>82244.365542032916</v>
      </c>
      <c r="E14" s="6">
        <f>'Step1-AggregateWIOD'!E9</f>
        <v>23667.237065463043</v>
      </c>
      <c r="F14" s="6">
        <v>0</v>
      </c>
      <c r="G14" s="6">
        <v>0</v>
      </c>
      <c r="H14">
        <f>'Step2a-NIPACalcs'!C$15*'Step1-AggregateWIOD'!H9</f>
        <v>157796.87740464488</v>
      </c>
      <c r="I14">
        <f>(1-'Step2a-NIPACalcs'!C$15)*'Step1-AggregateWIOD'!H9</f>
        <v>39276.102061506717</v>
      </c>
      <c r="J14" s="6">
        <f>'Step1-AggregateWIOD'!I9</f>
        <v>160883.9678614859</v>
      </c>
      <c r="K14">
        <v>0</v>
      </c>
      <c r="M14" s="6">
        <f t="shared" si="0"/>
        <v>731449.17362115695</v>
      </c>
      <c r="N14">
        <f>1000*FRED!B19*'Step2a-NIPACalcs'!C10</f>
        <v>591794.45719417278</v>
      </c>
      <c r="O14" s="5" t="s">
        <v>277</v>
      </c>
      <c r="P14" s="9" t="s">
        <v>294</v>
      </c>
    </row>
    <row r="15" spans="1:16">
      <c r="B15" s="12" t="s">
        <v>255</v>
      </c>
      <c r="C15" s="6">
        <f>'Step1-AggregateWIOD'!C10</f>
        <v>26233.315626331863</v>
      </c>
      <c r="D15" s="6">
        <f>'Step1-AggregateWIOD'!D10</f>
        <v>56019.119195252657</v>
      </c>
      <c r="E15" s="6">
        <f>'Step1-AggregateWIOD'!E10</f>
        <v>4835.4159554745165</v>
      </c>
      <c r="F15" s="6">
        <v>0</v>
      </c>
      <c r="G15" s="6">
        <v>0</v>
      </c>
      <c r="H15">
        <f>'Step2a-NIPACalcs'!C$15*'Step1-AggregateWIOD'!H10</f>
        <v>13036.85294206298</v>
      </c>
      <c r="I15">
        <f>(1-'Step2a-NIPACalcs'!C$15)*'Step1-AggregateWIOD'!H10</f>
        <v>3244.9106416743803</v>
      </c>
      <c r="J15" s="6">
        <f>'Step1-AggregateWIOD'!I10</f>
        <v>1434.0265293672894</v>
      </c>
      <c r="K15">
        <v>0</v>
      </c>
      <c r="M15" s="6">
        <f t="shared" si="0"/>
        <v>104803.64089016368</v>
      </c>
      <c r="N15">
        <f>1000*FRED!B19*'Step2a-NIPACalcs'!C11</f>
        <v>133476.85591698266</v>
      </c>
      <c r="O15" s="5" t="s">
        <v>277</v>
      </c>
      <c r="P15" s="9" t="s">
        <v>295</v>
      </c>
    </row>
    <row r="16" spans="1:16">
      <c r="B16" s="12" t="s">
        <v>313</v>
      </c>
      <c r="C16" s="6">
        <f>'Step1-AggregateWIOD'!C11</f>
        <v>1341879.7499000002</v>
      </c>
      <c r="D16" s="6">
        <v>0</v>
      </c>
      <c r="E16" s="6">
        <v>0</v>
      </c>
      <c r="F16" s="6">
        <v>0</v>
      </c>
      <c r="G16" s="6">
        <v>0</v>
      </c>
      <c r="H16" s="6">
        <v>0</v>
      </c>
      <c r="I16" s="6">
        <v>0</v>
      </c>
      <c r="J16" s="6">
        <v>0</v>
      </c>
      <c r="K16" s="6">
        <v>0</v>
      </c>
      <c r="M16" s="6">
        <f t="shared" si="0"/>
        <v>1341879.7499000002</v>
      </c>
      <c r="N16">
        <f>1000*FRED!B$19*'Step2a-NIPACalcs'!C$12*'Step2b-IVACalcs'!H23</f>
        <v>1388226.9697192027</v>
      </c>
      <c r="O16" s="5" t="s">
        <v>277</v>
      </c>
      <c r="P16" s="9" t="s">
        <v>320</v>
      </c>
    </row>
    <row r="17" spans="2:18">
      <c r="B17" s="12" t="s">
        <v>314</v>
      </c>
      <c r="C17" s="6">
        <v>0</v>
      </c>
      <c r="D17" s="6">
        <f>'Step1-AggregateWIOD'!D11</f>
        <v>5795044.3020000011</v>
      </c>
      <c r="E17" s="6">
        <v>0</v>
      </c>
      <c r="F17" s="6">
        <v>0</v>
      </c>
      <c r="G17" s="6">
        <v>0</v>
      </c>
      <c r="H17" s="6">
        <v>0</v>
      </c>
      <c r="I17" s="6">
        <v>0</v>
      </c>
      <c r="J17" s="6">
        <v>0</v>
      </c>
      <c r="K17" s="6">
        <v>0</v>
      </c>
      <c r="M17" s="6">
        <f t="shared" si="0"/>
        <v>5795044.3020000011</v>
      </c>
      <c r="N17">
        <f>1000*FRED!B$19*'Step2a-NIPACalcs'!C$12*'Step2b-IVACalcs'!H24</f>
        <v>5465524.7670465186</v>
      </c>
      <c r="O17" s="5" t="s">
        <v>277</v>
      </c>
      <c r="P17" s="9" t="s">
        <v>318</v>
      </c>
    </row>
    <row r="18" spans="2:18">
      <c r="B18" s="12" t="s">
        <v>315</v>
      </c>
      <c r="C18" s="6">
        <v>0</v>
      </c>
      <c r="D18" s="6">
        <v>0</v>
      </c>
      <c r="E18" s="6">
        <f>'Step1-AggregateWIOD'!E11</f>
        <v>312904.48044000001</v>
      </c>
      <c r="F18" s="6">
        <v>0</v>
      </c>
      <c r="G18" s="6">
        <v>0</v>
      </c>
      <c r="H18" s="6">
        <v>0</v>
      </c>
      <c r="I18" s="6">
        <v>0</v>
      </c>
      <c r="J18" s="6">
        <v>0</v>
      </c>
      <c r="K18" s="6">
        <v>0</v>
      </c>
      <c r="M18" s="6">
        <f t="shared" si="0"/>
        <v>312904.48044000001</v>
      </c>
      <c r="N18">
        <f>1000*FRED!B$19*'Step2a-NIPACalcs'!C$12*'Step2b-IVACalcs'!H25</f>
        <v>248324.77989761959</v>
      </c>
      <c r="O18" s="5" t="s">
        <v>277</v>
      </c>
      <c r="P18" s="9" t="s">
        <v>319</v>
      </c>
    </row>
    <row r="19" spans="2:18">
      <c r="B19" s="12" t="s">
        <v>262</v>
      </c>
      <c r="C19">
        <v>0</v>
      </c>
      <c r="D19">
        <v>0</v>
      </c>
      <c r="E19">
        <v>0</v>
      </c>
      <c r="F19" s="6">
        <f>'Step1-AggregateWIOD'!F11</f>
        <v>6355119.5140511477</v>
      </c>
      <c r="G19" s="6">
        <f>'Step1-AggregateWIOD'!G11</f>
        <v>15353610.853376705</v>
      </c>
      <c r="H19" s="6">
        <v>0</v>
      </c>
      <c r="I19" s="6">
        <v>0</v>
      </c>
      <c r="J19" s="6">
        <v>0</v>
      </c>
      <c r="K19" s="6">
        <v>0</v>
      </c>
      <c r="M19" s="6">
        <f t="shared" si="0"/>
        <v>21708730.367427852</v>
      </c>
      <c r="N19">
        <f>SUM(N16:N18)*SUM('Step1-AggregateWIOD'!F11:G11)/SUM('Step1-AggregateWIOD'!C11:E11)</f>
        <v>20695384.260160748</v>
      </c>
      <c r="O19" s="5" t="s">
        <v>277</v>
      </c>
      <c r="P19" s="9" t="s">
        <v>278</v>
      </c>
    </row>
    <row r="20" spans="2:18">
      <c r="B20" s="12"/>
    </row>
    <row r="21" spans="2:18">
      <c r="B21" s="18" t="s">
        <v>258</v>
      </c>
      <c r="C21" s="6">
        <f t="shared" ref="C21:K21" si="1">SUM(C7:C19)</f>
        <v>3872453.5661502643</v>
      </c>
      <c r="D21" s="6">
        <f t="shared" si="1"/>
        <v>8810011.8604959287</v>
      </c>
      <c r="E21" s="6">
        <f t="shared" si="1"/>
        <v>690094.7605118046</v>
      </c>
      <c r="F21" s="6">
        <f t="shared" si="1"/>
        <v>16488894.853709273</v>
      </c>
      <c r="G21" s="6">
        <f t="shared" si="1"/>
        <v>25218167.405084677</v>
      </c>
      <c r="H21" s="6">
        <f t="shared" si="1"/>
        <v>4916558.2582975468</v>
      </c>
      <c r="I21" s="6">
        <f t="shared" si="1"/>
        <v>1223745.6603723266</v>
      </c>
      <c r="J21" s="6">
        <f t="shared" si="1"/>
        <v>1380552.1836627007</v>
      </c>
      <c r="K21" s="6">
        <f t="shared" si="1"/>
        <v>21637664.638182852</v>
      </c>
      <c r="P21" s="24"/>
      <c r="Q21" s="2"/>
      <c r="R21" s="2"/>
    </row>
    <row r="22" spans="2:18">
      <c r="B22" s="18" t="s">
        <v>259</v>
      </c>
      <c r="C22" s="6">
        <f>('Step1-AggregateWIOD'!C12-'Step1-AggregateWIOD'!C8)*($N$16/$M$16)</f>
        <v>4006204.3412725478</v>
      </c>
      <c r="D22" s="6">
        <f>('Step1-AggregateWIOD'!D12-'Step1-AggregateWIOD'!D8)*($N$16/$M$16)</f>
        <v>9114301.0908376332</v>
      </c>
      <c r="E22" s="6">
        <f>('Step1-AggregateWIOD'!E12-'Step1-AggregateWIOD'!E8)*($N$16/$M$16)</f>
        <v>713929.96151539974</v>
      </c>
      <c r="F22" s="6">
        <f>('Step1-AggregateWIOD'!F12-'Step1-AggregateWIOD'!F8)*($N$19/$M$19)</f>
        <v>15719206.478095502</v>
      </c>
      <c r="G22" s="6">
        <f>('Step1-AggregateWIOD'!G12-'Step1-AggregateWIOD'!G8)*($N$19/$M$19)</f>
        <v>24041003.594035856</v>
      </c>
      <c r="H22">
        <f>FRED!B19*1000*'Step2a-NIPACalcs'!C5</f>
        <v>4578505.9519058075</v>
      </c>
      <c r="I22">
        <f>1000*'Step2a-NIPACalcs'!C6*FRED!B19</f>
        <v>1139603.457393734</v>
      </c>
      <c r="J22">
        <f>1000*FRED!B19*'Step2a-NIPACalcs'!C7</f>
        <v>1421762.0185591697</v>
      </c>
      <c r="K22">
        <f>N19-N14-N15+N12+N13</f>
        <v>20657589.34896538</v>
      </c>
      <c r="P22" s="2"/>
      <c r="Q22" s="2"/>
      <c r="R22" s="2"/>
    </row>
    <row r="23" spans="2:18">
      <c r="C23" s="5" t="s">
        <v>273</v>
      </c>
      <c r="D23" s="5" t="s">
        <v>273</v>
      </c>
      <c r="E23" s="5" t="s">
        <v>273</v>
      </c>
      <c r="F23" s="5" t="s">
        <v>273</v>
      </c>
      <c r="G23" s="5" t="s">
        <v>273</v>
      </c>
      <c r="H23" s="5" t="s">
        <v>273</v>
      </c>
      <c r="I23" s="5" t="s">
        <v>273</v>
      </c>
      <c r="J23" s="1" t="s">
        <v>273</v>
      </c>
      <c r="K23" s="5" t="s">
        <v>273</v>
      </c>
      <c r="P23" s="2"/>
      <c r="Q23" s="2"/>
      <c r="R23" s="2"/>
    </row>
    <row r="24" spans="2:18" ht="105">
      <c r="C24" s="23" t="s">
        <v>282</v>
      </c>
      <c r="D24" s="23" t="s">
        <v>283</v>
      </c>
      <c r="E24" s="23" t="s">
        <v>284</v>
      </c>
      <c r="F24" s="23" t="s">
        <v>285</v>
      </c>
      <c r="G24" s="23" t="s">
        <v>286</v>
      </c>
      <c r="H24" s="23" t="s">
        <v>275</v>
      </c>
      <c r="I24" s="23" t="s">
        <v>274</v>
      </c>
      <c r="J24" s="23" t="s">
        <v>276</v>
      </c>
      <c r="K24" s="23" t="s">
        <v>281</v>
      </c>
      <c r="P24" s="24"/>
      <c r="Q24" s="2"/>
      <c r="R24" s="2"/>
    </row>
    <row r="25" spans="2:18">
      <c r="P25" s="24"/>
      <c r="Q25" s="2"/>
      <c r="R25" s="2"/>
    </row>
    <row r="26" spans="2:18">
      <c r="B26" s="3" t="s">
        <v>280</v>
      </c>
      <c r="P26" s="25"/>
    </row>
    <row r="28" spans="2:18">
      <c r="C28" s="200" t="s">
        <v>83</v>
      </c>
      <c r="D28" s="200"/>
      <c r="E28" s="200"/>
      <c r="F28" s="200"/>
      <c r="G28" s="200"/>
      <c r="H28" s="199" t="s">
        <v>84</v>
      </c>
      <c r="I28" s="199"/>
      <c r="J28" s="199"/>
      <c r="K28" s="199"/>
      <c r="L28" s="13"/>
    </row>
    <row r="29" spans="2:18">
      <c r="C29" s="14" t="s">
        <v>85</v>
      </c>
      <c r="D29" s="14" t="s">
        <v>86</v>
      </c>
      <c r="E29" s="14" t="s">
        <v>87</v>
      </c>
      <c r="F29" s="14" t="s">
        <v>88</v>
      </c>
      <c r="G29" s="14" t="s">
        <v>89</v>
      </c>
      <c r="H29" s="14" t="s">
        <v>94</v>
      </c>
      <c r="I29" s="14" t="s">
        <v>93</v>
      </c>
      <c r="J29" s="14" t="s">
        <v>95</v>
      </c>
      <c r="K29" s="14" t="s">
        <v>92</v>
      </c>
      <c r="L29" s="14"/>
      <c r="M29" s="20" t="s">
        <v>308</v>
      </c>
      <c r="N29" s="19" t="s">
        <v>257</v>
      </c>
      <c r="O29" s="19" t="s">
        <v>310</v>
      </c>
    </row>
    <row r="30" spans="2:18">
      <c r="B30" s="12" t="s">
        <v>247</v>
      </c>
      <c r="C30" s="6">
        <v>1528050.1662371363</v>
      </c>
      <c r="D30" s="6">
        <v>707087.97695964645</v>
      </c>
      <c r="E30" s="6">
        <v>223313.46351486183</v>
      </c>
      <c r="F30" s="6">
        <v>0</v>
      </c>
      <c r="G30" s="6">
        <v>0</v>
      </c>
      <c r="H30">
        <v>544294.54277821095</v>
      </c>
      <c r="I30">
        <v>135476.49589325054</v>
      </c>
      <c r="J30" s="6">
        <v>373498.27441514994</v>
      </c>
      <c r="K30">
        <v>0</v>
      </c>
      <c r="M30" s="6">
        <f>SUM(C30:K30)</f>
        <v>3511720.9197982559</v>
      </c>
      <c r="N30" s="6">
        <f t="shared" ref="N30:N39" si="2">N7</f>
        <v>3511720.9197997879</v>
      </c>
      <c r="O30" s="51">
        <f>N30-M30</f>
        <v>1.5320256352424622E-6</v>
      </c>
    </row>
    <row r="31" spans="2:18">
      <c r="B31" s="12" t="s">
        <v>248</v>
      </c>
      <c r="C31" s="6">
        <v>833618.15811894229</v>
      </c>
      <c r="D31" s="6">
        <v>2786380.6858855574</v>
      </c>
      <c r="E31" s="6">
        <v>212004.17290411532</v>
      </c>
      <c r="F31" s="6">
        <v>0</v>
      </c>
      <c r="G31" s="6">
        <v>0</v>
      </c>
      <c r="H31">
        <v>3904026.7428308348</v>
      </c>
      <c r="I31">
        <v>971723.61915041273</v>
      </c>
      <c r="J31" s="6">
        <v>213554.73150550164</v>
      </c>
      <c r="K31">
        <v>0</v>
      </c>
      <c r="M31" s="6">
        <f t="shared" ref="M31:M42" si="3">SUM(C31:K31)</f>
        <v>8921308.1103953645</v>
      </c>
      <c r="N31" s="6">
        <f t="shared" si="2"/>
        <v>8921308.1103946082</v>
      </c>
      <c r="O31" s="51">
        <f t="shared" ref="O31:O42" si="4">N31-M31</f>
        <v>-7.5623393058776855E-7</v>
      </c>
    </row>
    <row r="32" spans="2:18">
      <c r="B32" s="12" t="s">
        <v>249</v>
      </c>
      <c r="C32" s="6">
        <v>0</v>
      </c>
      <c r="D32" s="6">
        <v>0</v>
      </c>
      <c r="E32" s="6">
        <v>0</v>
      </c>
      <c r="F32" s="6">
        <v>0</v>
      </c>
      <c r="G32" s="6">
        <v>0</v>
      </c>
      <c r="H32">
        <v>0</v>
      </c>
      <c r="I32" s="6">
        <v>0</v>
      </c>
      <c r="J32" s="6">
        <v>713929.96151403594</v>
      </c>
      <c r="K32" s="6">
        <v>0</v>
      </c>
      <c r="M32" s="6">
        <f t="shared" si="3"/>
        <v>713929.96151403594</v>
      </c>
      <c r="N32" s="6">
        <f t="shared" si="2"/>
        <v>713929.96151539974</v>
      </c>
      <c r="O32" s="51">
        <f t="shared" si="4"/>
        <v>1.3638054952025414E-6</v>
      </c>
    </row>
    <row r="33" spans="1:15">
      <c r="B33" s="12" t="s">
        <v>250</v>
      </c>
      <c r="C33" s="6">
        <v>0</v>
      </c>
      <c r="D33" s="6">
        <v>0</v>
      </c>
      <c r="E33" s="6">
        <v>0</v>
      </c>
      <c r="F33" s="6">
        <v>6360420.3052283889</v>
      </c>
      <c r="G33" s="6">
        <v>2921436.9432727732</v>
      </c>
      <c r="H33" s="6">
        <v>0</v>
      </c>
      <c r="I33" s="6">
        <v>0</v>
      </c>
      <c r="J33" s="6">
        <v>0</v>
      </c>
      <c r="K33" s="6">
        <v>5845554.7724001678</v>
      </c>
      <c r="M33" s="6">
        <f t="shared" si="3"/>
        <v>15127412.02090133</v>
      </c>
      <c r="N33" s="6">
        <f t="shared" si="2"/>
        <v>15127412.02090133</v>
      </c>
      <c r="O33" s="51">
        <f t="shared" si="4"/>
        <v>0</v>
      </c>
    </row>
    <row r="34" spans="1:15">
      <c r="B34" s="12" t="s">
        <v>251</v>
      </c>
      <c r="C34" s="6">
        <v>0</v>
      </c>
      <c r="D34" s="6">
        <v>0</v>
      </c>
      <c r="E34" s="6">
        <v>0</v>
      </c>
      <c r="F34" s="6">
        <v>3025002.3963268758</v>
      </c>
      <c r="G34" s="6">
        <v>6297065.1387755843</v>
      </c>
      <c r="H34" s="6">
        <v>0</v>
      </c>
      <c r="I34" s="6">
        <v>0</v>
      </c>
      <c r="J34" s="6">
        <v>0</v>
      </c>
      <c r="K34" s="6">
        <v>14585459.203016413</v>
      </c>
      <c r="M34" s="6">
        <f t="shared" si="3"/>
        <v>23907526.738118872</v>
      </c>
      <c r="N34" s="6">
        <f t="shared" si="2"/>
        <v>23907526.738118872</v>
      </c>
      <c r="O34" s="51">
        <f t="shared" si="4"/>
        <v>0</v>
      </c>
    </row>
    <row r="35" spans="1:15">
      <c r="B35" s="12" t="s">
        <v>252</v>
      </c>
      <c r="C35" s="6">
        <v>0</v>
      </c>
      <c r="D35" s="6">
        <v>0</v>
      </c>
      <c r="E35" s="6">
        <v>0</v>
      </c>
      <c r="F35" s="6">
        <v>220422.6082275215</v>
      </c>
      <c r="G35" s="6">
        <v>80628.449929211216</v>
      </c>
      <c r="H35" s="6">
        <v>0</v>
      </c>
      <c r="I35" s="6">
        <v>0</v>
      </c>
      <c r="J35" s="6">
        <v>0</v>
      </c>
      <c r="K35" s="6">
        <v>193432.36331602727</v>
      </c>
      <c r="M35" s="6">
        <f t="shared" si="3"/>
        <v>494483.42147275998</v>
      </c>
      <c r="N35">
        <f t="shared" si="2"/>
        <v>494483.42147275998</v>
      </c>
      <c r="O35" s="51">
        <f t="shared" si="4"/>
        <v>0</v>
      </c>
    </row>
    <row r="36" spans="1:15">
      <c r="B36" s="12" t="s">
        <v>253</v>
      </c>
      <c r="C36" s="6">
        <v>0</v>
      </c>
      <c r="D36" s="6">
        <v>0</v>
      </c>
      <c r="E36" s="6">
        <v>0</v>
      </c>
      <c r="F36" s="6">
        <v>64103.168283822255</v>
      </c>
      <c r="G36" s="6">
        <v>95746.801926432192</v>
      </c>
      <c r="H36" s="6">
        <v>0</v>
      </c>
      <c r="I36" s="6">
        <v>0</v>
      </c>
      <c r="J36" s="6">
        <v>0</v>
      </c>
      <c r="K36" s="6">
        <v>33143.010232770896</v>
      </c>
      <c r="M36" s="6">
        <f t="shared" si="3"/>
        <v>192992.98044302536</v>
      </c>
      <c r="N36">
        <f t="shared" si="2"/>
        <v>192992.98044302536</v>
      </c>
      <c r="O36" s="51">
        <f t="shared" si="4"/>
        <v>0</v>
      </c>
    </row>
    <row r="37" spans="1:15">
      <c r="B37" s="12" t="s">
        <v>254</v>
      </c>
      <c r="C37" s="6">
        <v>224861.65408569257</v>
      </c>
      <c r="D37" s="6">
        <v>78771.20606018987</v>
      </c>
      <c r="E37" s="6">
        <v>23452.442017595571</v>
      </c>
      <c r="F37" s="6">
        <v>0</v>
      </c>
      <c r="G37" s="6">
        <v>0</v>
      </c>
      <c r="H37">
        <v>116459.43232713736</v>
      </c>
      <c r="I37">
        <v>28987.091667069551</v>
      </c>
      <c r="J37" s="6">
        <v>119262.63103612811</v>
      </c>
      <c r="K37">
        <v>0</v>
      </c>
      <c r="M37" s="6">
        <f t="shared" si="3"/>
        <v>591794.45719381305</v>
      </c>
      <c r="N37">
        <f t="shared" si="2"/>
        <v>591794.45719417278</v>
      </c>
      <c r="O37" s="51">
        <f t="shared" si="4"/>
        <v>3.5972334444522858E-7</v>
      </c>
    </row>
    <row r="38" spans="1:15">
      <c r="B38" s="12" t="s">
        <v>255</v>
      </c>
      <c r="C38" s="6">
        <v>31447.393112644178</v>
      </c>
      <c r="D38" s="6">
        <v>76536.454882034654</v>
      </c>
      <c r="E38" s="6">
        <v>6835.1031813449517</v>
      </c>
      <c r="F38" s="6">
        <v>0</v>
      </c>
      <c r="G38" s="6">
        <v>0</v>
      </c>
      <c r="H38">
        <v>13725.233969624678</v>
      </c>
      <c r="I38">
        <v>3416.2506830009643</v>
      </c>
      <c r="J38" s="6">
        <v>1516.4200883540725</v>
      </c>
      <c r="K38">
        <v>0</v>
      </c>
      <c r="M38" s="6">
        <f t="shared" si="3"/>
        <v>133476.85591700347</v>
      </c>
      <c r="N38">
        <f t="shared" si="2"/>
        <v>133476.85591698266</v>
      </c>
      <c r="O38" s="51">
        <f t="shared" si="4"/>
        <v>-2.0809238776564598E-8</v>
      </c>
    </row>
    <row r="39" spans="1:15">
      <c r="B39" s="12" t="s">
        <v>317</v>
      </c>
      <c r="C39" s="6">
        <v>1388226.9697181319</v>
      </c>
      <c r="D39" s="6">
        <v>0</v>
      </c>
      <c r="E39" s="6">
        <v>0</v>
      </c>
      <c r="F39" s="6">
        <v>0</v>
      </c>
      <c r="G39" s="6">
        <v>0</v>
      </c>
      <c r="H39" s="6">
        <v>0</v>
      </c>
      <c r="I39" s="6">
        <v>0</v>
      </c>
      <c r="J39" s="6">
        <v>0</v>
      </c>
      <c r="K39" s="6">
        <v>0</v>
      </c>
      <c r="M39" s="6">
        <f t="shared" si="3"/>
        <v>1388226.9697181319</v>
      </c>
      <c r="N39">
        <f t="shared" si="2"/>
        <v>1388226.9697192027</v>
      </c>
      <c r="O39" s="51">
        <f t="shared" si="4"/>
        <v>1.0707881301641464E-6</v>
      </c>
    </row>
    <row r="40" spans="1:15">
      <c r="B40" s="12" t="s">
        <v>316</v>
      </c>
      <c r="C40" s="6">
        <v>0</v>
      </c>
      <c r="D40" s="6">
        <v>5465524.7670502057</v>
      </c>
      <c r="E40" s="6">
        <v>0</v>
      </c>
      <c r="F40" s="6">
        <v>0</v>
      </c>
      <c r="G40" s="6">
        <v>0</v>
      </c>
      <c r="H40" s="6">
        <v>0</v>
      </c>
      <c r="I40" s="6">
        <v>0</v>
      </c>
      <c r="J40" s="6">
        <v>0</v>
      </c>
      <c r="K40" s="6">
        <v>0</v>
      </c>
      <c r="M40" s="6">
        <f t="shared" si="3"/>
        <v>5465524.7670502057</v>
      </c>
      <c r="N40">
        <f t="shared" ref="N40:N41" si="5">N17</f>
        <v>5465524.7670465186</v>
      </c>
      <c r="O40" s="51">
        <f t="shared" si="4"/>
        <v>-3.6871060729026794E-6</v>
      </c>
    </row>
    <row r="41" spans="1:15">
      <c r="B41" s="12" t="s">
        <v>315</v>
      </c>
      <c r="C41" s="6">
        <v>0</v>
      </c>
      <c r="D41" s="6">
        <v>0</v>
      </c>
      <c r="E41" s="6">
        <v>248324.77989748205</v>
      </c>
      <c r="F41" s="6">
        <v>0</v>
      </c>
      <c r="G41" s="6">
        <v>0</v>
      </c>
      <c r="H41" s="6">
        <v>0</v>
      </c>
      <c r="I41" s="6">
        <v>0</v>
      </c>
      <c r="J41" s="6">
        <v>0</v>
      </c>
      <c r="K41" s="6">
        <v>0</v>
      </c>
      <c r="M41" s="6">
        <f t="shared" si="3"/>
        <v>248324.77989748205</v>
      </c>
      <c r="N41">
        <f t="shared" si="5"/>
        <v>248324.77989761959</v>
      </c>
      <c r="O41" s="51">
        <f t="shared" si="4"/>
        <v>1.3754470273852348E-7</v>
      </c>
    </row>
    <row r="42" spans="1:15">
      <c r="B42" s="12" t="s">
        <v>262</v>
      </c>
      <c r="C42">
        <v>0</v>
      </c>
      <c r="D42">
        <v>0</v>
      </c>
      <c r="E42">
        <v>0</v>
      </c>
      <c r="F42" s="6">
        <v>6049258.0000288924</v>
      </c>
      <c r="G42" s="6">
        <v>14646126.260131856</v>
      </c>
      <c r="H42">
        <v>0</v>
      </c>
      <c r="I42" s="6">
        <v>0</v>
      </c>
      <c r="J42" s="6">
        <v>0</v>
      </c>
      <c r="K42" s="6">
        <v>0</v>
      </c>
      <c r="M42" s="6">
        <f t="shared" si="3"/>
        <v>20695384.260160748</v>
      </c>
      <c r="N42">
        <f>N19</f>
        <v>20695384.260160748</v>
      </c>
      <c r="O42" s="51">
        <f t="shared" si="4"/>
        <v>0</v>
      </c>
    </row>
    <row r="43" spans="1:15">
      <c r="B43" s="12"/>
    </row>
    <row r="44" spans="1:15">
      <c r="B44" s="18" t="s">
        <v>309</v>
      </c>
      <c r="C44" s="6">
        <f t="shared" ref="C44:K44" si="6">SUM(C30:C42)</f>
        <v>4006204.3412725469</v>
      </c>
      <c r="D44" s="6">
        <f t="shared" si="6"/>
        <v>9114301.0908376332</v>
      </c>
      <c r="E44" s="6">
        <f t="shared" si="6"/>
        <v>713929.96151539974</v>
      </c>
      <c r="F44" s="6">
        <f t="shared" si="6"/>
        <v>15719206.478095502</v>
      </c>
      <c r="G44" s="6">
        <f t="shared" si="6"/>
        <v>24041003.594035856</v>
      </c>
      <c r="H44" s="6">
        <f t="shared" si="6"/>
        <v>4578505.9519058084</v>
      </c>
      <c r="I44" s="6">
        <f t="shared" si="6"/>
        <v>1139603.4573937338</v>
      </c>
      <c r="J44" s="6">
        <f t="shared" si="6"/>
        <v>1421762.0185591697</v>
      </c>
      <c r="K44" s="6">
        <f t="shared" si="6"/>
        <v>20657589.34896538</v>
      </c>
    </row>
    <row r="45" spans="1:15">
      <c r="B45" s="18" t="s">
        <v>259</v>
      </c>
      <c r="C45" s="6">
        <f>C22</f>
        <v>4006204.3412725478</v>
      </c>
      <c r="D45" s="6">
        <f t="shared" ref="D45:K45" si="7">D22</f>
        <v>9114301.0908376332</v>
      </c>
      <c r="E45" s="6">
        <f t="shared" si="7"/>
        <v>713929.96151539974</v>
      </c>
      <c r="F45" s="6">
        <f t="shared" si="7"/>
        <v>15719206.478095502</v>
      </c>
      <c r="G45" s="6">
        <f t="shared" si="7"/>
        <v>24041003.594035856</v>
      </c>
      <c r="H45" s="6">
        <f t="shared" si="7"/>
        <v>4578505.9519058075</v>
      </c>
      <c r="I45" s="6">
        <f t="shared" si="7"/>
        <v>1139603.457393734</v>
      </c>
      <c r="J45" s="6">
        <f t="shared" si="7"/>
        <v>1421762.0185591697</v>
      </c>
      <c r="K45" s="6">
        <f t="shared" si="7"/>
        <v>20657589.34896538</v>
      </c>
    </row>
    <row r="46" spans="1:15">
      <c r="B46" s="18" t="s">
        <v>310</v>
      </c>
      <c r="C46" s="51">
        <f>C45-C44</f>
        <v>0</v>
      </c>
      <c r="D46" s="51">
        <f t="shared" ref="D46:K46" si="8">D45-D44</f>
        <v>0</v>
      </c>
      <c r="E46" s="51">
        <f t="shared" si="8"/>
        <v>0</v>
      </c>
      <c r="F46" s="51">
        <f t="shared" si="8"/>
        <v>0</v>
      </c>
      <c r="G46" s="51">
        <f t="shared" si="8"/>
        <v>0</v>
      </c>
      <c r="H46" s="51">
        <f t="shared" si="8"/>
        <v>0</v>
      </c>
      <c r="I46" s="51">
        <f t="shared" si="8"/>
        <v>0</v>
      </c>
      <c r="J46" s="51">
        <f t="shared" si="8"/>
        <v>0</v>
      </c>
      <c r="K46" s="51">
        <f t="shared" si="8"/>
        <v>0</v>
      </c>
    </row>
    <row r="48" spans="1:15">
      <c r="A48" s="3" t="s">
        <v>96</v>
      </c>
      <c r="B48" s="26" t="s">
        <v>296</v>
      </c>
    </row>
    <row r="49" spans="2:2">
      <c r="B49" s="8" t="s">
        <v>297</v>
      </c>
    </row>
    <row r="50" spans="2:2">
      <c r="B50" s="8" t="s">
        <v>298</v>
      </c>
    </row>
  </sheetData>
  <mergeCells count="4">
    <mergeCell ref="C5:G5"/>
    <mergeCell ref="H5:K5"/>
    <mergeCell ref="C28:G28"/>
    <mergeCell ref="H28:K2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R50"/>
  <sheetViews>
    <sheetView zoomScale="75" zoomScaleNormal="75" workbookViewId="0">
      <pane xSplit="2" topLeftCell="C1" activePane="topRight" state="frozen"/>
      <selection activeCell="H113" sqref="H113"/>
      <selection pane="topRight" activeCell="A45" sqref="A45"/>
    </sheetView>
  </sheetViews>
  <sheetFormatPr defaultRowHeight="15"/>
  <cols>
    <col min="2" max="2" width="28.75" bestFit="1" customWidth="1"/>
    <col min="3" max="11" width="20.125" customWidth="1"/>
    <col min="12" max="12" width="3.375" customWidth="1"/>
    <col min="13" max="14" width="18.875" customWidth="1"/>
    <col min="15" max="15" width="10.625" bestFit="1" customWidth="1"/>
  </cols>
  <sheetData>
    <row r="1" spans="1:16" ht="18.75">
      <c r="A1" s="10" t="s">
        <v>246</v>
      </c>
    </row>
    <row r="3" spans="1:16">
      <c r="B3" s="3" t="s">
        <v>279</v>
      </c>
    </row>
    <row r="5" spans="1:16">
      <c r="C5" s="200" t="s">
        <v>83</v>
      </c>
      <c r="D5" s="200"/>
      <c r="E5" s="200"/>
      <c r="F5" s="200"/>
      <c r="G5" s="200"/>
      <c r="H5" s="199" t="s">
        <v>84</v>
      </c>
      <c r="I5" s="199"/>
      <c r="J5" s="199"/>
      <c r="K5" s="199"/>
      <c r="L5" s="13"/>
    </row>
    <row r="6" spans="1:16">
      <c r="C6" s="120" t="s">
        <v>85</v>
      </c>
      <c r="D6" s="120" t="s">
        <v>86</v>
      </c>
      <c r="E6" s="120" t="s">
        <v>87</v>
      </c>
      <c r="F6" s="120" t="s">
        <v>88</v>
      </c>
      <c r="G6" s="120" t="s">
        <v>89</v>
      </c>
      <c r="H6" s="120" t="s">
        <v>94</v>
      </c>
      <c r="I6" s="120" t="s">
        <v>93</v>
      </c>
      <c r="J6" s="120" t="s">
        <v>95</v>
      </c>
      <c r="K6" s="120" t="s">
        <v>92</v>
      </c>
      <c r="L6" s="120"/>
      <c r="M6" s="20" t="s">
        <v>256</v>
      </c>
      <c r="N6" s="19" t="s">
        <v>257</v>
      </c>
    </row>
    <row r="7" spans="1:16">
      <c r="B7" s="12" t="s">
        <v>247</v>
      </c>
      <c r="C7" s="6">
        <f>'Step1-AggregateWIOD'!C6</f>
        <v>1457664.4256283147</v>
      </c>
      <c r="D7" s="6">
        <f>'Step1-AggregateWIOD'!D6</f>
        <v>591824.30158035248</v>
      </c>
      <c r="E7" s="6">
        <f>'Step1-AggregateWIOD'!E6</f>
        <v>180657.11863607931</v>
      </c>
      <c r="F7" s="6">
        <v>0</v>
      </c>
      <c r="G7" s="6">
        <v>0</v>
      </c>
      <c r="H7">
        <f>'Step1-AggregateWIOD'!H6*'Step2a-NIPACalcs'!C$15</f>
        <v>591205.40764462412</v>
      </c>
      <c r="I7">
        <f>(1-'Step2a-NIPACalcs'!C$15)*'Step1-AggregateWIOD'!H6</f>
        <v>147152.74669485592</v>
      </c>
      <c r="J7" s="6">
        <f>'Step1-AggregateWIOD'!I6</f>
        <v>403903.5442850886</v>
      </c>
      <c r="K7" s="6">
        <v>0</v>
      </c>
      <c r="M7" s="6">
        <f>SUM(C7:K7)</f>
        <v>3372407.5444693151</v>
      </c>
      <c r="N7" s="6">
        <f>C22-N12</f>
        <v>3662466.1403146554</v>
      </c>
      <c r="O7" s="5" t="s">
        <v>277</v>
      </c>
      <c r="P7" s="9" t="s">
        <v>291</v>
      </c>
    </row>
    <row r="8" spans="1:16">
      <c r="B8" s="12" t="s">
        <v>248</v>
      </c>
      <c r="C8" s="6">
        <f>'Step1-AggregateWIOD'!C7</f>
        <v>779095.45130959386</v>
      </c>
      <c r="D8" s="6">
        <f>'Step1-AggregateWIOD'!D7</f>
        <v>2284879.7721782909</v>
      </c>
      <c r="E8" s="6">
        <f>'Step1-AggregateWIOD'!E7</f>
        <v>168030.50841478771</v>
      </c>
      <c r="F8" s="6">
        <v>0</v>
      </c>
      <c r="G8" s="6">
        <v>0</v>
      </c>
      <c r="H8">
        <f>'Step1-AggregateWIOD'!H7*'Step2a-NIPACalcs'!C$15</f>
        <v>4154519.1203062152</v>
      </c>
      <c r="I8">
        <f>(1-'Step2a-NIPACalcs'!C$15)*'Step1-AggregateWIOD'!H7</f>
        <v>1034071.9009742894</v>
      </c>
      <c r="J8" s="6">
        <f>'Step1-AggregateWIOD'!I7</f>
        <v>226256.89498675888</v>
      </c>
      <c r="K8">
        <v>0</v>
      </c>
      <c r="M8" s="6">
        <f t="shared" ref="M8:M19" si="0">SUM(C8:K8)</f>
        <v>8646853.6481699347</v>
      </c>
      <c r="N8" s="6">
        <f>D22-N13</f>
        <v>8770562.8898797408</v>
      </c>
      <c r="O8" s="5" t="s">
        <v>277</v>
      </c>
      <c r="P8" s="9" t="s">
        <v>287</v>
      </c>
    </row>
    <row r="9" spans="1:16">
      <c r="B9" s="12" t="s">
        <v>249</v>
      </c>
      <c r="C9" s="6">
        <v>0</v>
      </c>
      <c r="D9" s="6">
        <v>0</v>
      </c>
      <c r="E9" s="6">
        <v>0</v>
      </c>
      <c r="F9" s="6">
        <v>0</v>
      </c>
      <c r="G9" s="6">
        <v>0</v>
      </c>
      <c r="H9">
        <v>0</v>
      </c>
      <c r="I9" s="6">
        <v>0</v>
      </c>
      <c r="J9" s="6">
        <f>'Step1-AggregateWIOD'!I8</f>
        <v>588073.75</v>
      </c>
      <c r="K9" s="6">
        <v>0</v>
      </c>
      <c r="M9" s="6">
        <f t="shared" si="0"/>
        <v>588073.75</v>
      </c>
      <c r="N9" s="6">
        <f>E22</f>
        <v>713929.96151539974</v>
      </c>
      <c r="O9" s="5" t="s">
        <v>277</v>
      </c>
      <c r="P9" s="9" t="s">
        <v>288</v>
      </c>
    </row>
    <row r="10" spans="1:16">
      <c r="B10" s="12" t="s">
        <v>250</v>
      </c>
      <c r="C10" s="6">
        <v>0</v>
      </c>
      <c r="D10" s="6">
        <v>0</v>
      </c>
      <c r="E10" s="6">
        <v>0</v>
      </c>
      <c r="F10" s="6">
        <f>'Step1-AggregateWIOD'!F9</f>
        <v>6635482.6183962869</v>
      </c>
      <c r="G10" s="6">
        <f>'Step1-AggregateWIOD'!G9</f>
        <v>3041230.643553535</v>
      </c>
      <c r="H10" s="6">
        <v>0</v>
      </c>
      <c r="I10" s="6">
        <v>0</v>
      </c>
      <c r="J10" s="6">
        <v>0</v>
      </c>
      <c r="K10" s="6">
        <f>'Step1-AggregateWIOD'!J9</f>
        <v>6080735.9890204975</v>
      </c>
      <c r="M10" s="6">
        <f t="shared" si="0"/>
        <v>15757449.250970319</v>
      </c>
      <c r="N10" s="6">
        <f>F22-N14</f>
        <v>15356570.821539924</v>
      </c>
      <c r="O10" s="5" t="s">
        <v>277</v>
      </c>
      <c r="P10" s="9" t="s">
        <v>289</v>
      </c>
    </row>
    <row r="11" spans="1:16">
      <c r="B11" s="12" t="s">
        <v>251</v>
      </c>
      <c r="C11" s="6">
        <v>0</v>
      </c>
      <c r="D11" s="6">
        <v>0</v>
      </c>
      <c r="E11" s="6">
        <v>0</v>
      </c>
      <c r="F11" s="6">
        <f>'Step1-AggregateWIOD'!F10</f>
        <v>3184994.4959528297</v>
      </c>
      <c r="G11" s="6">
        <f>'Step1-AggregateWIOD'!G10</f>
        <v>6615874.9736709194</v>
      </c>
      <c r="H11" s="6">
        <v>0</v>
      </c>
      <c r="I11" s="6">
        <v>0</v>
      </c>
      <c r="J11" s="6">
        <v>0</v>
      </c>
      <c r="K11" s="6">
        <f>'Step1-AggregateWIOD'!J10</f>
        <v>15312524.024034129</v>
      </c>
      <c r="M11" s="6">
        <f t="shared" si="0"/>
        <v>25113393.49365788</v>
      </c>
      <c r="N11" s="6">
        <f>G22-N15</f>
        <v>23678367.937480278</v>
      </c>
      <c r="O11" s="5" t="s">
        <v>277</v>
      </c>
      <c r="P11" s="9" t="s">
        <v>290</v>
      </c>
    </row>
    <row r="12" spans="1:16">
      <c r="B12" s="12" t="s">
        <v>252</v>
      </c>
      <c r="C12" s="6">
        <v>0</v>
      </c>
      <c r="D12" s="6">
        <v>0</v>
      </c>
      <c r="E12" s="6">
        <v>0</v>
      </c>
      <c r="F12" s="6">
        <f>'Step1-AggregateWIOD'!F6</f>
        <v>230577.65280182436</v>
      </c>
      <c r="G12" s="6">
        <f>'Step1-AggregateWIOD'!G6</f>
        <v>84161.899337216688</v>
      </c>
      <c r="H12" s="6">
        <v>0</v>
      </c>
      <c r="I12" s="6">
        <v>0</v>
      </c>
      <c r="J12" s="6">
        <v>0</v>
      </c>
      <c r="K12" s="6">
        <f>'Step1-AggregateWIOD'!J6</f>
        <v>201759.46980164474</v>
      </c>
      <c r="M12" s="6">
        <f t="shared" si="0"/>
        <v>516499.02194068575</v>
      </c>
      <c r="N12">
        <f>1000*FRED!B19*('Step2a-NIPACalcs'!C8+'Step2a-NIPACalcs'!C9)/2</f>
        <v>343738.20095789264</v>
      </c>
      <c r="O12" s="5" t="s">
        <v>277</v>
      </c>
      <c r="P12" s="9" t="s">
        <v>292</v>
      </c>
    </row>
    <row r="13" spans="1:16">
      <c r="B13" s="12" t="s">
        <v>253</v>
      </c>
      <c r="C13" s="6">
        <v>0</v>
      </c>
      <c r="D13" s="6">
        <v>0</v>
      </c>
      <c r="E13" s="6">
        <v>0</v>
      </c>
      <c r="F13" s="6">
        <f>'Step1-AggregateWIOD'!F7</f>
        <v>82720.572507183431</v>
      </c>
      <c r="G13" s="6">
        <f>'Step1-AggregateWIOD'!G7</f>
        <v>123289.03514630221</v>
      </c>
      <c r="H13" s="6">
        <v>0</v>
      </c>
      <c r="I13" s="6">
        <v>0</v>
      </c>
      <c r="J13" s="6">
        <v>0</v>
      </c>
      <c r="K13" s="6">
        <f>'Step1-AggregateWIOD'!J7</f>
        <v>42645.155326576991</v>
      </c>
      <c r="M13" s="6">
        <f t="shared" si="0"/>
        <v>248654.76298006263</v>
      </c>
      <c r="N13">
        <f>N12</f>
        <v>343738.20095789264</v>
      </c>
      <c r="O13" s="5" t="s">
        <v>277</v>
      </c>
      <c r="P13" s="9" t="s">
        <v>293</v>
      </c>
    </row>
    <row r="14" spans="1:16">
      <c r="B14" s="12" t="s">
        <v>254</v>
      </c>
      <c r="C14" s="6">
        <f>'Step1-AggregateWIOD'!C9</f>
        <v>267580.62368602346</v>
      </c>
      <c r="D14" s="6">
        <f>'Step1-AggregateWIOD'!D9</f>
        <v>82244.365542032916</v>
      </c>
      <c r="E14" s="6">
        <f>'Step1-AggregateWIOD'!E9</f>
        <v>23667.237065463043</v>
      </c>
      <c r="F14" s="6">
        <v>0</v>
      </c>
      <c r="G14" s="6">
        <v>0</v>
      </c>
      <c r="H14">
        <f>'Step2a-NIPACalcs'!C$15*'Step1-AggregateWIOD'!H9</f>
        <v>157796.87740464488</v>
      </c>
      <c r="I14">
        <f>(1-'Step2a-NIPACalcs'!C$15)*'Step1-AggregateWIOD'!H9</f>
        <v>39276.102061506717</v>
      </c>
      <c r="J14" s="6">
        <f>'Step1-AggregateWIOD'!I9</f>
        <v>160883.9678614859</v>
      </c>
      <c r="K14">
        <v>0</v>
      </c>
      <c r="M14" s="6">
        <f t="shared" si="0"/>
        <v>731449.17362115695</v>
      </c>
      <c r="N14">
        <f>1000*FRED!B19*('Step2a-NIPACalcs'!C10+'Step2a-NIPACalcs'!C11)/2</f>
        <v>362635.65655557771</v>
      </c>
      <c r="O14" s="5" t="s">
        <v>277</v>
      </c>
      <c r="P14" s="9" t="s">
        <v>294</v>
      </c>
    </row>
    <row r="15" spans="1:16">
      <c r="B15" s="12" t="s">
        <v>255</v>
      </c>
      <c r="C15" s="6">
        <f>'Step1-AggregateWIOD'!C10</f>
        <v>26233.315626331863</v>
      </c>
      <c r="D15" s="6">
        <f>'Step1-AggregateWIOD'!D10</f>
        <v>56019.119195252657</v>
      </c>
      <c r="E15" s="6">
        <f>'Step1-AggregateWIOD'!E10</f>
        <v>4835.4159554745165</v>
      </c>
      <c r="F15" s="6">
        <v>0</v>
      </c>
      <c r="G15" s="6">
        <v>0</v>
      </c>
      <c r="H15">
        <f>'Step2a-NIPACalcs'!C$15*'Step1-AggregateWIOD'!H10</f>
        <v>13036.85294206298</v>
      </c>
      <c r="I15">
        <f>(1-'Step2a-NIPACalcs'!C$15)*'Step1-AggregateWIOD'!H10</f>
        <v>3244.9106416743803</v>
      </c>
      <c r="J15" s="6">
        <f>'Step1-AggregateWIOD'!I10</f>
        <v>1434.0265293672894</v>
      </c>
      <c r="K15">
        <v>0</v>
      </c>
      <c r="M15" s="6">
        <f t="shared" si="0"/>
        <v>104803.64089016368</v>
      </c>
      <c r="N15">
        <f>N14</f>
        <v>362635.65655557771</v>
      </c>
      <c r="O15" s="5" t="s">
        <v>277</v>
      </c>
      <c r="P15" s="9" t="s">
        <v>295</v>
      </c>
    </row>
    <row r="16" spans="1:16">
      <c r="B16" s="12" t="s">
        <v>313</v>
      </c>
      <c r="C16" s="6">
        <f>'Step1-AggregateWIOD'!C11</f>
        <v>1341879.7499000002</v>
      </c>
      <c r="D16" s="6">
        <v>0</v>
      </c>
      <c r="E16" s="6">
        <v>0</v>
      </c>
      <c r="F16" s="6">
        <v>0</v>
      </c>
      <c r="G16" s="6">
        <v>0</v>
      </c>
      <c r="H16" s="6">
        <v>0</v>
      </c>
      <c r="I16" s="6">
        <v>0</v>
      </c>
      <c r="J16" s="6">
        <v>0</v>
      </c>
      <c r="K16" s="6">
        <v>0</v>
      </c>
      <c r="M16" s="6">
        <f t="shared" si="0"/>
        <v>1341879.7499000002</v>
      </c>
      <c r="N16">
        <f>1000*FRED!B$19*'Step2a-NIPACalcs'!C$12*'Step2b-IVACalcs'!H23</f>
        <v>1388226.9697192027</v>
      </c>
      <c r="O16" s="5" t="s">
        <v>277</v>
      </c>
      <c r="P16" s="9" t="s">
        <v>320</v>
      </c>
    </row>
    <row r="17" spans="2:18">
      <c r="B17" s="12" t="s">
        <v>314</v>
      </c>
      <c r="C17" s="6">
        <v>0</v>
      </c>
      <c r="D17" s="6">
        <f>'Step1-AggregateWIOD'!D11</f>
        <v>5795044.3020000011</v>
      </c>
      <c r="E17" s="6">
        <v>0</v>
      </c>
      <c r="F17" s="6">
        <v>0</v>
      </c>
      <c r="G17" s="6">
        <v>0</v>
      </c>
      <c r="H17" s="6">
        <v>0</v>
      </c>
      <c r="I17" s="6">
        <v>0</v>
      </c>
      <c r="J17" s="6">
        <v>0</v>
      </c>
      <c r="K17" s="6">
        <v>0</v>
      </c>
      <c r="M17" s="6">
        <f t="shared" si="0"/>
        <v>5795044.3020000011</v>
      </c>
      <c r="N17">
        <f>1000*FRED!B$19*'Step2a-NIPACalcs'!C$12*'Step2b-IVACalcs'!H24</f>
        <v>5465524.7670465186</v>
      </c>
      <c r="O17" s="5" t="s">
        <v>277</v>
      </c>
      <c r="P17" s="9" t="s">
        <v>318</v>
      </c>
    </row>
    <row r="18" spans="2:18">
      <c r="B18" s="12" t="s">
        <v>315</v>
      </c>
      <c r="C18" s="6">
        <v>0</v>
      </c>
      <c r="D18" s="6">
        <v>0</v>
      </c>
      <c r="E18" s="6">
        <f>'Step1-AggregateWIOD'!E11</f>
        <v>312904.48044000001</v>
      </c>
      <c r="F18" s="6">
        <v>0</v>
      </c>
      <c r="G18" s="6">
        <v>0</v>
      </c>
      <c r="H18" s="6">
        <v>0</v>
      </c>
      <c r="I18" s="6">
        <v>0</v>
      </c>
      <c r="J18" s="6">
        <v>0</v>
      </c>
      <c r="K18" s="6">
        <v>0</v>
      </c>
      <c r="M18" s="6">
        <f t="shared" si="0"/>
        <v>312904.48044000001</v>
      </c>
      <c r="N18">
        <f>1000*FRED!B$19*'Step2a-NIPACalcs'!C$12*'Step2b-IVACalcs'!H25</f>
        <v>248324.77989761959</v>
      </c>
      <c r="O18" s="5" t="s">
        <v>277</v>
      </c>
      <c r="P18" s="9" t="s">
        <v>319</v>
      </c>
    </row>
    <row r="19" spans="2:18">
      <c r="B19" s="12" t="s">
        <v>262</v>
      </c>
      <c r="C19">
        <v>0</v>
      </c>
      <c r="D19">
        <v>0</v>
      </c>
      <c r="E19">
        <v>0</v>
      </c>
      <c r="F19" s="6">
        <f>'Step1-AggregateWIOD'!F11</f>
        <v>6355119.5140511477</v>
      </c>
      <c r="G19" s="6">
        <f>'Step1-AggregateWIOD'!G11</f>
        <v>15353610.853376705</v>
      </c>
      <c r="H19" s="6">
        <v>0</v>
      </c>
      <c r="I19" s="6">
        <v>0</v>
      </c>
      <c r="J19" s="6">
        <v>0</v>
      </c>
      <c r="K19" s="6">
        <v>0</v>
      </c>
      <c r="M19" s="6">
        <f t="shared" si="0"/>
        <v>21708730.367427852</v>
      </c>
      <c r="N19">
        <f>SUM(N16:N18)*SUM('Step1-AggregateWIOD'!F11:G11)/SUM('Step1-AggregateWIOD'!C11:E11)</f>
        <v>20695384.260160748</v>
      </c>
      <c r="O19" s="5" t="s">
        <v>277</v>
      </c>
      <c r="P19" s="9" t="s">
        <v>278</v>
      </c>
    </row>
    <row r="20" spans="2:18">
      <c r="B20" s="12"/>
    </row>
    <row r="21" spans="2:18">
      <c r="B21" s="18" t="s">
        <v>258</v>
      </c>
      <c r="C21" s="6">
        <f t="shared" ref="C21:K21" si="1">SUM(C7:C19)</f>
        <v>3872453.5661502643</v>
      </c>
      <c r="D21" s="6">
        <f t="shared" si="1"/>
        <v>8810011.8604959287</v>
      </c>
      <c r="E21" s="6">
        <f t="shared" si="1"/>
        <v>690094.7605118046</v>
      </c>
      <c r="F21" s="6">
        <f t="shared" si="1"/>
        <v>16488894.853709273</v>
      </c>
      <c r="G21" s="6">
        <f t="shared" si="1"/>
        <v>25218167.405084677</v>
      </c>
      <c r="H21" s="6">
        <f t="shared" si="1"/>
        <v>4916558.2582975468</v>
      </c>
      <c r="I21" s="6">
        <f t="shared" si="1"/>
        <v>1223745.6603723266</v>
      </c>
      <c r="J21" s="6">
        <f t="shared" si="1"/>
        <v>1380552.1836627007</v>
      </c>
      <c r="K21" s="6">
        <f t="shared" si="1"/>
        <v>21637664.638182852</v>
      </c>
      <c r="P21" s="24"/>
      <c r="Q21" s="2"/>
      <c r="R21" s="2"/>
    </row>
    <row r="22" spans="2:18">
      <c r="B22" s="18" t="s">
        <v>259</v>
      </c>
      <c r="C22" s="6">
        <f>('Step1-AggregateWIOD'!C12-'Step1-AggregateWIOD'!C8)*($N$16/$M$16)</f>
        <v>4006204.3412725478</v>
      </c>
      <c r="D22" s="6">
        <f>('Step1-AggregateWIOD'!D12-'Step1-AggregateWIOD'!D8)*($N$16/$M$16)</f>
        <v>9114301.0908376332</v>
      </c>
      <c r="E22" s="6">
        <f>('Step1-AggregateWIOD'!E12-'Step1-AggregateWIOD'!E8)*($N$16/$M$16)</f>
        <v>713929.96151539974</v>
      </c>
      <c r="F22" s="6">
        <f>('Step1-AggregateWIOD'!F12-'Step1-AggregateWIOD'!F8)*($N$19/$M$19)</f>
        <v>15719206.478095502</v>
      </c>
      <c r="G22" s="6">
        <f>('Step1-AggregateWIOD'!G12-'Step1-AggregateWIOD'!G8)*($N$19/$M$19)</f>
        <v>24041003.594035856</v>
      </c>
      <c r="H22">
        <f>FRED!B19*1000*'Step2a-NIPACalcs'!C5</f>
        <v>4578505.9519058075</v>
      </c>
      <c r="I22">
        <f>1000*'Step2a-NIPACalcs'!C6*FRED!B19</f>
        <v>1139603.457393734</v>
      </c>
      <c r="J22">
        <f>1000*FRED!B19*'Step2a-NIPACalcs'!C7</f>
        <v>1421762.0185591697</v>
      </c>
      <c r="K22">
        <f>N19-N14-N15+N12+N13</f>
        <v>20657589.34896538</v>
      </c>
      <c r="P22" s="2"/>
      <c r="Q22" s="2"/>
      <c r="R22" s="2"/>
    </row>
    <row r="23" spans="2:18">
      <c r="C23" s="5" t="s">
        <v>273</v>
      </c>
      <c r="D23" s="5" t="s">
        <v>273</v>
      </c>
      <c r="E23" s="5" t="s">
        <v>273</v>
      </c>
      <c r="F23" s="5" t="s">
        <v>273</v>
      </c>
      <c r="G23" s="5" t="s">
        <v>273</v>
      </c>
      <c r="H23" s="5" t="s">
        <v>273</v>
      </c>
      <c r="I23" s="5" t="s">
        <v>273</v>
      </c>
      <c r="J23" s="1" t="s">
        <v>273</v>
      </c>
      <c r="K23" s="5" t="s">
        <v>273</v>
      </c>
      <c r="P23" s="2"/>
      <c r="Q23" s="2"/>
      <c r="R23" s="2"/>
    </row>
    <row r="24" spans="2:18" ht="105">
      <c r="C24" s="23" t="s">
        <v>282</v>
      </c>
      <c r="D24" s="23" t="s">
        <v>283</v>
      </c>
      <c r="E24" s="23" t="s">
        <v>284</v>
      </c>
      <c r="F24" s="23" t="s">
        <v>285</v>
      </c>
      <c r="G24" s="23" t="s">
        <v>286</v>
      </c>
      <c r="H24" s="23" t="s">
        <v>275</v>
      </c>
      <c r="I24" s="23" t="s">
        <v>274</v>
      </c>
      <c r="J24" s="23" t="s">
        <v>276</v>
      </c>
      <c r="K24" s="23" t="s">
        <v>281</v>
      </c>
      <c r="P24" s="24"/>
      <c r="Q24" s="2"/>
      <c r="R24" s="2"/>
    </row>
    <row r="25" spans="2:18">
      <c r="P25" s="24"/>
      <c r="Q25" s="2"/>
      <c r="R25" s="2"/>
    </row>
    <row r="26" spans="2:18">
      <c r="B26" s="3" t="s">
        <v>280</v>
      </c>
      <c r="P26" s="25"/>
    </row>
    <row r="28" spans="2:18">
      <c r="C28" s="200" t="s">
        <v>83</v>
      </c>
      <c r="D28" s="200"/>
      <c r="E28" s="200"/>
      <c r="F28" s="200"/>
      <c r="G28" s="200"/>
      <c r="H28" s="199" t="s">
        <v>84</v>
      </c>
      <c r="I28" s="199"/>
      <c r="J28" s="199"/>
      <c r="K28" s="199"/>
      <c r="L28" s="13"/>
    </row>
    <row r="29" spans="2:18">
      <c r="C29" s="120" t="s">
        <v>85</v>
      </c>
      <c r="D29" s="120" t="s">
        <v>86</v>
      </c>
      <c r="E29" s="120" t="s">
        <v>87</v>
      </c>
      <c r="F29" s="120" t="s">
        <v>88</v>
      </c>
      <c r="G29" s="120" t="s">
        <v>89</v>
      </c>
      <c r="H29" s="120" t="s">
        <v>94</v>
      </c>
      <c r="I29" s="120" t="s">
        <v>93</v>
      </c>
      <c r="J29" s="120" t="s">
        <v>95</v>
      </c>
      <c r="K29" s="120" t="s">
        <v>92</v>
      </c>
      <c r="L29" s="120"/>
      <c r="M29" s="20" t="s">
        <v>308</v>
      </c>
      <c r="N29" s="19" t="s">
        <v>257</v>
      </c>
      <c r="O29" s="19" t="s">
        <v>310</v>
      </c>
    </row>
    <row r="30" spans="2:18">
      <c r="B30" s="12" t="s">
        <v>247</v>
      </c>
      <c r="C30" s="6">
        <v>1583607.2130799957</v>
      </c>
      <c r="D30" s="6">
        <v>721579.98001449835</v>
      </c>
      <c r="E30" s="6">
        <v>228816.52320556561</v>
      </c>
      <c r="F30" s="6">
        <v>0</v>
      </c>
      <c r="G30" s="6">
        <v>0</v>
      </c>
      <c r="H30">
        <v>576835.16392634087</v>
      </c>
      <c r="I30">
        <v>143575.95120808165</v>
      </c>
      <c r="J30" s="6">
        <v>408051.30887826323</v>
      </c>
      <c r="K30">
        <v>0</v>
      </c>
      <c r="M30" s="6">
        <f>SUM(C30:K30)</f>
        <v>3662466.1403127452</v>
      </c>
      <c r="N30" s="6">
        <f t="shared" ref="N30:N41" si="2">N7</f>
        <v>3662466.1403146554</v>
      </c>
      <c r="O30" s="51">
        <f>N30-M30</f>
        <v>1.9101426005363464E-6</v>
      </c>
    </row>
    <row r="31" spans="2:18">
      <c r="B31" s="12" t="s">
        <v>248</v>
      </c>
      <c r="C31" s="6">
        <v>812542.80270656664</v>
      </c>
      <c r="D31" s="6">
        <v>2674365.1036634562</v>
      </c>
      <c r="E31" s="6">
        <v>204308.34570185599</v>
      </c>
      <c r="F31" s="6">
        <v>0</v>
      </c>
      <c r="G31" s="6">
        <v>0</v>
      </c>
      <c r="H31">
        <v>3891345.1596340528</v>
      </c>
      <c r="I31">
        <v>968567.13618236862</v>
      </c>
      <c r="J31" s="6">
        <v>219434.34199220157</v>
      </c>
      <c r="K31">
        <v>0</v>
      </c>
      <c r="M31" s="6">
        <f t="shared" ref="M31:M42" si="3">SUM(C31:K31)</f>
        <v>8770562.8898805007</v>
      </c>
      <c r="N31" s="6">
        <f t="shared" si="2"/>
        <v>8770562.8898797408</v>
      </c>
      <c r="O31" s="51">
        <f t="shared" ref="O31:O42" si="4">N31-M31</f>
        <v>-7.5995922088623047E-7</v>
      </c>
    </row>
    <row r="32" spans="2:18">
      <c r="B32" s="12" t="s">
        <v>249</v>
      </c>
      <c r="C32" s="6">
        <v>0</v>
      </c>
      <c r="D32" s="6">
        <v>0</v>
      </c>
      <c r="E32" s="6">
        <v>0</v>
      </c>
      <c r="F32" s="6">
        <v>0</v>
      </c>
      <c r="G32" s="6">
        <v>0</v>
      </c>
      <c r="H32">
        <v>0</v>
      </c>
      <c r="I32" s="6">
        <v>0</v>
      </c>
      <c r="J32" s="6">
        <v>713929.96151380148</v>
      </c>
      <c r="K32" s="6">
        <v>0</v>
      </c>
      <c r="M32" s="6">
        <f t="shared" si="3"/>
        <v>713929.96151380148</v>
      </c>
      <c r="N32" s="6">
        <f t="shared" si="2"/>
        <v>713929.96151539974</v>
      </c>
      <c r="O32" s="51">
        <f t="shared" si="4"/>
        <v>1.5982659533619881E-6</v>
      </c>
    </row>
    <row r="33" spans="1:15">
      <c r="B33" s="12" t="s">
        <v>250</v>
      </c>
      <c r="C33" s="6">
        <v>0</v>
      </c>
      <c r="D33" s="6">
        <v>0</v>
      </c>
      <c r="E33" s="6">
        <v>0</v>
      </c>
      <c r="F33" s="6">
        <v>6431209.8920829277</v>
      </c>
      <c r="G33" s="6">
        <v>2957590.8177974978</v>
      </c>
      <c r="H33" s="6">
        <v>0</v>
      </c>
      <c r="I33" s="6">
        <v>0</v>
      </c>
      <c r="J33" s="6">
        <v>0</v>
      </c>
      <c r="K33" s="6">
        <v>5967770.111659498</v>
      </c>
      <c r="M33" s="6">
        <f t="shared" si="3"/>
        <v>15356570.821539924</v>
      </c>
      <c r="N33" s="6">
        <f t="shared" si="2"/>
        <v>15356570.821539924</v>
      </c>
      <c r="O33" s="51">
        <f t="shared" si="4"/>
        <v>0</v>
      </c>
    </row>
    <row r="34" spans="1:15">
      <c r="B34" s="12" t="s">
        <v>251</v>
      </c>
      <c r="C34" s="6">
        <v>0</v>
      </c>
      <c r="D34" s="6">
        <v>0</v>
      </c>
      <c r="E34" s="6">
        <v>0</v>
      </c>
      <c r="F34" s="6">
        <v>2977475.3268889966</v>
      </c>
      <c r="G34" s="6">
        <v>6205765.1788965017</v>
      </c>
      <c r="H34" s="6">
        <v>0</v>
      </c>
      <c r="I34" s="6">
        <v>0</v>
      </c>
      <c r="J34" s="6">
        <v>0</v>
      </c>
      <c r="K34" s="6">
        <v>14495127.431694781</v>
      </c>
      <c r="M34" s="6">
        <f t="shared" si="3"/>
        <v>23678367.937480278</v>
      </c>
      <c r="N34" s="6">
        <f t="shared" si="2"/>
        <v>23678367.937480278</v>
      </c>
      <c r="O34" s="51">
        <f t="shared" si="4"/>
        <v>0</v>
      </c>
    </row>
    <row r="35" spans="1:15">
      <c r="B35" s="12" t="s">
        <v>252</v>
      </c>
      <c r="C35" s="6">
        <v>0</v>
      </c>
      <c r="D35" s="6">
        <v>0</v>
      </c>
      <c r="E35" s="6">
        <v>0</v>
      </c>
      <c r="F35" s="6">
        <v>152617.93478410138</v>
      </c>
      <c r="G35" s="6">
        <v>55894.934311412835</v>
      </c>
      <c r="H35" s="6">
        <v>0</v>
      </c>
      <c r="I35" s="6">
        <v>0</v>
      </c>
      <c r="J35" s="6">
        <v>0</v>
      </c>
      <c r="K35" s="6">
        <v>135225.33186237846</v>
      </c>
      <c r="M35" s="6">
        <f t="shared" si="3"/>
        <v>343738.2009578927</v>
      </c>
      <c r="N35">
        <f t="shared" si="2"/>
        <v>343738.20095789264</v>
      </c>
      <c r="O35" s="51">
        <f t="shared" si="4"/>
        <v>0</v>
      </c>
    </row>
    <row r="36" spans="1:15">
      <c r="B36" s="12" t="s">
        <v>253</v>
      </c>
      <c r="C36" s="6">
        <v>0</v>
      </c>
      <c r="D36" s="6">
        <v>0</v>
      </c>
      <c r="E36" s="6">
        <v>0</v>
      </c>
      <c r="F36" s="6">
        <v>113914.82514214583</v>
      </c>
      <c r="G36" s="6">
        <v>170356.90206702452</v>
      </c>
      <c r="H36" s="6">
        <v>0</v>
      </c>
      <c r="I36" s="6">
        <v>0</v>
      </c>
      <c r="J36" s="6">
        <v>0</v>
      </c>
      <c r="K36" s="6">
        <v>59466.473748722296</v>
      </c>
      <c r="M36" s="6">
        <f t="shared" si="3"/>
        <v>343738.20095789264</v>
      </c>
      <c r="N36">
        <f t="shared" si="2"/>
        <v>343738.20095789264</v>
      </c>
      <c r="O36" s="51">
        <f t="shared" si="4"/>
        <v>0</v>
      </c>
    </row>
    <row r="37" spans="1:15">
      <c r="B37" s="12" t="s">
        <v>254</v>
      </c>
      <c r="C37" s="6">
        <v>135888.09734063668</v>
      </c>
      <c r="D37" s="6">
        <v>46874.287093322062</v>
      </c>
      <c r="E37" s="6">
        <v>14012.534792807448</v>
      </c>
      <c r="F37" s="6">
        <v>0</v>
      </c>
      <c r="G37" s="6">
        <v>0</v>
      </c>
      <c r="H37">
        <v>71969.51467569037</v>
      </c>
      <c r="I37">
        <v>17913.421673554079</v>
      </c>
      <c r="J37" s="6">
        <v>75977.80097930308</v>
      </c>
      <c r="K37">
        <v>0</v>
      </c>
      <c r="M37" s="6">
        <f t="shared" si="3"/>
        <v>362635.65655531368</v>
      </c>
      <c r="N37">
        <f t="shared" si="2"/>
        <v>362635.65655557771</v>
      </c>
      <c r="O37" s="51">
        <f t="shared" si="4"/>
        <v>2.6402994990348816E-7</v>
      </c>
    </row>
    <row r="38" spans="1:15">
      <c r="B38" s="12" t="s">
        <v>255</v>
      </c>
      <c r="C38" s="6">
        <v>85939.258427390407</v>
      </c>
      <c r="D38" s="6">
        <v>205956.95301548523</v>
      </c>
      <c r="E38" s="6">
        <v>18467.777917713574</v>
      </c>
      <c r="F38" s="6">
        <v>0</v>
      </c>
      <c r="G38" s="6">
        <v>0</v>
      </c>
      <c r="H38">
        <v>38356.11366972336</v>
      </c>
      <c r="I38">
        <v>9546.9483297295192</v>
      </c>
      <c r="J38" s="6">
        <v>4368.6051956005813</v>
      </c>
      <c r="K38">
        <v>0</v>
      </c>
      <c r="M38" s="6">
        <f t="shared" si="3"/>
        <v>362635.65655564266</v>
      </c>
      <c r="N38">
        <f t="shared" si="2"/>
        <v>362635.65655557771</v>
      </c>
      <c r="O38" s="51">
        <f t="shared" si="4"/>
        <v>-6.4959749579429626E-8</v>
      </c>
    </row>
    <row r="39" spans="1:15">
      <c r="B39" s="12" t="s">
        <v>317</v>
      </c>
      <c r="C39" s="6">
        <v>1388226.9697179582</v>
      </c>
      <c r="D39" s="6">
        <v>0</v>
      </c>
      <c r="E39" s="6">
        <v>0</v>
      </c>
      <c r="F39" s="6">
        <v>0</v>
      </c>
      <c r="G39" s="6">
        <v>0</v>
      </c>
      <c r="H39" s="6">
        <v>0</v>
      </c>
      <c r="I39" s="6">
        <v>0</v>
      </c>
      <c r="J39" s="6">
        <v>0</v>
      </c>
      <c r="K39" s="6">
        <v>0</v>
      </c>
      <c r="M39" s="6">
        <f t="shared" si="3"/>
        <v>1388226.9697179582</v>
      </c>
      <c r="N39">
        <f t="shared" si="2"/>
        <v>1388226.9697192027</v>
      </c>
      <c r="O39" s="51">
        <f t="shared" si="4"/>
        <v>1.2444797903299332E-6</v>
      </c>
    </row>
    <row r="40" spans="1:15">
      <c r="B40" s="12" t="s">
        <v>316</v>
      </c>
      <c r="C40" s="6">
        <v>0</v>
      </c>
      <c r="D40" s="6">
        <v>5465524.7670508726</v>
      </c>
      <c r="E40" s="6">
        <v>0</v>
      </c>
      <c r="F40" s="6">
        <v>0</v>
      </c>
      <c r="G40" s="6">
        <v>0</v>
      </c>
      <c r="H40" s="6">
        <v>0</v>
      </c>
      <c r="I40" s="6">
        <v>0</v>
      </c>
      <c r="J40" s="6">
        <v>0</v>
      </c>
      <c r="K40" s="6">
        <v>0</v>
      </c>
      <c r="M40" s="6">
        <f t="shared" si="3"/>
        <v>5465524.7670508726</v>
      </c>
      <c r="N40">
        <f t="shared" si="2"/>
        <v>5465524.7670465186</v>
      </c>
      <c r="O40" s="51">
        <f t="shared" si="4"/>
        <v>-4.3539330363273621E-6</v>
      </c>
    </row>
    <row r="41" spans="1:15">
      <c r="B41" s="12" t="s">
        <v>315</v>
      </c>
      <c r="C41" s="6">
        <v>0</v>
      </c>
      <c r="D41" s="6">
        <v>0</v>
      </c>
      <c r="E41" s="6">
        <v>248324.77989745711</v>
      </c>
      <c r="F41" s="6">
        <v>0</v>
      </c>
      <c r="G41" s="6">
        <v>0</v>
      </c>
      <c r="H41" s="6">
        <v>0</v>
      </c>
      <c r="I41" s="6">
        <v>0</v>
      </c>
      <c r="J41" s="6">
        <v>0</v>
      </c>
      <c r="K41" s="6">
        <v>0</v>
      </c>
      <c r="M41" s="6">
        <f t="shared" si="3"/>
        <v>248324.77989745711</v>
      </c>
      <c r="N41">
        <f t="shared" si="2"/>
        <v>248324.77989761959</v>
      </c>
      <c r="O41" s="51">
        <f t="shared" si="4"/>
        <v>1.6248668543994427E-7</v>
      </c>
    </row>
    <row r="42" spans="1:15">
      <c r="B42" s="12" t="s">
        <v>262</v>
      </c>
      <c r="C42">
        <v>0</v>
      </c>
      <c r="D42">
        <v>0</v>
      </c>
      <c r="E42">
        <v>0</v>
      </c>
      <c r="F42" s="6">
        <v>6043988.4991973294</v>
      </c>
      <c r="G42" s="6">
        <v>14651395.760963419</v>
      </c>
      <c r="H42">
        <v>0</v>
      </c>
      <c r="I42" s="6">
        <v>0</v>
      </c>
      <c r="J42" s="6">
        <v>0</v>
      </c>
      <c r="K42" s="6">
        <v>0</v>
      </c>
      <c r="M42" s="6">
        <f t="shared" si="3"/>
        <v>20695384.260160748</v>
      </c>
      <c r="N42">
        <f>N19</f>
        <v>20695384.260160748</v>
      </c>
      <c r="O42" s="51">
        <f t="shared" si="4"/>
        <v>0</v>
      </c>
    </row>
    <row r="43" spans="1:15">
      <c r="B43" s="12"/>
    </row>
    <row r="44" spans="1:15">
      <c r="B44" s="18" t="s">
        <v>309</v>
      </c>
      <c r="C44" s="6">
        <f t="shared" ref="C44:K44" si="5">SUM(C30:C42)</f>
        <v>4006204.3412725478</v>
      </c>
      <c r="D44" s="6">
        <f t="shared" si="5"/>
        <v>9114301.0908376351</v>
      </c>
      <c r="E44" s="6">
        <f t="shared" si="5"/>
        <v>713929.96151539963</v>
      </c>
      <c r="F44" s="6">
        <f t="shared" si="5"/>
        <v>15719206.478095502</v>
      </c>
      <c r="G44" s="6">
        <f t="shared" si="5"/>
        <v>24041003.594035856</v>
      </c>
      <c r="H44" s="6">
        <f t="shared" si="5"/>
        <v>4578505.9519058075</v>
      </c>
      <c r="I44" s="6">
        <f t="shared" si="5"/>
        <v>1139603.4573937338</v>
      </c>
      <c r="J44" s="6">
        <f t="shared" si="5"/>
        <v>1421762.01855917</v>
      </c>
      <c r="K44" s="6">
        <f t="shared" si="5"/>
        <v>20657589.34896538</v>
      </c>
    </row>
    <row r="45" spans="1:15">
      <c r="B45" s="18" t="s">
        <v>259</v>
      </c>
      <c r="C45" s="6">
        <f>C22</f>
        <v>4006204.3412725478</v>
      </c>
      <c r="D45" s="6">
        <f t="shared" ref="D45:K45" si="6">D22</f>
        <v>9114301.0908376332</v>
      </c>
      <c r="E45" s="6">
        <f t="shared" si="6"/>
        <v>713929.96151539974</v>
      </c>
      <c r="F45" s="6">
        <f t="shared" si="6"/>
        <v>15719206.478095502</v>
      </c>
      <c r="G45" s="6">
        <f t="shared" si="6"/>
        <v>24041003.594035856</v>
      </c>
      <c r="H45" s="6">
        <f t="shared" si="6"/>
        <v>4578505.9519058075</v>
      </c>
      <c r="I45" s="6">
        <f t="shared" si="6"/>
        <v>1139603.457393734</v>
      </c>
      <c r="J45" s="6">
        <f t="shared" si="6"/>
        <v>1421762.0185591697</v>
      </c>
      <c r="K45" s="6">
        <f t="shared" si="6"/>
        <v>20657589.34896538</v>
      </c>
    </row>
    <row r="46" spans="1:15">
      <c r="B46" s="18" t="s">
        <v>310</v>
      </c>
      <c r="C46" s="51">
        <f>C45-C44</f>
        <v>0</v>
      </c>
      <c r="D46" s="51">
        <f t="shared" ref="D46:K46" si="7">D45-D44</f>
        <v>0</v>
      </c>
      <c r="E46" s="51">
        <f t="shared" si="7"/>
        <v>0</v>
      </c>
      <c r="F46" s="51">
        <f t="shared" si="7"/>
        <v>0</v>
      </c>
      <c r="G46" s="51">
        <f t="shared" si="7"/>
        <v>0</v>
      </c>
      <c r="H46" s="51">
        <f t="shared" si="7"/>
        <v>0</v>
      </c>
      <c r="I46" s="51">
        <f t="shared" si="7"/>
        <v>0</v>
      </c>
      <c r="J46" s="51">
        <f t="shared" si="7"/>
        <v>0</v>
      </c>
      <c r="K46" s="51">
        <f t="shared" si="7"/>
        <v>0</v>
      </c>
    </row>
    <row r="48" spans="1:15">
      <c r="A48" s="3" t="s">
        <v>96</v>
      </c>
      <c r="B48" s="26" t="s">
        <v>296</v>
      </c>
    </row>
    <row r="49" spans="2:2">
      <c r="B49" s="8" t="s">
        <v>297</v>
      </c>
    </row>
    <row r="50" spans="2:2">
      <c r="B50" s="8" t="s">
        <v>298</v>
      </c>
    </row>
  </sheetData>
  <mergeCells count="4">
    <mergeCell ref="C5:G5"/>
    <mergeCell ref="H5:K5"/>
    <mergeCell ref="C28:G28"/>
    <mergeCell ref="H28:K28"/>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R50"/>
  <sheetViews>
    <sheetView zoomScale="75" zoomScaleNormal="75" workbookViewId="0">
      <pane xSplit="2" topLeftCell="C1" activePane="topRight" state="frozen"/>
      <selection pane="topRight" activeCell="J42" sqref="J42"/>
    </sheetView>
  </sheetViews>
  <sheetFormatPr defaultRowHeight="15"/>
  <cols>
    <col min="2" max="2" width="28.75" bestFit="1" customWidth="1"/>
    <col min="3" max="11" width="20.125" customWidth="1"/>
    <col min="12" max="12" width="3.375" customWidth="1"/>
    <col min="13" max="14" width="18.875" customWidth="1"/>
    <col min="15" max="15" width="10.625" bestFit="1" customWidth="1"/>
  </cols>
  <sheetData>
    <row r="1" spans="1:16" ht="18.75">
      <c r="A1" s="10" t="s">
        <v>246</v>
      </c>
    </row>
    <row r="3" spans="1:16">
      <c r="B3" s="3" t="s">
        <v>279</v>
      </c>
    </row>
    <row r="5" spans="1:16">
      <c r="C5" s="200" t="s">
        <v>83</v>
      </c>
      <c r="D5" s="200"/>
      <c r="E5" s="200"/>
      <c r="F5" s="200"/>
      <c r="G5" s="200"/>
      <c r="H5" s="199" t="s">
        <v>84</v>
      </c>
      <c r="I5" s="199"/>
      <c r="J5" s="199"/>
      <c r="K5" s="199"/>
      <c r="L5" s="13"/>
    </row>
    <row r="6" spans="1:16">
      <c r="C6" s="186" t="s">
        <v>85</v>
      </c>
      <c r="D6" s="186" t="s">
        <v>86</v>
      </c>
      <c r="E6" s="186" t="s">
        <v>87</v>
      </c>
      <c r="F6" s="186" t="s">
        <v>88</v>
      </c>
      <c r="G6" s="186" t="s">
        <v>89</v>
      </c>
      <c r="H6" s="186" t="s">
        <v>94</v>
      </c>
      <c r="I6" s="186" t="s">
        <v>93</v>
      </c>
      <c r="J6" s="186" t="s">
        <v>95</v>
      </c>
      <c r="K6" s="186" t="s">
        <v>92</v>
      </c>
      <c r="L6" s="186"/>
      <c r="M6" s="20" t="s">
        <v>256</v>
      </c>
      <c r="N6" s="19" t="s">
        <v>257</v>
      </c>
    </row>
    <row r="7" spans="1:16">
      <c r="B7" s="12" t="s">
        <v>247</v>
      </c>
      <c r="C7" s="6">
        <v>0</v>
      </c>
      <c r="D7" s="6">
        <v>0</v>
      </c>
      <c r="E7" s="6">
        <v>0</v>
      </c>
      <c r="F7" s="6">
        <v>0</v>
      </c>
      <c r="G7" s="6">
        <v>0</v>
      </c>
      <c r="H7">
        <f>'Step1-AggregateWIOD'!H6*'Step2a-NIPACalcs'!C$15</f>
        <v>591205.40764462412</v>
      </c>
      <c r="I7">
        <f>(1-'Step2a-NIPACalcs'!C$15)*'Step1-AggregateWIOD'!H6</f>
        <v>147152.74669485592</v>
      </c>
      <c r="J7" s="6">
        <f>'Step1-AggregateWIOD'!I6</f>
        <v>403903.5442850886</v>
      </c>
      <c r="K7" s="6">
        <v>0</v>
      </c>
      <c r="M7" s="6">
        <f>SUM(C7:K7)</f>
        <v>1142261.6986245685</v>
      </c>
      <c r="N7" s="6">
        <f>C22-N12</f>
        <v>893743.54824644281</v>
      </c>
      <c r="O7" s="5" t="s">
        <v>277</v>
      </c>
      <c r="P7" s="9" t="s">
        <v>291</v>
      </c>
    </row>
    <row r="8" spans="1:16">
      <c r="B8" s="12" t="s">
        <v>248</v>
      </c>
      <c r="C8" s="6">
        <v>0</v>
      </c>
      <c r="D8" s="6">
        <v>0</v>
      </c>
      <c r="E8" s="6">
        <v>0</v>
      </c>
      <c r="F8" s="6">
        <v>0</v>
      </c>
      <c r="G8" s="6">
        <v>0</v>
      </c>
      <c r="H8">
        <f>'Step1-AggregateWIOD'!H7*'Step2a-NIPACalcs'!C$15</f>
        <v>4154519.1203062152</v>
      </c>
      <c r="I8">
        <f>(1-'Step2a-NIPACalcs'!C$15)*'Step1-AggregateWIOD'!H7</f>
        <v>1034071.9009742894</v>
      </c>
      <c r="J8" s="6">
        <f>'Step1-AggregateWIOD'!I7</f>
        <v>226256.89498675888</v>
      </c>
      <c r="K8">
        <v>0</v>
      </c>
      <c r="M8" s="6">
        <f t="shared" ref="M8:M19" si="0">SUM(C8:K8)</f>
        <v>5414847.9162672637</v>
      </c>
      <c r="N8" s="6">
        <f>D22-N13</f>
        <v>5272531.7866034936</v>
      </c>
      <c r="O8" s="5" t="s">
        <v>277</v>
      </c>
      <c r="P8" s="9" t="s">
        <v>287</v>
      </c>
    </row>
    <row r="9" spans="1:16">
      <c r="B9" s="12" t="s">
        <v>249</v>
      </c>
      <c r="C9" s="6">
        <v>0</v>
      </c>
      <c r="D9" s="6">
        <v>0</v>
      </c>
      <c r="E9" s="6">
        <v>0</v>
      </c>
      <c r="F9" s="6">
        <v>0</v>
      </c>
      <c r="G9" s="6">
        <v>0</v>
      </c>
      <c r="H9">
        <v>0</v>
      </c>
      <c r="I9" s="6">
        <v>0</v>
      </c>
      <c r="J9" s="6">
        <f>'Step1-AggregateWIOD'!I8</f>
        <v>588073.75</v>
      </c>
      <c r="K9" s="6">
        <v>0</v>
      </c>
      <c r="M9" s="6">
        <f t="shared" si="0"/>
        <v>588073.75</v>
      </c>
      <c r="N9" s="6">
        <f>E22</f>
        <v>248324.77989761959</v>
      </c>
      <c r="O9" s="5" t="s">
        <v>277</v>
      </c>
      <c r="P9" s="9" t="s">
        <v>288</v>
      </c>
    </row>
    <row r="10" spans="1:16">
      <c r="B10" s="12" t="s">
        <v>250</v>
      </c>
      <c r="C10" s="6">
        <v>0</v>
      </c>
      <c r="D10" s="6">
        <v>0</v>
      </c>
      <c r="E10" s="6">
        <v>0</v>
      </c>
      <c r="F10" s="6">
        <v>0</v>
      </c>
      <c r="G10" s="6">
        <v>0</v>
      </c>
      <c r="H10" s="6">
        <v>0</v>
      </c>
      <c r="I10" s="6">
        <v>0</v>
      </c>
      <c r="J10" s="6">
        <v>0</v>
      </c>
      <c r="K10" s="6">
        <f>'Step1-AggregateWIOD'!J9</f>
        <v>6080735.9890204975</v>
      </c>
      <c r="M10" s="6">
        <f t="shared" si="0"/>
        <v>6080735.9890204975</v>
      </c>
      <c r="N10" s="6">
        <f>F22-N14</f>
        <v>5457463.5428347187</v>
      </c>
      <c r="O10" s="5" t="s">
        <v>277</v>
      </c>
      <c r="P10" s="9" t="s">
        <v>289</v>
      </c>
    </row>
    <row r="11" spans="1:16">
      <c r="B11" s="12" t="s">
        <v>251</v>
      </c>
      <c r="C11" s="6">
        <v>0</v>
      </c>
      <c r="D11" s="6">
        <v>0</v>
      </c>
      <c r="E11" s="6">
        <v>0</v>
      </c>
      <c r="F11" s="6">
        <v>0</v>
      </c>
      <c r="G11" s="6">
        <v>0</v>
      </c>
      <c r="H11" s="6">
        <v>0</v>
      </c>
      <c r="I11" s="6">
        <v>0</v>
      </c>
      <c r="J11" s="6">
        <v>0</v>
      </c>
      <c r="K11" s="6">
        <f>'Step1-AggregateWIOD'!J10</f>
        <v>15312524.024034129</v>
      </c>
      <c r="M11" s="6">
        <f t="shared" si="0"/>
        <v>15312524.024034129</v>
      </c>
      <c r="N11" s="6">
        <f>G22-N15</f>
        <v>14512649.404214872</v>
      </c>
      <c r="O11" s="5" t="s">
        <v>277</v>
      </c>
      <c r="P11" s="9" t="s">
        <v>290</v>
      </c>
    </row>
    <row r="12" spans="1:16">
      <c r="B12" s="12" t="s">
        <v>252</v>
      </c>
      <c r="C12" s="6">
        <v>0</v>
      </c>
      <c r="D12" s="6">
        <v>0</v>
      </c>
      <c r="E12" s="6">
        <v>0</v>
      </c>
      <c r="F12" s="6">
        <v>0</v>
      </c>
      <c r="G12" s="6">
        <v>0</v>
      </c>
      <c r="H12" s="6">
        <v>0</v>
      </c>
      <c r="I12" s="6">
        <v>0</v>
      </c>
      <c r="J12" s="6">
        <v>0</v>
      </c>
      <c r="K12" s="6">
        <f>'Step1-AggregateWIOD'!J6</f>
        <v>201759.46980164474</v>
      </c>
      <c r="M12" s="6">
        <f t="shared" si="0"/>
        <v>201759.46980164474</v>
      </c>
      <c r="N12">
        <f>1000*FRED!B19*'Step2a-NIPACalcs'!C8</f>
        <v>494483.42147275998</v>
      </c>
      <c r="O12" s="5" t="s">
        <v>277</v>
      </c>
      <c r="P12" s="9" t="s">
        <v>292</v>
      </c>
    </row>
    <row r="13" spans="1:16">
      <c r="B13" s="12" t="s">
        <v>253</v>
      </c>
      <c r="C13" s="6">
        <v>0</v>
      </c>
      <c r="D13" s="6">
        <v>0</v>
      </c>
      <c r="E13" s="6">
        <v>0</v>
      </c>
      <c r="F13" s="6">
        <v>0</v>
      </c>
      <c r="G13" s="6">
        <v>0</v>
      </c>
      <c r="H13" s="6">
        <v>0</v>
      </c>
      <c r="I13" s="6">
        <v>0</v>
      </c>
      <c r="J13" s="6">
        <v>0</v>
      </c>
      <c r="K13" s="6">
        <f>'Step1-AggregateWIOD'!J7</f>
        <v>42645.155326576991</v>
      </c>
      <c r="M13" s="6">
        <f t="shared" si="0"/>
        <v>42645.155326576991</v>
      </c>
      <c r="N13">
        <f>1000*FRED!B19*'Step2a-NIPACalcs'!C9</f>
        <v>192992.98044302536</v>
      </c>
      <c r="O13" s="5" t="s">
        <v>277</v>
      </c>
      <c r="P13" s="9" t="s">
        <v>293</v>
      </c>
    </row>
    <row r="14" spans="1:16">
      <c r="B14" s="12" t="s">
        <v>254</v>
      </c>
      <c r="C14" s="6">
        <v>0</v>
      </c>
      <c r="D14" s="6">
        <v>0</v>
      </c>
      <c r="E14" s="6">
        <v>0</v>
      </c>
      <c r="F14" s="6">
        <v>0</v>
      </c>
      <c r="G14" s="6">
        <v>0</v>
      </c>
      <c r="H14">
        <f>'Step2a-NIPACalcs'!C$15*'Step1-AggregateWIOD'!H9</f>
        <v>157796.87740464488</v>
      </c>
      <c r="I14">
        <f>(1-'Step2a-NIPACalcs'!C$15)*'Step1-AggregateWIOD'!H9</f>
        <v>39276.102061506717</v>
      </c>
      <c r="J14" s="6">
        <f>'Step1-AggregateWIOD'!I9</f>
        <v>160883.9678614859</v>
      </c>
      <c r="K14">
        <v>0</v>
      </c>
      <c r="M14" s="6">
        <f t="shared" si="0"/>
        <v>357956.94732763746</v>
      </c>
      <c r="N14">
        <f>1000*FRED!B19*'Step2a-NIPACalcs'!C10</f>
        <v>591794.45719417278</v>
      </c>
      <c r="O14" s="5" t="s">
        <v>277</v>
      </c>
      <c r="P14" s="9" t="s">
        <v>294</v>
      </c>
    </row>
    <row r="15" spans="1:16">
      <c r="B15" s="12" t="s">
        <v>255</v>
      </c>
      <c r="C15" s="6">
        <v>0</v>
      </c>
      <c r="D15" s="6">
        <v>0</v>
      </c>
      <c r="E15" s="6">
        <v>0</v>
      </c>
      <c r="F15" s="6">
        <v>0</v>
      </c>
      <c r="G15" s="6">
        <v>0</v>
      </c>
      <c r="H15">
        <f>'Step2a-NIPACalcs'!C$15*'Step1-AggregateWIOD'!H10</f>
        <v>13036.85294206298</v>
      </c>
      <c r="I15">
        <f>(1-'Step2a-NIPACalcs'!C$15)*'Step1-AggregateWIOD'!H10</f>
        <v>3244.9106416743803</v>
      </c>
      <c r="J15" s="6">
        <f>'Step1-AggregateWIOD'!I10</f>
        <v>1434.0265293672894</v>
      </c>
      <c r="K15">
        <v>0</v>
      </c>
      <c r="M15" s="6">
        <f t="shared" si="0"/>
        <v>17715.790113104649</v>
      </c>
      <c r="N15">
        <f>1000*FRED!B19*'Step2a-NIPACalcs'!C11</f>
        <v>133476.85591698266</v>
      </c>
      <c r="O15" s="5" t="s">
        <v>277</v>
      </c>
      <c r="P15" s="9" t="s">
        <v>295</v>
      </c>
    </row>
    <row r="16" spans="1:16">
      <c r="B16" s="12" t="s">
        <v>313</v>
      </c>
      <c r="C16" s="6">
        <f>'Step1-AggregateWIOD'!C11</f>
        <v>1341879.7499000002</v>
      </c>
      <c r="D16" s="6">
        <v>0</v>
      </c>
      <c r="E16" s="6">
        <v>0</v>
      </c>
      <c r="F16" s="6">
        <v>0</v>
      </c>
      <c r="G16" s="6">
        <v>0</v>
      </c>
      <c r="H16" s="6">
        <v>0</v>
      </c>
      <c r="I16" s="6">
        <v>0</v>
      </c>
      <c r="J16" s="6">
        <v>0</v>
      </c>
      <c r="K16" s="6">
        <v>0</v>
      </c>
      <c r="M16" s="6">
        <f t="shared" si="0"/>
        <v>1341879.7499000002</v>
      </c>
      <c r="N16">
        <f>1000*FRED!B$19*'Step2a-NIPACalcs'!C$12*'Step2b-IVACalcs'!H23</f>
        <v>1388226.9697192027</v>
      </c>
      <c r="O16" s="5" t="s">
        <v>277</v>
      </c>
      <c r="P16" s="9" t="s">
        <v>500</v>
      </c>
    </row>
    <row r="17" spans="2:18">
      <c r="B17" s="12" t="s">
        <v>314</v>
      </c>
      <c r="C17" s="6">
        <v>0</v>
      </c>
      <c r="D17" s="6">
        <f>'Step1-AggregateWIOD'!D11</f>
        <v>5795044.3020000011</v>
      </c>
      <c r="E17" s="6">
        <v>0</v>
      </c>
      <c r="F17" s="6">
        <v>0</v>
      </c>
      <c r="G17" s="6">
        <v>0</v>
      </c>
      <c r="H17" s="6">
        <v>0</v>
      </c>
      <c r="I17" s="6">
        <v>0</v>
      </c>
      <c r="J17" s="6">
        <v>0</v>
      </c>
      <c r="K17" s="6">
        <v>0</v>
      </c>
      <c r="M17" s="6">
        <f t="shared" si="0"/>
        <v>5795044.3020000011</v>
      </c>
      <c r="N17">
        <f>1000*FRED!B$19*'Step2a-NIPACalcs'!C$12*'Step2b-IVACalcs'!H24</f>
        <v>5465524.7670465186</v>
      </c>
      <c r="O17" s="5" t="s">
        <v>277</v>
      </c>
      <c r="P17" s="9" t="s">
        <v>499</v>
      </c>
    </row>
    <row r="18" spans="2:18">
      <c r="B18" s="12" t="s">
        <v>315</v>
      </c>
      <c r="C18" s="6">
        <v>0</v>
      </c>
      <c r="D18" s="6">
        <v>0</v>
      </c>
      <c r="E18" s="6">
        <f>'Step1-AggregateWIOD'!E11</f>
        <v>312904.48044000001</v>
      </c>
      <c r="F18" s="6">
        <v>0</v>
      </c>
      <c r="G18" s="6">
        <v>0</v>
      </c>
      <c r="H18" s="6">
        <v>0</v>
      </c>
      <c r="I18" s="6">
        <v>0</v>
      </c>
      <c r="J18" s="6">
        <v>0</v>
      </c>
      <c r="K18" s="6">
        <v>0</v>
      </c>
      <c r="M18" s="6">
        <f t="shared" si="0"/>
        <v>312904.48044000001</v>
      </c>
      <c r="N18">
        <f>1000*FRED!B$19*'Step2a-NIPACalcs'!C$12*'Step2b-IVACalcs'!H25</f>
        <v>248324.77989761959</v>
      </c>
      <c r="O18" s="5" t="s">
        <v>277</v>
      </c>
      <c r="P18" s="9" t="s">
        <v>501</v>
      </c>
    </row>
    <row r="19" spans="2:18">
      <c r="B19" s="12" t="s">
        <v>262</v>
      </c>
      <c r="C19">
        <v>0</v>
      </c>
      <c r="D19">
        <v>0</v>
      </c>
      <c r="E19">
        <v>0</v>
      </c>
      <c r="F19" s="6">
        <f>'Step1-AggregateWIOD'!F11</f>
        <v>6355119.5140511477</v>
      </c>
      <c r="G19" s="6">
        <f>'Step1-AggregateWIOD'!G11</f>
        <v>15353610.853376705</v>
      </c>
      <c r="H19" s="6">
        <v>0</v>
      </c>
      <c r="I19" s="6">
        <v>0</v>
      </c>
      <c r="J19" s="6">
        <v>0</v>
      </c>
      <c r="K19" s="6">
        <v>0</v>
      </c>
      <c r="M19" s="6">
        <f t="shared" si="0"/>
        <v>21708730.367427852</v>
      </c>
      <c r="N19">
        <f>SUM(N16:N18)*SUM('Step1-AggregateWIOD'!F11:G11)/SUM('Step1-AggregateWIOD'!C11:E11)</f>
        <v>20695384.260160748</v>
      </c>
      <c r="O19" s="5" t="s">
        <v>277</v>
      </c>
      <c r="P19" s="9" t="s">
        <v>278</v>
      </c>
    </row>
    <row r="20" spans="2:18">
      <c r="B20" s="12"/>
    </row>
    <row r="21" spans="2:18">
      <c r="B21" s="18" t="s">
        <v>258</v>
      </c>
      <c r="C21" s="6">
        <f t="shared" ref="C21:K21" si="1">SUM(C7:C19)</f>
        <v>1341879.7499000002</v>
      </c>
      <c r="D21" s="6">
        <f t="shared" si="1"/>
        <v>5795044.3020000011</v>
      </c>
      <c r="E21" s="6">
        <f t="shared" si="1"/>
        <v>312904.48044000001</v>
      </c>
      <c r="F21" s="6">
        <f t="shared" si="1"/>
        <v>6355119.5140511477</v>
      </c>
      <c r="G21" s="6">
        <f t="shared" si="1"/>
        <v>15353610.853376705</v>
      </c>
      <c r="H21" s="6">
        <f t="shared" si="1"/>
        <v>4916558.2582975468</v>
      </c>
      <c r="I21" s="6">
        <f t="shared" si="1"/>
        <v>1223745.6603723266</v>
      </c>
      <c r="J21" s="6">
        <f t="shared" si="1"/>
        <v>1380552.1836627007</v>
      </c>
      <c r="K21" s="6">
        <f t="shared" si="1"/>
        <v>21637664.638182852</v>
      </c>
      <c r="P21" s="24"/>
      <c r="Q21" s="2"/>
      <c r="R21" s="2"/>
    </row>
    <row r="22" spans="2:18">
      <c r="B22" s="18" t="s">
        <v>259</v>
      </c>
      <c r="C22" s="6">
        <f>N16</f>
        <v>1388226.9697192027</v>
      </c>
      <c r="D22" s="6">
        <f>N17</f>
        <v>5465524.7670465186</v>
      </c>
      <c r="E22" s="6">
        <f>N18</f>
        <v>248324.77989761959</v>
      </c>
      <c r="F22" s="6">
        <f>('Step4-Normalize'!G12/SUM('Step4-Normalize'!G12:H12))*'Step3-Balance-NoIO'!N19</f>
        <v>6049258.0000288915</v>
      </c>
      <c r="G22" s="6">
        <f>('Step4-Normalize'!H12/SUM('Step4-Normalize'!G12:H12))*'Step3-Balance-NoIO'!N19</f>
        <v>14646126.260131855</v>
      </c>
      <c r="H22">
        <f>FRED!B19*1000*'Step2a-NIPACalcs'!C5</f>
        <v>4578505.9519058075</v>
      </c>
      <c r="I22">
        <f>1000*'Step2a-NIPACalcs'!C6*FRED!B19</f>
        <v>1139603.457393734</v>
      </c>
      <c r="J22">
        <f>1000*FRED!B19*'Step2a-NIPACalcs'!C7</f>
        <v>1421762.0185591697</v>
      </c>
      <c r="K22">
        <f>N19-N14-N15+N12+N13</f>
        <v>20657589.34896538</v>
      </c>
      <c r="P22" s="2"/>
      <c r="Q22" s="2"/>
      <c r="R22" s="2"/>
    </row>
    <row r="23" spans="2:18">
      <c r="C23" s="5" t="s">
        <v>273</v>
      </c>
      <c r="D23" s="5" t="s">
        <v>273</v>
      </c>
      <c r="E23" s="5" t="s">
        <v>273</v>
      </c>
      <c r="F23" s="5" t="s">
        <v>273</v>
      </c>
      <c r="G23" s="5" t="s">
        <v>273</v>
      </c>
      <c r="H23" s="5" t="s">
        <v>273</v>
      </c>
      <c r="I23" s="5" t="s">
        <v>273</v>
      </c>
      <c r="J23" s="1" t="s">
        <v>273</v>
      </c>
      <c r="K23" s="5" t="s">
        <v>273</v>
      </c>
      <c r="P23" s="2"/>
      <c r="Q23" s="2"/>
      <c r="R23" s="2"/>
    </row>
    <row r="24" spans="2:18" ht="45">
      <c r="C24" s="23" t="s">
        <v>488</v>
      </c>
      <c r="D24" s="23" t="s">
        <v>489</v>
      </c>
      <c r="E24" s="23" t="s">
        <v>490</v>
      </c>
      <c r="F24" s="23" t="s">
        <v>491</v>
      </c>
      <c r="G24" s="23" t="s">
        <v>492</v>
      </c>
      <c r="H24" s="23" t="s">
        <v>275</v>
      </c>
      <c r="I24" s="23" t="s">
        <v>274</v>
      </c>
      <c r="J24" s="23" t="s">
        <v>276</v>
      </c>
      <c r="K24" s="23" t="s">
        <v>281</v>
      </c>
      <c r="P24" s="24"/>
      <c r="Q24" s="2"/>
      <c r="R24" s="2"/>
    </row>
    <row r="25" spans="2:18">
      <c r="P25" s="24"/>
      <c r="Q25" s="2"/>
      <c r="R25" s="2"/>
    </row>
    <row r="26" spans="2:18">
      <c r="B26" s="3" t="s">
        <v>280</v>
      </c>
      <c r="P26" s="25"/>
    </row>
    <row r="28" spans="2:18">
      <c r="C28" s="200" t="s">
        <v>83</v>
      </c>
      <c r="D28" s="200"/>
      <c r="E28" s="200"/>
      <c r="F28" s="200"/>
      <c r="G28" s="200"/>
      <c r="H28" s="199" t="s">
        <v>84</v>
      </c>
      <c r="I28" s="199"/>
      <c r="J28" s="199"/>
      <c r="K28" s="199"/>
      <c r="L28" s="13"/>
    </row>
    <row r="29" spans="2:18">
      <c r="C29" s="186" t="s">
        <v>85</v>
      </c>
      <c r="D29" s="186" t="s">
        <v>86</v>
      </c>
      <c r="E29" s="186" t="s">
        <v>87</v>
      </c>
      <c r="F29" s="186" t="s">
        <v>88</v>
      </c>
      <c r="G29" s="186" t="s">
        <v>89</v>
      </c>
      <c r="H29" s="186" t="s">
        <v>94</v>
      </c>
      <c r="I29" s="186" t="s">
        <v>93</v>
      </c>
      <c r="J29" s="186" t="s">
        <v>95</v>
      </c>
      <c r="K29" s="186" t="s">
        <v>92</v>
      </c>
      <c r="L29" s="186"/>
      <c r="M29" s="20" t="s">
        <v>308</v>
      </c>
      <c r="N29" s="19" t="s">
        <v>257</v>
      </c>
      <c r="O29" s="19" t="s">
        <v>310</v>
      </c>
    </row>
    <row r="30" spans="2:18">
      <c r="B30" s="12" t="s">
        <v>247</v>
      </c>
      <c r="C30" s="6">
        <v>0</v>
      </c>
      <c r="D30" s="6">
        <v>0</v>
      </c>
      <c r="E30" s="6">
        <v>0</v>
      </c>
      <c r="F30" s="6">
        <v>0</v>
      </c>
      <c r="G30" s="6">
        <v>0</v>
      </c>
      <c r="H30">
        <v>366466.36154350702</v>
      </c>
      <c r="I30">
        <v>91214.544006357668</v>
      </c>
      <c r="J30" s="6">
        <v>436062.64269721409</v>
      </c>
      <c r="K30">
        <v>0</v>
      </c>
      <c r="M30" s="6">
        <f>SUM(C30:K30)</f>
        <v>893743.54824707878</v>
      </c>
      <c r="N30" s="6">
        <f t="shared" ref="N30:N41" si="2">N7</f>
        <v>893743.54824644281</v>
      </c>
      <c r="O30" s="51">
        <f>N30-M30</f>
        <v>-6.3597690314054489E-7</v>
      </c>
    </row>
    <row r="31" spans="2:18">
      <c r="B31" s="12" t="s">
        <v>248</v>
      </c>
      <c r="C31" s="6">
        <v>0</v>
      </c>
      <c r="D31" s="6">
        <v>0</v>
      </c>
      <c r="E31" s="6">
        <v>0</v>
      </c>
      <c r="F31" s="6">
        <v>0</v>
      </c>
      <c r="G31" s="6">
        <v>0</v>
      </c>
      <c r="H31">
        <v>3923723.8258944578</v>
      </c>
      <c r="I31">
        <v>976626.28045426751</v>
      </c>
      <c r="J31" s="6">
        <v>372181.68025309802</v>
      </c>
      <c r="K31">
        <v>0</v>
      </c>
      <c r="M31" s="6">
        <f t="shared" ref="M31:M42" si="3">SUM(C31:K31)</f>
        <v>5272531.7866018228</v>
      </c>
      <c r="N31" s="6">
        <f t="shared" si="2"/>
        <v>5272531.7866034936</v>
      </c>
      <c r="O31" s="51">
        <f t="shared" ref="O31:O42" si="4">N31-M31</f>
        <v>1.6707926988601685E-6</v>
      </c>
    </row>
    <row r="32" spans="2:18">
      <c r="B32" s="12" t="s">
        <v>249</v>
      </c>
      <c r="C32" s="6">
        <v>0</v>
      </c>
      <c r="D32" s="6">
        <v>0</v>
      </c>
      <c r="E32" s="6">
        <v>0</v>
      </c>
      <c r="F32" s="6">
        <v>0</v>
      </c>
      <c r="G32" s="6">
        <v>0</v>
      </c>
      <c r="H32">
        <v>0</v>
      </c>
      <c r="I32" s="6">
        <v>0</v>
      </c>
      <c r="J32" s="6">
        <v>248324.77989810973</v>
      </c>
      <c r="K32" s="6">
        <v>0</v>
      </c>
      <c r="M32" s="6">
        <f t="shared" si="3"/>
        <v>248324.77989810973</v>
      </c>
      <c r="N32" s="6">
        <f t="shared" si="2"/>
        <v>248324.77989761959</v>
      </c>
      <c r="O32" s="51">
        <f t="shared" si="4"/>
        <v>-4.901376087218523E-7</v>
      </c>
    </row>
    <row r="33" spans="1:15">
      <c r="B33" s="12" t="s">
        <v>250</v>
      </c>
      <c r="C33" s="6">
        <v>0</v>
      </c>
      <c r="D33" s="6">
        <v>0</v>
      </c>
      <c r="E33" s="6">
        <v>0</v>
      </c>
      <c r="F33" s="6">
        <v>0</v>
      </c>
      <c r="G33" s="6">
        <v>0</v>
      </c>
      <c r="H33" s="6">
        <v>0</v>
      </c>
      <c r="I33" s="6">
        <v>0</v>
      </c>
      <c r="J33" s="6">
        <v>0</v>
      </c>
      <c r="K33" s="6">
        <v>5457463.5428347187</v>
      </c>
      <c r="M33" s="6">
        <f t="shared" si="3"/>
        <v>5457463.5428347187</v>
      </c>
      <c r="N33" s="6">
        <f t="shared" si="2"/>
        <v>5457463.5428347187</v>
      </c>
      <c r="O33" s="51">
        <f t="shared" si="4"/>
        <v>0</v>
      </c>
    </row>
    <row r="34" spans="1:15">
      <c r="B34" s="12" t="s">
        <v>251</v>
      </c>
      <c r="C34" s="6">
        <v>0</v>
      </c>
      <c r="D34" s="6">
        <v>0</v>
      </c>
      <c r="E34" s="6">
        <v>0</v>
      </c>
      <c r="F34" s="6">
        <v>0</v>
      </c>
      <c r="G34" s="6">
        <v>0</v>
      </c>
      <c r="H34" s="6">
        <v>0</v>
      </c>
      <c r="I34" s="6">
        <v>0</v>
      </c>
      <c r="J34" s="6">
        <v>0</v>
      </c>
      <c r="K34" s="6">
        <v>14512649.404214872</v>
      </c>
      <c r="M34" s="6">
        <f t="shared" si="3"/>
        <v>14512649.404214872</v>
      </c>
      <c r="N34" s="6">
        <f t="shared" si="2"/>
        <v>14512649.404214872</v>
      </c>
      <c r="O34" s="51">
        <f t="shared" si="4"/>
        <v>0</v>
      </c>
    </row>
    <row r="35" spans="1:15">
      <c r="B35" s="12" t="s">
        <v>252</v>
      </c>
      <c r="C35" s="6">
        <v>0</v>
      </c>
      <c r="D35" s="6">
        <v>0</v>
      </c>
      <c r="E35" s="6">
        <v>0</v>
      </c>
      <c r="F35" s="6">
        <v>0</v>
      </c>
      <c r="G35" s="6">
        <v>0</v>
      </c>
      <c r="H35" s="6">
        <v>0</v>
      </c>
      <c r="I35" s="6">
        <v>0</v>
      </c>
      <c r="J35" s="6">
        <v>0</v>
      </c>
      <c r="K35" s="6">
        <v>494483.42147275998</v>
      </c>
      <c r="M35" s="6">
        <f t="shared" si="3"/>
        <v>494483.42147275998</v>
      </c>
      <c r="N35">
        <f t="shared" si="2"/>
        <v>494483.42147275998</v>
      </c>
      <c r="O35" s="51">
        <f t="shared" si="4"/>
        <v>0</v>
      </c>
    </row>
    <row r="36" spans="1:15">
      <c r="B36" s="12" t="s">
        <v>253</v>
      </c>
      <c r="C36" s="6">
        <v>0</v>
      </c>
      <c r="D36" s="6">
        <v>0</v>
      </c>
      <c r="E36" s="6">
        <v>0</v>
      </c>
      <c r="F36" s="6">
        <v>0</v>
      </c>
      <c r="G36" s="6">
        <v>0</v>
      </c>
      <c r="H36" s="6">
        <v>0</v>
      </c>
      <c r="I36" s="6">
        <v>0</v>
      </c>
      <c r="J36" s="6">
        <v>0</v>
      </c>
      <c r="K36" s="6">
        <v>192992.98044302536</v>
      </c>
      <c r="M36" s="6">
        <f t="shared" si="3"/>
        <v>192992.98044302536</v>
      </c>
      <c r="N36">
        <f t="shared" si="2"/>
        <v>192992.98044302536</v>
      </c>
      <c r="O36" s="51">
        <f t="shared" si="4"/>
        <v>0</v>
      </c>
    </row>
    <row r="37" spans="1:15">
      <c r="B37" s="12" t="s">
        <v>254</v>
      </c>
      <c r="C37" s="6">
        <v>0</v>
      </c>
      <c r="D37" s="6">
        <v>0</v>
      </c>
      <c r="E37" s="6">
        <v>0</v>
      </c>
      <c r="F37" s="6">
        <v>0</v>
      </c>
      <c r="G37" s="6">
        <v>0</v>
      </c>
      <c r="H37">
        <v>195654.85443713583</v>
      </c>
      <c r="I37">
        <v>48699.06273237813</v>
      </c>
      <c r="J37" s="6">
        <v>347440.54002522462</v>
      </c>
      <c r="K37">
        <v>0</v>
      </c>
      <c r="M37" s="6">
        <f t="shared" si="3"/>
        <v>591794.45719473856</v>
      </c>
      <c r="N37">
        <f t="shared" si="2"/>
        <v>591794.45719417278</v>
      </c>
      <c r="O37" s="51">
        <f t="shared" si="4"/>
        <v>-5.657784640789032E-7</v>
      </c>
    </row>
    <row r="38" spans="1:15">
      <c r="B38" s="12" t="s">
        <v>255</v>
      </c>
      <c r="C38" s="6">
        <v>0</v>
      </c>
      <c r="D38" s="6">
        <v>0</v>
      </c>
      <c r="E38" s="6">
        <v>0</v>
      </c>
      <c r="F38" s="6">
        <v>0</v>
      </c>
      <c r="G38" s="6">
        <v>0</v>
      </c>
      <c r="H38">
        <v>92660.910030706771</v>
      </c>
      <c r="I38">
        <v>23063.570200730759</v>
      </c>
      <c r="J38" s="6">
        <v>17752.375685523391</v>
      </c>
      <c r="K38">
        <v>0</v>
      </c>
      <c r="M38" s="6">
        <f t="shared" si="3"/>
        <v>133476.85591696092</v>
      </c>
      <c r="N38">
        <f t="shared" si="2"/>
        <v>133476.85591698266</v>
      </c>
      <c r="O38" s="51">
        <f t="shared" si="4"/>
        <v>2.1740561351180077E-8</v>
      </c>
    </row>
    <row r="39" spans="1:15">
      <c r="B39" s="12" t="s">
        <v>317</v>
      </c>
      <c r="C39" s="6">
        <v>1388226.9697192027</v>
      </c>
      <c r="D39" s="6">
        <v>0</v>
      </c>
      <c r="E39" s="6">
        <v>0</v>
      </c>
      <c r="F39" s="6">
        <v>0</v>
      </c>
      <c r="G39" s="6">
        <v>0</v>
      </c>
      <c r="H39" s="6">
        <v>0</v>
      </c>
      <c r="I39" s="6">
        <v>0</v>
      </c>
      <c r="J39" s="6">
        <v>0</v>
      </c>
      <c r="K39" s="6">
        <v>0</v>
      </c>
      <c r="M39" s="6">
        <f t="shared" si="3"/>
        <v>1388226.9697192027</v>
      </c>
      <c r="N39">
        <f t="shared" si="2"/>
        <v>1388226.9697192027</v>
      </c>
      <c r="O39" s="51">
        <f t="shared" si="4"/>
        <v>0</v>
      </c>
    </row>
    <row r="40" spans="1:15">
      <c r="B40" s="12" t="s">
        <v>316</v>
      </c>
      <c r="C40" s="6">
        <v>0</v>
      </c>
      <c r="D40" s="6">
        <v>5465524.7670465186</v>
      </c>
      <c r="E40" s="6">
        <v>0</v>
      </c>
      <c r="F40" s="6">
        <v>0</v>
      </c>
      <c r="G40" s="6">
        <v>0</v>
      </c>
      <c r="H40" s="6">
        <v>0</v>
      </c>
      <c r="I40" s="6">
        <v>0</v>
      </c>
      <c r="J40" s="6">
        <v>0</v>
      </c>
      <c r="K40" s="6">
        <v>0</v>
      </c>
      <c r="M40" s="6">
        <f t="shared" si="3"/>
        <v>5465524.7670465186</v>
      </c>
      <c r="N40">
        <f t="shared" si="2"/>
        <v>5465524.7670465186</v>
      </c>
      <c r="O40" s="51">
        <f t="shared" si="4"/>
        <v>0</v>
      </c>
    </row>
    <row r="41" spans="1:15">
      <c r="B41" s="12" t="s">
        <v>315</v>
      </c>
      <c r="C41" s="6">
        <v>0</v>
      </c>
      <c r="D41" s="6">
        <v>0</v>
      </c>
      <c r="E41" s="6">
        <v>248324.77989761959</v>
      </c>
      <c r="F41" s="6">
        <v>0</v>
      </c>
      <c r="G41" s="6">
        <v>0</v>
      </c>
      <c r="H41" s="6">
        <v>0</v>
      </c>
      <c r="I41" s="6">
        <v>0</v>
      </c>
      <c r="J41" s="6">
        <v>0</v>
      </c>
      <c r="K41" s="6">
        <v>0</v>
      </c>
      <c r="M41" s="6">
        <f t="shared" si="3"/>
        <v>248324.77989761959</v>
      </c>
      <c r="N41">
        <f t="shared" si="2"/>
        <v>248324.77989761959</v>
      </c>
      <c r="O41" s="51">
        <f t="shared" si="4"/>
        <v>0</v>
      </c>
    </row>
    <row r="42" spans="1:15">
      <c r="B42" s="12" t="s">
        <v>262</v>
      </c>
      <c r="C42">
        <v>0</v>
      </c>
      <c r="D42">
        <v>0</v>
      </c>
      <c r="E42">
        <v>0</v>
      </c>
      <c r="F42" s="6">
        <v>6049258.0000288915</v>
      </c>
      <c r="G42" s="6">
        <v>14646126.260131855</v>
      </c>
      <c r="H42">
        <v>0</v>
      </c>
      <c r="I42" s="6">
        <v>0</v>
      </c>
      <c r="J42" s="6">
        <v>0</v>
      </c>
      <c r="K42" s="6">
        <v>0</v>
      </c>
      <c r="M42" s="6">
        <f t="shared" si="3"/>
        <v>20695384.260160744</v>
      </c>
      <c r="N42">
        <f>N19</f>
        <v>20695384.260160748</v>
      </c>
      <c r="O42" s="51">
        <f t="shared" si="4"/>
        <v>0</v>
      </c>
    </row>
    <row r="43" spans="1:15">
      <c r="B43" s="12"/>
    </row>
    <row r="44" spans="1:15">
      <c r="B44" s="18" t="s">
        <v>309</v>
      </c>
      <c r="C44" s="6">
        <f t="shared" ref="C44:K44" si="5">SUM(C30:C42)</f>
        <v>1388226.9697192027</v>
      </c>
      <c r="D44" s="6">
        <f t="shared" si="5"/>
        <v>5465524.7670465186</v>
      </c>
      <c r="E44" s="6">
        <f t="shared" si="5"/>
        <v>248324.77989761959</v>
      </c>
      <c r="F44" s="6">
        <f t="shared" si="5"/>
        <v>6049258.0000288915</v>
      </c>
      <c r="G44" s="6">
        <f t="shared" si="5"/>
        <v>14646126.260131855</v>
      </c>
      <c r="H44" s="6">
        <f t="shared" si="5"/>
        <v>4578505.9519058075</v>
      </c>
      <c r="I44" s="6">
        <f t="shared" si="5"/>
        <v>1139603.457393734</v>
      </c>
      <c r="J44" s="6">
        <f t="shared" si="5"/>
        <v>1421762.01855917</v>
      </c>
      <c r="K44" s="6">
        <f t="shared" si="5"/>
        <v>20657589.34896538</v>
      </c>
    </row>
    <row r="45" spans="1:15">
      <c r="B45" s="18" t="s">
        <v>259</v>
      </c>
      <c r="C45" s="6">
        <f>C22</f>
        <v>1388226.9697192027</v>
      </c>
      <c r="D45" s="6">
        <f t="shared" ref="D45:K45" si="6">D22</f>
        <v>5465524.7670465186</v>
      </c>
      <c r="E45" s="6">
        <f t="shared" si="6"/>
        <v>248324.77989761959</v>
      </c>
      <c r="F45" s="6">
        <f t="shared" si="6"/>
        <v>6049258.0000288915</v>
      </c>
      <c r="G45" s="6">
        <f t="shared" si="6"/>
        <v>14646126.260131855</v>
      </c>
      <c r="H45" s="6">
        <f t="shared" si="6"/>
        <v>4578505.9519058075</v>
      </c>
      <c r="I45" s="6">
        <f t="shared" si="6"/>
        <v>1139603.457393734</v>
      </c>
      <c r="J45" s="6">
        <f t="shared" si="6"/>
        <v>1421762.0185591697</v>
      </c>
      <c r="K45" s="6">
        <f t="shared" si="6"/>
        <v>20657589.34896538</v>
      </c>
    </row>
    <row r="46" spans="1:15">
      <c r="B46" s="18" t="s">
        <v>310</v>
      </c>
      <c r="C46" s="51">
        <f>C45-C44</f>
        <v>0</v>
      </c>
      <c r="D46" s="51">
        <f t="shared" ref="D46:K46" si="7">D45-D44</f>
        <v>0</v>
      </c>
      <c r="E46" s="51">
        <f t="shared" si="7"/>
        <v>0</v>
      </c>
      <c r="F46" s="51">
        <f t="shared" si="7"/>
        <v>0</v>
      </c>
      <c r="G46" s="51">
        <f t="shared" si="7"/>
        <v>0</v>
      </c>
      <c r="H46" s="51">
        <f t="shared" si="7"/>
        <v>0</v>
      </c>
      <c r="I46" s="51">
        <f t="shared" si="7"/>
        <v>0</v>
      </c>
      <c r="J46" s="51">
        <f t="shared" si="7"/>
        <v>0</v>
      </c>
      <c r="K46" s="51">
        <f t="shared" si="7"/>
        <v>0</v>
      </c>
    </row>
    <row r="48" spans="1:15">
      <c r="A48" s="3" t="s">
        <v>96</v>
      </c>
      <c r="B48" s="26" t="s">
        <v>296</v>
      </c>
    </row>
    <row r="49" spans="2:2">
      <c r="B49" s="8" t="s">
        <v>297</v>
      </c>
    </row>
    <row r="50" spans="2:2">
      <c r="B50" s="8" t="s">
        <v>298</v>
      </c>
    </row>
  </sheetData>
  <mergeCells count="4">
    <mergeCell ref="C5:G5"/>
    <mergeCell ref="H5:K5"/>
    <mergeCell ref="C28:G28"/>
    <mergeCell ref="H28:K28"/>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50"/>
  <sheetViews>
    <sheetView zoomScale="75" zoomScaleNormal="75" workbookViewId="0">
      <pane xSplit="2" topLeftCell="C1" activePane="topRight" state="frozen"/>
      <selection activeCell="H113" sqref="H113"/>
      <selection pane="topRight" activeCell="C30" sqref="C30"/>
    </sheetView>
  </sheetViews>
  <sheetFormatPr defaultRowHeight="15"/>
  <cols>
    <col min="2" max="2" width="28.75" bestFit="1" customWidth="1"/>
    <col min="3" max="11" width="20.125" customWidth="1"/>
    <col min="12" max="12" width="3.375" customWidth="1"/>
    <col min="13" max="14" width="18.875" customWidth="1"/>
    <col min="15" max="15" width="10.625" bestFit="1" customWidth="1"/>
  </cols>
  <sheetData>
    <row r="1" spans="1:16" ht="18.75">
      <c r="A1" s="10" t="s">
        <v>246</v>
      </c>
    </row>
    <row r="3" spans="1:16">
      <c r="B3" s="3" t="s">
        <v>279</v>
      </c>
    </row>
    <row r="5" spans="1:16">
      <c r="C5" s="200" t="s">
        <v>83</v>
      </c>
      <c r="D5" s="200"/>
      <c r="E5" s="200"/>
      <c r="F5" s="200"/>
      <c r="G5" s="200"/>
      <c r="H5" s="199" t="s">
        <v>84</v>
      </c>
      <c r="I5" s="199"/>
      <c r="J5" s="199"/>
      <c r="K5" s="199"/>
      <c r="L5" s="13"/>
    </row>
    <row r="6" spans="1:16">
      <c r="C6" s="174" t="s">
        <v>85</v>
      </c>
      <c r="D6" s="174" t="s">
        <v>86</v>
      </c>
      <c r="E6" s="174" t="s">
        <v>87</v>
      </c>
      <c r="F6" s="174" t="s">
        <v>88</v>
      </c>
      <c r="G6" s="174" t="s">
        <v>89</v>
      </c>
      <c r="H6" s="174" t="s">
        <v>94</v>
      </c>
      <c r="I6" s="174" t="s">
        <v>93</v>
      </c>
      <c r="J6" s="174" t="s">
        <v>95</v>
      </c>
      <c r="K6" s="174" t="s">
        <v>92</v>
      </c>
      <c r="L6" s="174"/>
      <c r="M6" s="20" t="s">
        <v>256</v>
      </c>
      <c r="N6" s="19" t="s">
        <v>257</v>
      </c>
    </row>
    <row r="7" spans="1:16">
      <c r="B7" s="12" t="s">
        <v>247</v>
      </c>
      <c r="C7" s="6">
        <f>'Step1-AggregateWIOD'!C6</f>
        <v>1457664.4256283147</v>
      </c>
      <c r="D7" s="6">
        <f>'Step1-AggregateWIOD'!D6</f>
        <v>591824.30158035248</v>
      </c>
      <c r="E7" s="6">
        <f>'Step1-AggregateWIOD'!E6</f>
        <v>180657.11863607931</v>
      </c>
      <c r="F7" s="6">
        <v>0</v>
      </c>
      <c r="G7" s="6">
        <v>0</v>
      </c>
      <c r="H7">
        <f>'Step1-AggregateWIOD'!H6*'Step2a-NIPACalcs'!C$15</f>
        <v>591205.40764462412</v>
      </c>
      <c r="I7">
        <f>(1-'Step2a-NIPACalcs'!C$15)*'Step1-AggregateWIOD'!H6</f>
        <v>147152.74669485592</v>
      </c>
      <c r="J7" s="6">
        <f>'Step1-AggregateWIOD'!I6</f>
        <v>403903.5442850886</v>
      </c>
      <c r="K7" s="6">
        <v>0</v>
      </c>
      <c r="M7" s="6">
        <f>SUM(C7:K7)</f>
        <v>3372407.5444693151</v>
      </c>
      <c r="N7" s="6">
        <f>C22-N12</f>
        <v>2360447.8605704717</v>
      </c>
      <c r="O7" s="5" t="s">
        <v>277</v>
      </c>
      <c r="P7" s="9" t="s">
        <v>291</v>
      </c>
    </row>
    <row r="8" spans="1:16">
      <c r="B8" s="12" t="s">
        <v>248</v>
      </c>
      <c r="C8" s="6">
        <f>'Step1-AggregateWIOD'!C7</f>
        <v>779095.45130959386</v>
      </c>
      <c r="D8" s="6">
        <f>'Step1-AggregateWIOD'!D7</f>
        <v>2284879.7721782909</v>
      </c>
      <c r="E8" s="6">
        <f>'Step1-AggregateWIOD'!E7</f>
        <v>168030.50841478771</v>
      </c>
      <c r="F8" s="6">
        <v>0</v>
      </c>
      <c r="G8" s="6">
        <v>0</v>
      </c>
      <c r="H8">
        <f>'Step1-AggregateWIOD'!H7*'Step2a-NIPACalcs'!C$15</f>
        <v>4154519.1203062152</v>
      </c>
      <c r="I8">
        <f>(1-'Step2a-NIPACalcs'!C$15)*'Step1-AggregateWIOD'!H7</f>
        <v>1034071.9009742894</v>
      </c>
      <c r="J8" s="6">
        <f>'Step1-AggregateWIOD'!I7</f>
        <v>226256.89498675888</v>
      </c>
      <c r="K8">
        <v>0</v>
      </c>
      <c r="M8" s="6">
        <f t="shared" ref="M8:M19" si="0">SUM(C8:K8)</f>
        <v>8646853.6481699347</v>
      </c>
      <c r="N8" s="6">
        <f>D22-N13</f>
        <v>10302788.783728747</v>
      </c>
      <c r="O8" s="5" t="s">
        <v>277</v>
      </c>
      <c r="P8" s="9" t="s">
        <v>287</v>
      </c>
    </row>
    <row r="9" spans="1:16">
      <c r="B9" s="12" t="s">
        <v>249</v>
      </c>
      <c r="C9" s="6">
        <v>0</v>
      </c>
      <c r="D9" s="6">
        <v>0</v>
      </c>
      <c r="E9" s="6">
        <v>0</v>
      </c>
      <c r="F9" s="6">
        <v>0</v>
      </c>
      <c r="G9" s="6">
        <v>0</v>
      </c>
      <c r="H9">
        <v>0</v>
      </c>
      <c r="I9" s="6">
        <v>0</v>
      </c>
      <c r="J9" s="6">
        <f>'Step1-AggregateWIOD'!I8</f>
        <v>588073.75</v>
      </c>
      <c r="K9" s="6">
        <v>0</v>
      </c>
      <c r="M9" s="6">
        <f t="shared" si="0"/>
        <v>588073.75</v>
      </c>
      <c r="N9" s="6">
        <f>E22</f>
        <v>483722.3474105749</v>
      </c>
      <c r="O9" s="5" t="s">
        <v>277</v>
      </c>
      <c r="P9" s="9" t="s">
        <v>288</v>
      </c>
    </row>
    <row r="10" spans="1:16">
      <c r="B10" s="12" t="s">
        <v>250</v>
      </c>
      <c r="C10" s="6">
        <v>0</v>
      </c>
      <c r="D10" s="6">
        <v>0</v>
      </c>
      <c r="E10" s="6">
        <v>0</v>
      </c>
      <c r="F10" s="6">
        <f>'Step1-AggregateWIOD'!F9</f>
        <v>6635482.6183962869</v>
      </c>
      <c r="G10" s="6">
        <f>'Step1-AggregateWIOD'!G9</f>
        <v>3041230.643553535</v>
      </c>
      <c r="H10" s="6">
        <v>0</v>
      </c>
      <c r="I10" s="6">
        <v>0</v>
      </c>
      <c r="J10" s="6">
        <v>0</v>
      </c>
      <c r="K10" s="6">
        <f>'Step1-AggregateWIOD'!J9</f>
        <v>6080735.9890204975</v>
      </c>
      <c r="M10" s="6">
        <f t="shared" si="0"/>
        <v>15757449.250970319</v>
      </c>
      <c r="N10" s="6">
        <f>F22-N14</f>
        <v>15356570.821539924</v>
      </c>
      <c r="O10" s="5" t="s">
        <v>277</v>
      </c>
      <c r="P10" s="9" t="s">
        <v>289</v>
      </c>
    </row>
    <row r="11" spans="1:16">
      <c r="B11" s="12" t="s">
        <v>251</v>
      </c>
      <c r="C11" s="6">
        <v>0</v>
      </c>
      <c r="D11" s="6">
        <v>0</v>
      </c>
      <c r="E11" s="6">
        <v>0</v>
      </c>
      <c r="F11" s="6">
        <f>'Step1-AggregateWIOD'!F10</f>
        <v>3184994.4959528297</v>
      </c>
      <c r="G11" s="6">
        <f>'Step1-AggregateWIOD'!G10</f>
        <v>6615874.9736709194</v>
      </c>
      <c r="H11" s="6">
        <v>0</v>
      </c>
      <c r="I11" s="6">
        <v>0</v>
      </c>
      <c r="J11" s="6">
        <v>0</v>
      </c>
      <c r="K11" s="6">
        <f>'Step1-AggregateWIOD'!J10</f>
        <v>15312524.024034129</v>
      </c>
      <c r="M11" s="6">
        <f t="shared" si="0"/>
        <v>25113393.49365788</v>
      </c>
      <c r="N11" s="6">
        <f>G22-N15</f>
        <v>23678367.937480278</v>
      </c>
      <c r="O11" s="5" t="s">
        <v>277</v>
      </c>
      <c r="P11" s="9" t="s">
        <v>290</v>
      </c>
    </row>
    <row r="12" spans="1:16">
      <c r="B12" s="12" t="s">
        <v>252</v>
      </c>
      <c r="C12" s="6">
        <v>0</v>
      </c>
      <c r="D12" s="6">
        <v>0</v>
      </c>
      <c r="E12" s="6">
        <v>0</v>
      </c>
      <c r="F12" s="6">
        <f>'Step1-AggregateWIOD'!F6</f>
        <v>230577.65280182436</v>
      </c>
      <c r="G12" s="6">
        <f>'Step1-AggregateWIOD'!G6</f>
        <v>84161.899337216688</v>
      </c>
      <c r="H12" s="6">
        <v>0</v>
      </c>
      <c r="I12" s="6">
        <v>0</v>
      </c>
      <c r="J12" s="6">
        <v>0</v>
      </c>
      <c r="K12" s="6">
        <f>'Step1-AggregateWIOD'!J6</f>
        <v>201759.46980164474</v>
      </c>
      <c r="M12" s="6">
        <f t="shared" si="0"/>
        <v>516499.02194068575</v>
      </c>
      <c r="N12">
        <f>1000*FRED!B19*('Step2a-NIPACalcs'!C8+'Step2a-NIPACalcs'!C9)/2</f>
        <v>343738.20095789264</v>
      </c>
      <c r="O12" s="5" t="s">
        <v>277</v>
      </c>
      <c r="P12" s="9" t="s">
        <v>292</v>
      </c>
    </row>
    <row r="13" spans="1:16">
      <c r="B13" s="12" t="s">
        <v>253</v>
      </c>
      <c r="C13" s="6">
        <v>0</v>
      </c>
      <c r="D13" s="6">
        <v>0</v>
      </c>
      <c r="E13" s="6">
        <v>0</v>
      </c>
      <c r="F13" s="6">
        <f>'Step1-AggregateWIOD'!F7</f>
        <v>82720.572507183431</v>
      </c>
      <c r="G13" s="6">
        <f>'Step1-AggregateWIOD'!G7</f>
        <v>123289.03514630221</v>
      </c>
      <c r="H13" s="6">
        <v>0</v>
      </c>
      <c r="I13" s="6">
        <v>0</v>
      </c>
      <c r="J13" s="6">
        <v>0</v>
      </c>
      <c r="K13" s="6">
        <f>'Step1-AggregateWIOD'!J7</f>
        <v>42645.155326576991</v>
      </c>
      <c r="M13" s="6">
        <f t="shared" si="0"/>
        <v>248654.76298006263</v>
      </c>
      <c r="N13">
        <f>N12</f>
        <v>343738.20095789264</v>
      </c>
      <c r="O13" s="5" t="s">
        <v>277</v>
      </c>
      <c r="P13" s="9" t="s">
        <v>293</v>
      </c>
    </row>
    <row r="14" spans="1:16">
      <c r="B14" s="12" t="s">
        <v>254</v>
      </c>
      <c r="C14" s="6">
        <f>'Step1-AggregateWIOD'!C9</f>
        <v>267580.62368602346</v>
      </c>
      <c r="D14" s="6">
        <f>'Step1-AggregateWIOD'!D9</f>
        <v>82244.365542032916</v>
      </c>
      <c r="E14" s="6">
        <f>'Step1-AggregateWIOD'!E9</f>
        <v>23667.237065463043</v>
      </c>
      <c r="F14" s="6">
        <v>0</v>
      </c>
      <c r="G14" s="6">
        <v>0</v>
      </c>
      <c r="H14">
        <f>'Step2a-NIPACalcs'!C$15*'Step1-AggregateWIOD'!H9</f>
        <v>157796.87740464488</v>
      </c>
      <c r="I14">
        <f>(1-'Step2a-NIPACalcs'!C$15)*'Step1-AggregateWIOD'!H9</f>
        <v>39276.102061506717</v>
      </c>
      <c r="J14" s="6">
        <f>'Step1-AggregateWIOD'!I9</f>
        <v>160883.9678614859</v>
      </c>
      <c r="K14">
        <v>0</v>
      </c>
      <c r="M14" s="6">
        <f t="shared" si="0"/>
        <v>731449.17362115695</v>
      </c>
      <c r="N14">
        <f>1000*FRED!B19*('Step2a-NIPACalcs'!C10+'Step2a-NIPACalcs'!C11)/2</f>
        <v>362635.65655557771</v>
      </c>
      <c r="O14" s="5" t="s">
        <v>277</v>
      </c>
      <c r="P14" s="9" t="s">
        <v>294</v>
      </c>
    </row>
    <row r="15" spans="1:16">
      <c r="B15" s="12" t="s">
        <v>255</v>
      </c>
      <c r="C15" s="6">
        <f>'Step1-AggregateWIOD'!C10</f>
        <v>26233.315626331863</v>
      </c>
      <c r="D15" s="6">
        <f>'Step1-AggregateWIOD'!D10</f>
        <v>56019.119195252657</v>
      </c>
      <c r="E15" s="6">
        <f>'Step1-AggregateWIOD'!E10</f>
        <v>4835.4159554745165</v>
      </c>
      <c r="F15" s="6">
        <v>0</v>
      </c>
      <c r="G15" s="6">
        <v>0</v>
      </c>
      <c r="H15">
        <f>'Step2a-NIPACalcs'!C$15*'Step1-AggregateWIOD'!H10</f>
        <v>13036.85294206298</v>
      </c>
      <c r="I15">
        <f>(1-'Step2a-NIPACalcs'!C$15)*'Step1-AggregateWIOD'!H10</f>
        <v>3244.9106416743803</v>
      </c>
      <c r="J15" s="6">
        <f>'Step1-AggregateWIOD'!I10</f>
        <v>1434.0265293672894</v>
      </c>
      <c r="K15">
        <v>0</v>
      </c>
      <c r="M15" s="6">
        <f t="shared" si="0"/>
        <v>104803.64089016368</v>
      </c>
      <c r="N15">
        <f>N14</f>
        <v>362635.65655557771</v>
      </c>
      <c r="O15" s="5" t="s">
        <v>277</v>
      </c>
      <c r="P15" s="9" t="s">
        <v>295</v>
      </c>
    </row>
    <row r="16" spans="1:16">
      <c r="B16" s="12" t="s">
        <v>313</v>
      </c>
      <c r="C16" s="6">
        <f>'Step1-AggregateWIOD'!C11</f>
        <v>1341879.7499000002</v>
      </c>
      <c r="D16" s="6">
        <v>0</v>
      </c>
      <c r="E16" s="6">
        <v>0</v>
      </c>
      <c r="F16" s="6">
        <v>0</v>
      </c>
      <c r="G16" s="6">
        <v>0</v>
      </c>
      <c r="H16" s="6">
        <v>0</v>
      </c>
      <c r="I16" s="6">
        <v>0</v>
      </c>
      <c r="J16" s="6">
        <v>0</v>
      </c>
      <c r="K16" s="6">
        <v>0</v>
      </c>
      <c r="M16" s="6">
        <f t="shared" si="0"/>
        <v>1341879.7499000002</v>
      </c>
      <c r="N16">
        <f>1000*FRED!B$19*'Step2a-NIPACalcs'!C$12*'Step2b-IVACalcs'!H23</f>
        <v>1388226.9697192027</v>
      </c>
      <c r="O16" s="5" t="s">
        <v>277</v>
      </c>
      <c r="P16" s="9" t="s">
        <v>320</v>
      </c>
    </row>
    <row r="17" spans="2:18">
      <c r="B17" s="12" t="s">
        <v>314</v>
      </c>
      <c r="C17" s="6">
        <v>0</v>
      </c>
      <c r="D17" s="6">
        <f>'Step1-AggregateWIOD'!D11</f>
        <v>5795044.3020000011</v>
      </c>
      <c r="E17" s="6">
        <v>0</v>
      </c>
      <c r="F17" s="6">
        <v>0</v>
      </c>
      <c r="G17" s="6">
        <v>0</v>
      </c>
      <c r="H17" s="6">
        <v>0</v>
      </c>
      <c r="I17" s="6">
        <v>0</v>
      </c>
      <c r="J17" s="6">
        <v>0</v>
      </c>
      <c r="K17" s="6">
        <v>0</v>
      </c>
      <c r="M17" s="6">
        <f t="shared" si="0"/>
        <v>5795044.3020000011</v>
      </c>
      <c r="N17">
        <f>1000*FRED!B$19*'Step2a-NIPACalcs'!C$12*'Step2b-IVACalcs'!H24</f>
        <v>5465524.7670465186</v>
      </c>
      <c r="O17" s="5" t="s">
        <v>277</v>
      </c>
      <c r="P17" s="9" t="s">
        <v>318</v>
      </c>
    </row>
    <row r="18" spans="2:18">
      <c r="B18" s="12" t="s">
        <v>315</v>
      </c>
      <c r="C18" s="6">
        <v>0</v>
      </c>
      <c r="D18" s="6">
        <v>0</v>
      </c>
      <c r="E18" s="6">
        <f>'Step1-AggregateWIOD'!E11</f>
        <v>312904.48044000001</v>
      </c>
      <c r="F18" s="6">
        <v>0</v>
      </c>
      <c r="G18" s="6">
        <v>0</v>
      </c>
      <c r="H18" s="6">
        <v>0</v>
      </c>
      <c r="I18" s="6">
        <v>0</v>
      </c>
      <c r="J18" s="6">
        <v>0</v>
      </c>
      <c r="K18" s="6">
        <v>0</v>
      </c>
      <c r="M18" s="6">
        <f t="shared" si="0"/>
        <v>312904.48044000001</v>
      </c>
      <c r="N18">
        <f>1000*FRED!B$19*'Step2a-NIPACalcs'!C$12*'Step2b-IVACalcs'!H25</f>
        <v>248324.77989761959</v>
      </c>
      <c r="O18" s="5" t="s">
        <v>277</v>
      </c>
      <c r="P18" s="9" t="s">
        <v>319</v>
      </c>
    </row>
    <row r="19" spans="2:18">
      <c r="B19" s="12" t="s">
        <v>262</v>
      </c>
      <c r="C19">
        <v>0</v>
      </c>
      <c r="D19">
        <v>0</v>
      </c>
      <c r="E19">
        <v>0</v>
      </c>
      <c r="F19" s="6">
        <f>'Step1-AggregateWIOD'!F11</f>
        <v>6355119.5140511477</v>
      </c>
      <c r="G19" s="6">
        <f>'Step1-AggregateWIOD'!G11</f>
        <v>15353610.853376705</v>
      </c>
      <c r="H19" s="6">
        <v>0</v>
      </c>
      <c r="I19" s="6">
        <v>0</v>
      </c>
      <c r="J19" s="6">
        <v>0</v>
      </c>
      <c r="K19" s="6">
        <v>0</v>
      </c>
      <c r="M19" s="6">
        <f t="shared" si="0"/>
        <v>21708730.367427852</v>
      </c>
      <c r="N19">
        <f>SUM(N16:N18)*SUM('Step1-AggregateWIOD'!F11:G11)/SUM('Step1-AggregateWIOD'!C11:E11)</f>
        <v>20695384.260160748</v>
      </c>
      <c r="O19" s="5" t="s">
        <v>277</v>
      </c>
      <c r="P19" s="9" t="s">
        <v>278</v>
      </c>
    </row>
    <row r="20" spans="2:18">
      <c r="B20" s="12"/>
    </row>
    <row r="21" spans="2:18">
      <c r="B21" s="18" t="s">
        <v>258</v>
      </c>
      <c r="C21" s="6">
        <f t="shared" ref="C21:K21" si="1">SUM(C7:C19)</f>
        <v>3872453.5661502643</v>
      </c>
      <c r="D21" s="6">
        <f t="shared" si="1"/>
        <v>8810011.8604959287</v>
      </c>
      <c r="E21" s="6">
        <f t="shared" si="1"/>
        <v>690094.7605118046</v>
      </c>
      <c r="F21" s="6">
        <f t="shared" si="1"/>
        <v>16488894.853709273</v>
      </c>
      <c r="G21" s="6">
        <f t="shared" si="1"/>
        <v>25218167.405084677</v>
      </c>
      <c r="H21" s="6">
        <f t="shared" si="1"/>
        <v>4916558.2582975468</v>
      </c>
      <c r="I21" s="6">
        <f t="shared" si="1"/>
        <v>1223745.6603723266</v>
      </c>
      <c r="J21" s="6">
        <f t="shared" si="1"/>
        <v>1380552.1836627007</v>
      </c>
      <c r="K21" s="6">
        <f t="shared" si="1"/>
        <v>21637664.638182852</v>
      </c>
      <c r="P21" s="24"/>
      <c r="Q21" s="2"/>
      <c r="R21" s="2"/>
    </row>
    <row r="22" spans="2:18">
      <c r="B22" s="18" t="s">
        <v>259</v>
      </c>
      <c r="C22" s="6">
        <f>$N16*SUM('Step3-Balance'!$C$45:$E$45)/SUM('Step3-Balance'!$N$39:$N$41)</f>
        <v>2704186.0615283642</v>
      </c>
      <c r="D22" s="6">
        <f>$N17*SUM('Step3-Balance'!$C$45:$E$45)/SUM('Step3-Balance'!$N$39:$N$41)</f>
        <v>10646526.984686639</v>
      </c>
      <c r="E22" s="6">
        <f>$N18*SUM('Step3-Balance'!$C$45:$E$45)/SUM('Step3-Balance'!$N$39:$N$41)</f>
        <v>483722.3474105749</v>
      </c>
      <c r="F22" s="6">
        <f>('Step1-AggregateWIOD'!F12-'Step1-AggregateWIOD'!F8)*($N$19/$M$19)</f>
        <v>15719206.478095502</v>
      </c>
      <c r="G22" s="6">
        <f>('Step1-AggregateWIOD'!G12-'Step1-AggregateWIOD'!G8)*($N$19/$M$19)</f>
        <v>24041003.594035856</v>
      </c>
      <c r="H22">
        <f>FRED!B19*1000*'Step2a-NIPACalcs'!C5</f>
        <v>4578505.9519058075</v>
      </c>
      <c r="I22">
        <f>1000*'Step2a-NIPACalcs'!C6*FRED!B19</f>
        <v>1139603.457393734</v>
      </c>
      <c r="J22">
        <f>1000*FRED!B19*'Step2a-NIPACalcs'!C7</f>
        <v>1421762.0185591697</v>
      </c>
      <c r="K22">
        <f>N19-N14-N15+N12+N13</f>
        <v>20657589.34896538</v>
      </c>
      <c r="P22" s="2"/>
      <c r="Q22" s="2"/>
      <c r="R22" s="2"/>
    </row>
    <row r="23" spans="2:18">
      <c r="C23" s="5" t="s">
        <v>273</v>
      </c>
      <c r="D23" s="5" t="s">
        <v>273</v>
      </c>
      <c r="E23" s="5" t="s">
        <v>273</v>
      </c>
      <c r="F23" s="5" t="s">
        <v>273</v>
      </c>
      <c r="G23" s="5" t="s">
        <v>273</v>
      </c>
      <c r="H23" s="5" t="s">
        <v>273</v>
      </c>
      <c r="I23" s="5" t="s">
        <v>273</v>
      </c>
      <c r="J23" s="1" t="s">
        <v>273</v>
      </c>
      <c r="K23" s="5" t="s">
        <v>273</v>
      </c>
      <c r="P23" s="2"/>
      <c r="Q23" s="2"/>
      <c r="R23" s="2"/>
    </row>
    <row r="24" spans="2:18" ht="105">
      <c r="C24" s="23" t="s">
        <v>282</v>
      </c>
      <c r="D24" s="23" t="s">
        <v>283</v>
      </c>
      <c r="E24" s="23" t="s">
        <v>284</v>
      </c>
      <c r="F24" s="23" t="s">
        <v>285</v>
      </c>
      <c r="G24" s="23" t="s">
        <v>286</v>
      </c>
      <c r="H24" s="23" t="s">
        <v>275</v>
      </c>
      <c r="I24" s="23" t="s">
        <v>274</v>
      </c>
      <c r="J24" s="23" t="s">
        <v>276</v>
      </c>
      <c r="K24" s="23" t="s">
        <v>281</v>
      </c>
      <c r="P24" s="24"/>
      <c r="Q24" s="2"/>
      <c r="R24" s="2"/>
    </row>
    <row r="25" spans="2:18">
      <c r="P25" s="24"/>
      <c r="Q25" s="2"/>
      <c r="R25" s="2"/>
    </row>
    <row r="26" spans="2:18">
      <c r="B26" s="3" t="s">
        <v>280</v>
      </c>
      <c r="P26" s="25"/>
    </row>
    <row r="28" spans="2:18">
      <c r="C28" s="200" t="s">
        <v>83</v>
      </c>
      <c r="D28" s="200"/>
      <c r="E28" s="200"/>
      <c r="F28" s="200"/>
      <c r="G28" s="200"/>
      <c r="H28" s="199" t="s">
        <v>84</v>
      </c>
      <c r="I28" s="199"/>
      <c r="J28" s="199"/>
      <c r="K28" s="199"/>
      <c r="L28" s="13"/>
    </row>
    <row r="29" spans="2:18">
      <c r="C29" s="174" t="s">
        <v>85</v>
      </c>
      <c r="D29" s="174" t="s">
        <v>86</v>
      </c>
      <c r="E29" s="174" t="s">
        <v>87</v>
      </c>
      <c r="F29" s="174" t="s">
        <v>88</v>
      </c>
      <c r="G29" s="174" t="s">
        <v>89</v>
      </c>
      <c r="H29" s="174" t="s">
        <v>94</v>
      </c>
      <c r="I29" s="174" t="s">
        <v>93</v>
      </c>
      <c r="J29" s="174" t="s">
        <v>95</v>
      </c>
      <c r="K29" s="174" t="s">
        <v>92</v>
      </c>
      <c r="L29" s="174"/>
      <c r="M29" s="20" t="s">
        <v>308</v>
      </c>
      <c r="N29" s="19" t="s">
        <v>257</v>
      </c>
      <c r="O29" s="19" t="s">
        <v>310</v>
      </c>
    </row>
    <row r="30" spans="2:18">
      <c r="B30" s="12" t="s">
        <v>247</v>
      </c>
      <c r="C30" s="6">
        <v>653695.13449728186</v>
      </c>
      <c r="D30" s="6">
        <v>703074.16748482094</v>
      </c>
      <c r="E30" s="6">
        <v>89966.458236581704</v>
      </c>
      <c r="F30" s="6">
        <v>0</v>
      </c>
      <c r="G30" s="6">
        <v>0</v>
      </c>
      <c r="H30">
        <v>381064.0831813137</v>
      </c>
      <c r="I30">
        <v>94847.959409386909</v>
      </c>
      <c r="J30" s="6">
        <v>437800.05775921955</v>
      </c>
      <c r="K30">
        <v>0</v>
      </c>
      <c r="M30" s="6">
        <f>SUM(C30:K30)</f>
        <v>2360447.8605686044</v>
      </c>
      <c r="N30" s="6">
        <f t="shared" ref="N30:N41" si="2">N7</f>
        <v>2360447.8605704717</v>
      </c>
      <c r="O30" s="51">
        <f>N30-M30</f>
        <v>1.8673017621040344E-6</v>
      </c>
    </row>
    <row r="31" spans="2:18">
      <c r="B31" s="12" t="s">
        <v>248</v>
      </c>
      <c r="C31" s="6">
        <v>534311.87627536256</v>
      </c>
      <c r="D31" s="6">
        <v>4151051.8784241132</v>
      </c>
      <c r="E31" s="6">
        <v>127967.63597535154</v>
      </c>
      <c r="F31" s="6">
        <v>0</v>
      </c>
      <c r="G31" s="6">
        <v>0</v>
      </c>
      <c r="H31">
        <v>4095121.9763725135</v>
      </c>
      <c r="I31">
        <v>1019287.778970913</v>
      </c>
      <c r="J31" s="6">
        <v>375047.63771310495</v>
      </c>
      <c r="K31">
        <v>0</v>
      </c>
      <c r="M31" s="6">
        <f t="shared" ref="M31:M42" si="3">SUM(C31:K31)</f>
        <v>10302788.78373136</v>
      </c>
      <c r="N31" s="6">
        <f t="shared" si="2"/>
        <v>10302788.783728747</v>
      </c>
      <c r="O31" s="51">
        <f t="shared" ref="O31:O42" si="4">N31-M31</f>
        <v>-2.6132911443710327E-6</v>
      </c>
    </row>
    <row r="32" spans="2:18">
      <c r="B32" s="12" t="s">
        <v>249</v>
      </c>
      <c r="C32" s="6">
        <v>0</v>
      </c>
      <c r="D32" s="6">
        <v>0</v>
      </c>
      <c r="E32" s="6">
        <v>0</v>
      </c>
      <c r="F32" s="6">
        <v>0</v>
      </c>
      <c r="G32" s="6">
        <v>0</v>
      </c>
      <c r="H32">
        <v>0</v>
      </c>
      <c r="I32" s="6">
        <v>0</v>
      </c>
      <c r="J32" s="6">
        <v>483722.34741004964</v>
      </c>
      <c r="K32" s="6">
        <v>0</v>
      </c>
      <c r="M32" s="6">
        <f t="shared" si="3"/>
        <v>483722.34741004964</v>
      </c>
      <c r="N32" s="6">
        <f t="shared" si="2"/>
        <v>483722.3474105749</v>
      </c>
      <c r="O32" s="51">
        <f t="shared" si="4"/>
        <v>5.2526593208312988E-7</v>
      </c>
    </row>
    <row r="33" spans="1:15">
      <c r="B33" s="12" t="s">
        <v>250</v>
      </c>
      <c r="C33" s="6">
        <v>0</v>
      </c>
      <c r="D33" s="6">
        <v>0</v>
      </c>
      <c r="E33" s="6">
        <v>0</v>
      </c>
      <c r="F33" s="6">
        <v>6431209.8920829277</v>
      </c>
      <c r="G33" s="6">
        <v>2957590.8177974978</v>
      </c>
      <c r="H33" s="6">
        <v>0</v>
      </c>
      <c r="I33" s="6">
        <v>0</v>
      </c>
      <c r="J33" s="6">
        <v>0</v>
      </c>
      <c r="K33" s="6">
        <v>5967770.111659498</v>
      </c>
      <c r="M33" s="6">
        <f t="shared" si="3"/>
        <v>15356570.821539924</v>
      </c>
      <c r="N33" s="6">
        <f t="shared" si="2"/>
        <v>15356570.821539924</v>
      </c>
      <c r="O33" s="51">
        <f t="shared" si="4"/>
        <v>0</v>
      </c>
    </row>
    <row r="34" spans="1:15">
      <c r="B34" s="12" t="s">
        <v>251</v>
      </c>
      <c r="C34" s="6">
        <v>0</v>
      </c>
      <c r="D34" s="6">
        <v>0</v>
      </c>
      <c r="E34" s="6">
        <v>0</v>
      </c>
      <c r="F34" s="6">
        <v>2977475.3268889966</v>
      </c>
      <c r="G34" s="6">
        <v>6205765.1788965017</v>
      </c>
      <c r="H34" s="6">
        <v>0</v>
      </c>
      <c r="I34" s="6">
        <v>0</v>
      </c>
      <c r="J34" s="6">
        <v>0</v>
      </c>
      <c r="K34" s="6">
        <v>14495127.431694781</v>
      </c>
      <c r="M34" s="6">
        <f t="shared" si="3"/>
        <v>23678367.937480278</v>
      </c>
      <c r="N34" s="6">
        <f t="shared" si="2"/>
        <v>23678367.937480278</v>
      </c>
      <c r="O34" s="51">
        <f t="shared" si="4"/>
        <v>0</v>
      </c>
    </row>
    <row r="35" spans="1:15">
      <c r="B35" s="12" t="s">
        <v>252</v>
      </c>
      <c r="C35" s="6">
        <v>0</v>
      </c>
      <c r="D35" s="6">
        <v>0</v>
      </c>
      <c r="E35" s="6">
        <v>0</v>
      </c>
      <c r="F35" s="6">
        <v>152617.93478410135</v>
      </c>
      <c r="G35" s="6">
        <v>55894.934311412821</v>
      </c>
      <c r="H35" s="6">
        <v>0</v>
      </c>
      <c r="I35" s="6">
        <v>0</v>
      </c>
      <c r="J35" s="6">
        <v>0</v>
      </c>
      <c r="K35" s="6">
        <v>135225.33186237843</v>
      </c>
      <c r="M35" s="6">
        <f t="shared" si="3"/>
        <v>343738.20095789258</v>
      </c>
      <c r="N35">
        <f t="shared" si="2"/>
        <v>343738.20095789264</v>
      </c>
      <c r="O35" s="51">
        <f t="shared" si="4"/>
        <v>0</v>
      </c>
    </row>
    <row r="36" spans="1:15">
      <c r="B36" s="12" t="s">
        <v>253</v>
      </c>
      <c r="C36" s="6">
        <v>0</v>
      </c>
      <c r="D36" s="6">
        <v>0</v>
      </c>
      <c r="E36" s="6">
        <v>0</v>
      </c>
      <c r="F36" s="6">
        <v>113914.82514214583</v>
      </c>
      <c r="G36" s="6">
        <v>170356.90206702452</v>
      </c>
      <c r="H36" s="6">
        <v>0</v>
      </c>
      <c r="I36" s="6">
        <v>0</v>
      </c>
      <c r="J36" s="6">
        <v>0</v>
      </c>
      <c r="K36" s="6">
        <v>59466.473748722296</v>
      </c>
      <c r="M36" s="6">
        <f t="shared" si="3"/>
        <v>343738.20095789264</v>
      </c>
      <c r="N36">
        <f t="shared" si="2"/>
        <v>343738.20095789264</v>
      </c>
      <c r="O36" s="51">
        <f t="shared" si="4"/>
        <v>0</v>
      </c>
    </row>
    <row r="37" spans="1:15">
      <c r="B37" s="12" t="s">
        <v>254</v>
      </c>
      <c r="C37" s="6">
        <v>81965.597936945167</v>
      </c>
      <c r="D37" s="6">
        <v>66738.08701657482</v>
      </c>
      <c r="E37" s="6">
        <v>8050.6761629806751</v>
      </c>
      <c r="F37" s="6">
        <v>0</v>
      </c>
      <c r="G37" s="6">
        <v>0</v>
      </c>
      <c r="H37">
        <v>69473.195608647511</v>
      </c>
      <c r="I37">
        <v>17292.080592108956</v>
      </c>
      <c r="J37" s="6">
        <v>119116.0192380112</v>
      </c>
      <c r="K37">
        <v>0</v>
      </c>
      <c r="M37" s="6">
        <f t="shared" si="3"/>
        <v>362635.65655526833</v>
      </c>
      <c r="N37">
        <f t="shared" si="2"/>
        <v>362635.65655557771</v>
      </c>
      <c r="O37" s="51">
        <f t="shared" si="4"/>
        <v>3.0937371775507927E-7</v>
      </c>
    </row>
    <row r="38" spans="1:15">
      <c r="B38" s="12" t="s">
        <v>255</v>
      </c>
      <c r="C38" s="6">
        <v>45986.483103729908</v>
      </c>
      <c r="D38" s="6">
        <v>260138.08471001888</v>
      </c>
      <c r="E38" s="6">
        <v>9412.7971384552984</v>
      </c>
      <c r="F38" s="6">
        <v>0</v>
      </c>
      <c r="G38" s="6">
        <v>0</v>
      </c>
      <c r="H38">
        <v>32846.696743333399</v>
      </c>
      <c r="I38">
        <v>8175.6384213249748</v>
      </c>
      <c r="J38" s="6">
        <v>6075.9564387845239</v>
      </c>
      <c r="K38">
        <v>0</v>
      </c>
      <c r="M38" s="6">
        <f t="shared" si="3"/>
        <v>362635.65655564703</v>
      </c>
      <c r="N38">
        <f t="shared" si="2"/>
        <v>362635.65655557771</v>
      </c>
      <c r="O38" s="51">
        <f t="shared" si="4"/>
        <v>-6.9325324147939682E-8</v>
      </c>
    </row>
    <row r="39" spans="1:15">
      <c r="B39" s="12" t="s">
        <v>317</v>
      </c>
      <c r="C39" s="6">
        <v>1388226.9697150446</v>
      </c>
      <c r="D39" s="6">
        <v>0</v>
      </c>
      <c r="E39" s="6">
        <v>0</v>
      </c>
      <c r="F39" s="6">
        <v>0</v>
      </c>
      <c r="G39" s="6">
        <v>0</v>
      </c>
      <c r="H39" s="6">
        <v>0</v>
      </c>
      <c r="I39" s="6">
        <v>0</v>
      </c>
      <c r="J39" s="6">
        <v>0</v>
      </c>
      <c r="K39" s="6">
        <v>0</v>
      </c>
      <c r="M39" s="6">
        <f t="shared" si="3"/>
        <v>1388226.9697150446</v>
      </c>
      <c r="N39">
        <f t="shared" si="2"/>
        <v>1388226.9697192027</v>
      </c>
      <c r="O39" s="51">
        <f t="shared" si="4"/>
        <v>4.1581224650144577E-6</v>
      </c>
    </row>
    <row r="40" spans="1:15">
      <c r="B40" s="12" t="s">
        <v>316</v>
      </c>
      <c r="C40" s="6">
        <v>0</v>
      </c>
      <c r="D40" s="6">
        <v>5465524.767051111</v>
      </c>
      <c r="E40" s="6">
        <v>0</v>
      </c>
      <c r="F40" s="6">
        <v>0</v>
      </c>
      <c r="G40" s="6">
        <v>0</v>
      </c>
      <c r="H40" s="6">
        <v>0</v>
      </c>
      <c r="I40" s="6">
        <v>0</v>
      </c>
      <c r="J40" s="6">
        <v>0</v>
      </c>
      <c r="K40" s="6">
        <v>0</v>
      </c>
      <c r="M40" s="6">
        <f t="shared" si="3"/>
        <v>5465524.767051111</v>
      </c>
      <c r="N40">
        <f t="shared" si="2"/>
        <v>5465524.7670465186</v>
      </c>
      <c r="O40" s="51">
        <f t="shared" si="4"/>
        <v>-4.5923516154289246E-6</v>
      </c>
    </row>
    <row r="41" spans="1:15">
      <c r="B41" s="12" t="s">
        <v>315</v>
      </c>
      <c r="C41" s="6">
        <v>0</v>
      </c>
      <c r="D41" s="6">
        <v>0</v>
      </c>
      <c r="E41" s="6">
        <v>248324.77989720576</v>
      </c>
      <c r="F41" s="6">
        <v>0</v>
      </c>
      <c r="G41" s="6">
        <v>0</v>
      </c>
      <c r="H41" s="6">
        <v>0</v>
      </c>
      <c r="I41" s="6">
        <v>0</v>
      </c>
      <c r="J41" s="6">
        <v>0</v>
      </c>
      <c r="K41" s="6">
        <v>0</v>
      </c>
      <c r="M41" s="6">
        <f t="shared" si="3"/>
        <v>248324.77989720576</v>
      </c>
      <c r="N41">
        <f t="shared" si="2"/>
        <v>248324.77989761959</v>
      </c>
      <c r="O41" s="51">
        <f t="shared" si="4"/>
        <v>4.1382736526429653E-7</v>
      </c>
    </row>
    <row r="42" spans="1:15">
      <c r="B42" s="12" t="s">
        <v>262</v>
      </c>
      <c r="C42">
        <v>0</v>
      </c>
      <c r="D42">
        <v>0</v>
      </c>
      <c r="E42">
        <v>0</v>
      </c>
      <c r="F42" s="6">
        <v>6043988.4991973294</v>
      </c>
      <c r="G42" s="6">
        <v>14651395.760963419</v>
      </c>
      <c r="H42">
        <v>0</v>
      </c>
      <c r="I42" s="6">
        <v>0</v>
      </c>
      <c r="J42" s="6">
        <v>0</v>
      </c>
      <c r="K42" s="6">
        <v>0</v>
      </c>
      <c r="M42" s="6">
        <f t="shared" si="3"/>
        <v>20695384.260160748</v>
      </c>
      <c r="N42">
        <f>N19</f>
        <v>20695384.260160748</v>
      </c>
      <c r="O42" s="51">
        <f t="shared" si="4"/>
        <v>0</v>
      </c>
    </row>
    <row r="43" spans="1:15">
      <c r="B43" s="12"/>
    </row>
    <row r="44" spans="1:15">
      <c r="B44" s="18" t="s">
        <v>309</v>
      </c>
      <c r="C44" s="6">
        <f t="shared" ref="C44:K44" si="5">SUM(C30:C42)</f>
        <v>2704186.0615283642</v>
      </c>
      <c r="D44" s="6">
        <f t="shared" si="5"/>
        <v>10646526.984686639</v>
      </c>
      <c r="E44" s="6">
        <f t="shared" si="5"/>
        <v>483722.34741057502</v>
      </c>
      <c r="F44" s="6">
        <f t="shared" si="5"/>
        <v>15719206.478095502</v>
      </c>
      <c r="G44" s="6">
        <f t="shared" si="5"/>
        <v>24041003.594035856</v>
      </c>
      <c r="H44" s="6">
        <f t="shared" si="5"/>
        <v>4578505.9519058084</v>
      </c>
      <c r="I44" s="6">
        <f t="shared" si="5"/>
        <v>1139603.4573937338</v>
      </c>
      <c r="J44" s="6">
        <f t="shared" si="5"/>
        <v>1421762.0185591697</v>
      </c>
      <c r="K44" s="6">
        <f t="shared" si="5"/>
        <v>20657589.34896538</v>
      </c>
    </row>
    <row r="45" spans="1:15">
      <c r="B45" s="18" t="s">
        <v>259</v>
      </c>
      <c r="C45" s="6">
        <f>C22</f>
        <v>2704186.0615283642</v>
      </c>
      <c r="D45" s="6">
        <f t="shared" ref="D45:K45" si="6">D22</f>
        <v>10646526.984686639</v>
      </c>
      <c r="E45" s="6">
        <f t="shared" si="6"/>
        <v>483722.3474105749</v>
      </c>
      <c r="F45" s="6">
        <f t="shared" si="6"/>
        <v>15719206.478095502</v>
      </c>
      <c r="G45" s="6">
        <f t="shared" si="6"/>
        <v>24041003.594035856</v>
      </c>
      <c r="H45" s="6">
        <f t="shared" si="6"/>
        <v>4578505.9519058075</v>
      </c>
      <c r="I45" s="6">
        <f t="shared" si="6"/>
        <v>1139603.457393734</v>
      </c>
      <c r="J45" s="6">
        <f t="shared" si="6"/>
        <v>1421762.0185591697</v>
      </c>
      <c r="K45" s="6">
        <f t="shared" si="6"/>
        <v>20657589.34896538</v>
      </c>
    </row>
    <row r="46" spans="1:15">
      <c r="B46" s="18" t="s">
        <v>310</v>
      </c>
      <c r="C46" s="51">
        <f>C45-C44</f>
        <v>0</v>
      </c>
      <c r="D46" s="51">
        <f t="shared" ref="D46:K46" si="7">D45-D44</f>
        <v>0</v>
      </c>
      <c r="E46" s="51">
        <f t="shared" si="7"/>
        <v>0</v>
      </c>
      <c r="F46" s="51">
        <f t="shared" si="7"/>
        <v>0</v>
      </c>
      <c r="G46" s="51">
        <f t="shared" si="7"/>
        <v>0</v>
      </c>
      <c r="H46" s="51">
        <f t="shared" si="7"/>
        <v>0</v>
      </c>
      <c r="I46" s="51">
        <f t="shared" si="7"/>
        <v>0</v>
      </c>
      <c r="J46" s="51">
        <f t="shared" si="7"/>
        <v>0</v>
      </c>
      <c r="K46" s="51">
        <f t="shared" si="7"/>
        <v>0</v>
      </c>
    </row>
    <row r="48" spans="1:15">
      <c r="A48" s="3" t="s">
        <v>96</v>
      </c>
      <c r="B48" s="26" t="s">
        <v>296</v>
      </c>
    </row>
    <row r="49" spans="2:2">
      <c r="B49" s="8" t="s">
        <v>297</v>
      </c>
    </row>
    <row r="50" spans="2:2">
      <c r="B50" s="8" t="s">
        <v>298</v>
      </c>
    </row>
  </sheetData>
  <mergeCells count="4">
    <mergeCell ref="C5:G5"/>
    <mergeCell ref="H5:K5"/>
    <mergeCell ref="C28:G28"/>
    <mergeCell ref="H28:K28"/>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35"/>
  <sheetViews>
    <sheetView showGridLines="0" zoomScaleNormal="100" workbookViewId="0">
      <selection activeCell="O6" sqref="O6"/>
    </sheetView>
  </sheetViews>
  <sheetFormatPr defaultRowHeight="15"/>
  <cols>
    <col min="2" max="2" width="7.125" customWidth="1"/>
    <col min="3" max="3" width="13.375" customWidth="1"/>
    <col min="4" max="12" width="10.625" customWidth="1"/>
    <col min="13" max="13" width="14.375" customWidth="1"/>
    <col min="16" max="16" width="13.25" bestFit="1" customWidth="1"/>
    <col min="17" max="21" width="7.125" customWidth="1"/>
    <col min="30" max="30" width="13.25" bestFit="1" customWidth="1"/>
    <col min="31" max="35" width="7.125" customWidth="1"/>
  </cols>
  <sheetData>
    <row r="1" spans="1:35" ht="18.75">
      <c r="A1" s="10" t="s">
        <v>493</v>
      </c>
    </row>
    <row r="2" spans="1:35" ht="18.75">
      <c r="A2" s="10"/>
    </row>
    <row r="3" spans="1:35" ht="15.75" thickBot="1"/>
    <row r="4" spans="1:35" ht="22.5" customHeight="1" thickTop="1">
      <c r="B4" s="121"/>
      <c r="C4" s="122"/>
      <c r="D4" s="208" t="s">
        <v>83</v>
      </c>
      <c r="E4" s="209"/>
      <c r="F4" s="209"/>
      <c r="G4" s="209"/>
      <c r="H4" s="210"/>
      <c r="I4" s="211" t="s">
        <v>84</v>
      </c>
      <c r="J4" s="211"/>
      <c r="K4" s="211"/>
      <c r="L4" s="212"/>
      <c r="M4" s="123" t="s">
        <v>91</v>
      </c>
      <c r="O4" s="221" t="s">
        <v>495</v>
      </c>
      <c r="P4" s="221"/>
      <c r="Q4" s="221"/>
      <c r="R4" s="221"/>
      <c r="S4" s="221"/>
      <c r="T4" s="221"/>
      <c r="U4" s="221"/>
      <c r="AC4" s="221" t="s">
        <v>495</v>
      </c>
      <c r="AD4" s="221"/>
      <c r="AE4" s="221"/>
      <c r="AF4" s="221"/>
      <c r="AG4" s="221"/>
      <c r="AH4" s="221"/>
      <c r="AI4" s="221"/>
    </row>
    <row r="5" spans="1:35" ht="22.5" customHeight="1">
      <c r="B5" s="124"/>
      <c r="C5" s="125"/>
      <c r="D5" s="213" t="s">
        <v>40</v>
      </c>
      <c r="E5" s="214"/>
      <c r="F5" s="215"/>
      <c r="G5" s="214" t="s">
        <v>81</v>
      </c>
      <c r="H5" s="216"/>
      <c r="I5" s="203" t="s">
        <v>40</v>
      </c>
      <c r="J5" s="204"/>
      <c r="K5" s="205"/>
      <c r="L5" s="126" t="s">
        <v>81</v>
      </c>
      <c r="M5" s="127"/>
      <c r="O5" s="185"/>
      <c r="P5" s="185"/>
      <c r="Q5" s="213" t="s">
        <v>40</v>
      </c>
      <c r="R5" s="214"/>
      <c r="S5" s="215"/>
      <c r="T5" s="214" t="s">
        <v>81</v>
      </c>
      <c r="U5" s="216"/>
      <c r="AC5" s="185"/>
      <c r="AD5" s="185"/>
      <c r="AE5" s="213" t="s">
        <v>40</v>
      </c>
      <c r="AF5" s="214"/>
      <c r="AG5" s="215"/>
      <c r="AH5" s="214" t="s">
        <v>81</v>
      </c>
      <c r="AI5" s="216"/>
    </row>
    <row r="6" spans="1:35" ht="75" customHeight="1">
      <c r="B6" s="128"/>
      <c r="C6" s="129"/>
      <c r="D6" s="170" t="s">
        <v>299</v>
      </c>
      <c r="E6" s="171" t="s">
        <v>82</v>
      </c>
      <c r="F6" s="172" t="s">
        <v>17</v>
      </c>
      <c r="G6" s="171" t="s">
        <v>299</v>
      </c>
      <c r="H6" s="173" t="s">
        <v>82</v>
      </c>
      <c r="I6" s="170" t="s">
        <v>300</v>
      </c>
      <c r="J6" s="171" t="s">
        <v>301</v>
      </c>
      <c r="K6" s="172" t="s">
        <v>239</v>
      </c>
      <c r="L6" s="173" t="s">
        <v>300</v>
      </c>
      <c r="M6" s="130"/>
      <c r="O6" s="124"/>
      <c r="P6" s="125"/>
      <c r="Q6" s="181" t="s">
        <v>299</v>
      </c>
      <c r="R6" s="182" t="s">
        <v>82</v>
      </c>
      <c r="S6" s="183" t="s">
        <v>17</v>
      </c>
      <c r="T6" s="182" t="s">
        <v>299</v>
      </c>
      <c r="U6" s="184" t="s">
        <v>82</v>
      </c>
      <c r="AC6" s="124"/>
      <c r="AD6" s="125"/>
      <c r="AE6" s="181" t="s">
        <v>299</v>
      </c>
      <c r="AF6" s="182" t="s">
        <v>82</v>
      </c>
      <c r="AG6" s="183" t="s">
        <v>17</v>
      </c>
      <c r="AH6" s="182" t="s">
        <v>299</v>
      </c>
      <c r="AI6" s="184" t="s">
        <v>82</v>
      </c>
    </row>
    <row r="7" spans="1:35" ht="22.5" customHeight="1">
      <c r="B7" s="206" t="s">
        <v>40</v>
      </c>
      <c r="C7" s="131" t="s">
        <v>299</v>
      </c>
      <c r="D7" s="132">
        <f>100*'Step3-Balance'!C30/SUM('Step3-Balance'!$C$39:$E$41)</f>
        <v>21.515540738703606</v>
      </c>
      <c r="E7" s="133">
        <f>100*'Step3-Balance'!D30/SUM('Step3-Balance'!$C$39:$E$41)</f>
        <v>9.956073766600305</v>
      </c>
      <c r="F7" s="134">
        <f>100*'Step3-Balance'!E30/SUM('Step3-Balance'!$C$39:$E$41)</f>
        <v>3.1443404332638734</v>
      </c>
      <c r="G7" s="133">
        <f>100*'Step3-Balance'!F35/SUM('Step3-Balance'!$C$39:$E$41)</f>
        <v>3.1036360663008224</v>
      </c>
      <c r="H7" s="135">
        <f>100*'Step3-Balance'!G35/SUM('Step3-Balance'!$C$39:$E$41)</f>
        <v>1.1352799387616777</v>
      </c>
      <c r="I7" s="132">
        <f>100*'Step3-Balance'!H30/SUM('Step3-Balance'!$C$39:$E$41)</f>
        <v>7.6638788881105784</v>
      </c>
      <c r="J7" s="133">
        <f>100*'Step3-Balance'!I30/SUM('Step3-Balance'!$C$39:$E$41)</f>
        <v>1.9075617613431752</v>
      </c>
      <c r="K7" s="134">
        <f>100*'Step3-Balance'!J30/SUM('Step3-Balance'!$C$39:$E$41)</f>
        <v>5.259000991311404</v>
      </c>
      <c r="L7" s="135">
        <f>100*'Step3-Balance'!K35/SUM('Step3-Balance'!$C$39:$E$41)</f>
        <v>2.7236029189789281</v>
      </c>
      <c r="M7" s="136">
        <f>SUM(D7:L7)</f>
        <v>56.408915503374367</v>
      </c>
      <c r="O7" s="217" t="s">
        <v>40</v>
      </c>
      <c r="P7" s="176" t="s">
        <v>299</v>
      </c>
      <c r="Q7" s="132">
        <f>D7/D$13</f>
        <v>0.3814209251622348</v>
      </c>
      <c r="R7" s="133">
        <f t="shared" ref="R7:U11" si="0">E7/E$13</f>
        <v>7.7580054675883303E-2</v>
      </c>
      <c r="S7" s="134">
        <f t="shared" si="0"/>
        <v>0.31279463750317038</v>
      </c>
      <c r="T7" s="133">
        <f t="shared" si="0"/>
        <v>1.4022502251285866E-2</v>
      </c>
      <c r="U7" s="135">
        <f t="shared" si="0"/>
        <v>3.3537888555207275E-3</v>
      </c>
      <c r="W7">
        <v>1</v>
      </c>
      <c r="X7">
        <v>0</v>
      </c>
      <c r="Y7">
        <v>0</v>
      </c>
      <c r="Z7">
        <v>0</v>
      </c>
      <c r="AA7">
        <v>0</v>
      </c>
      <c r="AC7" s="217" t="s">
        <v>40</v>
      </c>
      <c r="AD7" s="176" t="s">
        <v>299</v>
      </c>
      <c r="AE7" s="132">
        <f t="array" ref="AE7:AI11">MINVERSE(W7:AA11-Q7:U11)</f>
        <v>1.684590722226083</v>
      </c>
      <c r="AF7" s="133">
        <v>0.18901034383704479</v>
      </c>
      <c r="AG7" s="134">
        <v>0.58473302389796755</v>
      </c>
      <c r="AH7" s="133">
        <v>4.6235317097866498E-2</v>
      </c>
      <c r="AI7" s="135">
        <v>1.6287062696590675E-2</v>
      </c>
    </row>
    <row r="8" spans="1:35" ht="22.5" customHeight="1">
      <c r="B8" s="201"/>
      <c r="C8" s="137" t="s">
        <v>82</v>
      </c>
      <c r="D8" s="138">
        <f>100*'Step3-Balance'!C31/SUM('Step3-Balance'!$C$39:$E$41)</f>
        <v>11.737667936451594</v>
      </c>
      <c r="E8" s="139">
        <f>100*'Step3-Balance'!D31/SUM('Step3-Balance'!$C$39:$E$41)</f>
        <v>39.233323934866128</v>
      </c>
      <c r="F8" s="140">
        <f>100*'Step3-Balance'!E31/SUM('Step3-Balance'!$C$39:$E$41)</f>
        <v>2.9851012222499111</v>
      </c>
      <c r="G8" s="139">
        <f>100*'Step3-Balance'!F36/SUM('Step3-Balance'!$C$39:$E$41)</f>
        <v>0.90259754500528089</v>
      </c>
      <c r="H8" s="141">
        <f>100*'Step3-Balance'!G36/SUM('Step3-Balance'!$C$39:$E$41)</f>
        <v>1.3481522157886017</v>
      </c>
      <c r="I8" s="138">
        <f>100*'Step3-Balance'!H31/SUM('Step3-Balance'!$C$39:$E$41)</f>
        <v>54.970215171148858</v>
      </c>
      <c r="J8" s="139">
        <f>100*'Step3-Balance'!I31/SUM('Step3-Balance'!$C$39:$E$41)</f>
        <v>13.682246549585239</v>
      </c>
      <c r="K8" s="140">
        <f>100*'Step3-Balance'!J31/SUM('Step3-Balance'!$C$39:$E$41)</f>
        <v>3.006933690511099</v>
      </c>
      <c r="L8" s="141">
        <f>100*'Step3-Balance'!K36/SUM('Step3-Balance'!$C$39:$E$41)</f>
        <v>0.46666647641710279</v>
      </c>
      <c r="M8" s="142">
        <f t="shared" ref="M8:M12" si="1">SUM(D8:L8)</f>
        <v>128.33290474202383</v>
      </c>
      <c r="O8" s="218"/>
      <c r="P8" s="177" t="s">
        <v>82</v>
      </c>
      <c r="Q8" s="138">
        <f t="shared" ref="Q8:Q11" si="2">D8/D$13</f>
        <v>0.2080817869250644</v>
      </c>
      <c r="R8" s="139">
        <f t="shared" si="0"/>
        <v>0.30571523346827245</v>
      </c>
      <c r="S8" s="140">
        <f t="shared" si="0"/>
        <v>0.29695374102819788</v>
      </c>
      <c r="T8" s="139">
        <f t="shared" si="0"/>
        <v>4.0780155393434873E-3</v>
      </c>
      <c r="U8" s="141">
        <f t="shared" si="0"/>
        <v>3.9826457972904784E-3</v>
      </c>
      <c r="W8">
        <v>0</v>
      </c>
      <c r="X8">
        <v>1</v>
      </c>
      <c r="Y8">
        <v>0</v>
      </c>
      <c r="Z8">
        <v>0</v>
      </c>
      <c r="AA8">
        <v>0</v>
      </c>
      <c r="AC8" s="218"/>
      <c r="AD8" s="177" t="s">
        <v>82</v>
      </c>
      <c r="AE8" s="138">
        <v>0.50634988859643926</v>
      </c>
      <c r="AF8" s="139">
        <v>1.49742625474598</v>
      </c>
      <c r="AG8" s="140">
        <v>0.60407782963825751</v>
      </c>
      <c r="AH8" s="139">
        <v>2.6973298802084239E-2</v>
      </c>
      <c r="AI8" s="141">
        <v>1.4822006620313685E-2</v>
      </c>
    </row>
    <row r="9" spans="1:35" ht="22.5" customHeight="1">
      <c r="B9" s="207"/>
      <c r="C9" s="143" t="s">
        <v>17</v>
      </c>
      <c r="D9" s="144">
        <f>100*'Step3-Balance'!C32/SUM('Step3-Balance'!$C$39:$E$41)</f>
        <v>0</v>
      </c>
      <c r="E9" s="145">
        <f>100*'Step3-Balance'!D32/SUM('Step3-Balance'!$C$39:$E$41)</f>
        <v>0</v>
      </c>
      <c r="F9" s="146">
        <f>100*'Step3-Balance'!E32/SUM('Step3-Balance'!$C$39:$E$41)</f>
        <v>0</v>
      </c>
      <c r="G9" s="145">
        <v>0</v>
      </c>
      <c r="H9" s="147">
        <v>0</v>
      </c>
      <c r="I9" s="144">
        <f>100*'Step3-Balance'!H32/SUM('Step3-Balance'!$C$39:$E$41)</f>
        <v>0</v>
      </c>
      <c r="J9" s="145">
        <f>100*'Step3-Balance'!I32/SUM('Step3-Balance'!$C$39:$E$41)</f>
        <v>0</v>
      </c>
      <c r="K9" s="146">
        <f>100*'Step3-Balance'!J32/SUM('Step3-Balance'!$C$39:$E$41)</f>
        <v>10.052411570597966</v>
      </c>
      <c r="L9" s="147">
        <v>0</v>
      </c>
      <c r="M9" s="148">
        <f t="shared" si="1"/>
        <v>10.052411570597966</v>
      </c>
      <c r="O9" s="219"/>
      <c r="P9" s="178" t="s">
        <v>17</v>
      </c>
      <c r="Q9" s="144">
        <f t="shared" si="2"/>
        <v>0</v>
      </c>
      <c r="R9" s="145">
        <f t="shared" si="0"/>
        <v>0</v>
      </c>
      <c r="S9" s="146">
        <f t="shared" si="0"/>
        <v>0</v>
      </c>
      <c r="T9" s="145">
        <f t="shared" si="0"/>
        <v>0</v>
      </c>
      <c r="U9" s="147">
        <f t="shared" si="0"/>
        <v>0</v>
      </c>
      <c r="W9">
        <v>0</v>
      </c>
      <c r="X9">
        <v>0</v>
      </c>
      <c r="Y9">
        <v>1</v>
      </c>
      <c r="Z9">
        <v>0</v>
      </c>
      <c r="AA9">
        <v>0</v>
      </c>
      <c r="AC9" s="219"/>
      <c r="AD9" s="178" t="s">
        <v>17</v>
      </c>
      <c r="AE9" s="144">
        <v>0</v>
      </c>
      <c r="AF9" s="145">
        <v>0</v>
      </c>
      <c r="AG9" s="146">
        <v>1</v>
      </c>
      <c r="AH9" s="145">
        <v>0</v>
      </c>
      <c r="AI9" s="147">
        <v>0</v>
      </c>
    </row>
    <row r="10" spans="1:35" ht="22.5" customHeight="1">
      <c r="B10" s="201" t="s">
        <v>81</v>
      </c>
      <c r="C10" s="149" t="s">
        <v>299</v>
      </c>
      <c r="D10" s="138">
        <f>100*'Step3-Balance'!C37/SUM('Step3-Balance'!$C$39:$E$41)</f>
        <v>3.1661395587336951</v>
      </c>
      <c r="E10" s="139">
        <f>100*'Step3-Balance'!D37/SUM('Step3-Balance'!$C$39:$E$41)</f>
        <v>1.1091292226343152</v>
      </c>
      <c r="F10" s="140">
        <f>100*'Step3-Balance'!E37/SUM('Step3-Balance'!$C$39:$E$41)</f>
        <v>0.33021950640156839</v>
      </c>
      <c r="G10" s="139">
        <f>100*'Step3-Balance'!F33/SUM('Step3-Balance'!$C$39:$E$41)</f>
        <v>89.557192045213085</v>
      </c>
      <c r="H10" s="141">
        <f>100*'Step3-Balance'!G33/SUM('Step3-Balance'!$C$39:$E$41)</f>
        <v>41.13496857457524</v>
      </c>
      <c r="I10" s="138">
        <f>100*'Step3-Balance'!H37/SUM('Step3-Balance'!$C$39:$E$41)</f>
        <v>1.6397941088617143</v>
      </c>
      <c r="J10" s="139">
        <f>100*'Step3-Balance'!I37/SUM('Step3-Balance'!$C$39:$E$41)</f>
        <v>0.40814952639623192</v>
      </c>
      <c r="K10" s="140">
        <f>100*'Step3-Balance'!J37/SUM('Step3-Balance'!$C$39:$E$41)</f>
        <v>1.6792642371039646</v>
      </c>
      <c r="L10" s="141">
        <f>100*'Step3-Balance'!K33/SUM('Step3-Balance'!$C$39:$E$41)</f>
        <v>82.307685064824597</v>
      </c>
      <c r="M10" s="142">
        <f t="shared" si="1"/>
        <v>221.33254184474441</v>
      </c>
      <c r="O10" s="218" t="s">
        <v>81</v>
      </c>
      <c r="P10" s="179" t="s">
        <v>299</v>
      </c>
      <c r="Q10" s="138">
        <f t="shared" si="2"/>
        <v>5.6128353656135915E-2</v>
      </c>
      <c r="R10" s="139">
        <f t="shared" si="0"/>
        <v>8.6425942346118542E-3</v>
      </c>
      <c r="S10" s="140">
        <f t="shared" si="0"/>
        <v>3.284977978486156E-2</v>
      </c>
      <c r="T10" s="139">
        <f t="shared" si="0"/>
        <v>0.40462731462250001</v>
      </c>
      <c r="U10" s="141">
        <f t="shared" si="0"/>
        <v>0.12151892627300839</v>
      </c>
      <c r="W10">
        <v>0</v>
      </c>
      <c r="X10">
        <v>0</v>
      </c>
      <c r="Y10">
        <v>0</v>
      </c>
      <c r="Z10">
        <v>1</v>
      </c>
      <c r="AA10">
        <v>0</v>
      </c>
      <c r="AC10" s="218" t="s">
        <v>81</v>
      </c>
      <c r="AD10" s="179" t="s">
        <v>299</v>
      </c>
      <c r="AE10" s="138">
        <v>0.1806081012513675</v>
      </c>
      <c r="AF10" s="139">
        <v>4.5885411257127279E-2</v>
      </c>
      <c r="AG10" s="140">
        <v>0.13138082602796339</v>
      </c>
      <c r="AH10" s="139">
        <v>1.7792187637894459</v>
      </c>
      <c r="AI10" s="141">
        <v>0.29400637138614244</v>
      </c>
    </row>
    <row r="11" spans="1:35" ht="22.5" customHeight="1">
      <c r="B11" s="202"/>
      <c r="C11" s="150" t="s">
        <v>82</v>
      </c>
      <c r="D11" s="151">
        <f>100*'Step3-Balance'!C38/SUM('Step3-Balance'!$C$39:$E$41)</f>
        <v>0.44279152778556163</v>
      </c>
      <c r="E11" s="152">
        <f>100*'Step3-Balance'!D38/SUM('Step3-Balance'!$C$39:$E$41)</f>
        <v>1.0776630567473227</v>
      </c>
      <c r="F11" s="153">
        <f>100*'Step3-Balance'!E38/SUM('Step3-Balance'!$C$39:$E$41)</f>
        <v>9.6240911588401146E-2</v>
      </c>
      <c r="G11" s="152">
        <f>100*'Step3-Balance'!F34/SUM('Step3-Balance'!$C$39:$E$41)</f>
        <v>42.593210439628017</v>
      </c>
      <c r="H11" s="154">
        <f>100*'Step3-Balance'!G34/SUM('Step3-Balance'!$C$39:$E$41)</f>
        <v>88.665126656954683</v>
      </c>
      <c r="I11" s="151">
        <f>100*'Step3-Balance'!H38/SUM('Step3-Balance'!$C$39:$E$41)</f>
        <v>0.19325663328769938</v>
      </c>
      <c r="J11" s="152">
        <f>100*'Step3-Balance'!I38/SUM('Step3-Balance'!$C$39:$E$41)</f>
        <v>4.8102138508144043E-2</v>
      </c>
      <c r="K11" s="153">
        <f>100*'Step3-Balance'!J38/SUM('Step3-Balance'!$C$39:$E$41)</f>
        <v>2.1351784718111985E-2</v>
      </c>
      <c r="L11" s="154">
        <f>100*'Step3-Balance'!K34/SUM('Step3-Balance'!$C$39:$E$41)</f>
        <v>205.36893919391034</v>
      </c>
      <c r="M11" s="155">
        <f t="shared" si="1"/>
        <v>338.50668234312826</v>
      </c>
      <c r="O11" s="220"/>
      <c r="P11" s="180" t="s">
        <v>82</v>
      </c>
      <c r="Q11" s="151">
        <f t="shared" si="2"/>
        <v>7.8496727659815527E-3</v>
      </c>
      <c r="R11" s="152">
        <f t="shared" si="0"/>
        <v>8.3974025127362458E-3</v>
      </c>
      <c r="S11" s="153">
        <f t="shared" si="0"/>
        <v>9.5739127782740012E-3</v>
      </c>
      <c r="T11" s="152">
        <f t="shared" si="0"/>
        <v>0.19243989195906139</v>
      </c>
      <c r="U11" s="154">
        <f t="shared" si="0"/>
        <v>0.26193021078112455</v>
      </c>
      <c r="W11">
        <v>0</v>
      </c>
      <c r="X11">
        <v>0</v>
      </c>
      <c r="Y11">
        <v>0</v>
      </c>
      <c r="Z11">
        <v>0</v>
      </c>
      <c r="AA11">
        <v>1</v>
      </c>
      <c r="AC11" s="220"/>
      <c r="AD11" s="180" t="s">
        <v>82</v>
      </c>
      <c r="AE11" s="151">
        <v>7.0767986978480357E-2</v>
      </c>
      <c r="AF11" s="152">
        <v>3.1011083588436489E-2</v>
      </c>
      <c r="AG11" s="153">
        <v>6.0318784175218E-2</v>
      </c>
      <c r="AH11" s="152">
        <v>0.46470145430929027</v>
      </c>
      <c r="AI11" s="154">
        <v>1.4318847407796351</v>
      </c>
    </row>
    <row r="12" spans="1:35" ht="22.5" customHeight="1">
      <c r="B12" s="156"/>
      <c r="C12" s="157" t="s">
        <v>90</v>
      </c>
      <c r="D12" s="158">
        <f>100*'Step3-Balance'!C39/SUM('Step3-Balance'!$C$39:$E$41)</f>
        <v>19.546775741721476</v>
      </c>
      <c r="E12" s="159">
        <f>100*'Step3-Balance'!D40/SUM('Step3-Balance'!$C$39:$E$41)</f>
        <v>76.956714761165102</v>
      </c>
      <c r="F12" s="160">
        <f>100*'Step3-Balance'!E41/SUM('Step3-Balance'!$C$39:$E$41)</f>
        <v>3.4965094971134159</v>
      </c>
      <c r="G12" s="159">
        <f>100*'Step3-Balance'!F42/SUM('Step3-Balance'!$C$39:$E$41)</f>
        <v>85.175905748602247</v>
      </c>
      <c r="H12" s="161">
        <f>100*'Step3-Balance'!G42/SUM('Step3-Balance'!$C$39:$E$41)</f>
        <v>206.2231549570478</v>
      </c>
      <c r="I12" s="158">
        <v>0</v>
      </c>
      <c r="J12" s="159">
        <v>0</v>
      </c>
      <c r="K12" s="160">
        <v>0</v>
      </c>
      <c r="L12" s="161">
        <v>0</v>
      </c>
      <c r="M12" s="162">
        <f t="shared" si="1"/>
        <v>391.39906070565007</v>
      </c>
    </row>
    <row r="13" spans="1:35" ht="22.5" customHeight="1" thickBot="1">
      <c r="B13" s="163"/>
      <c r="C13" s="164" t="s">
        <v>91</v>
      </c>
      <c r="D13" s="165">
        <f>SUM(D7:D12)</f>
        <v>56.408915503395932</v>
      </c>
      <c r="E13" s="166">
        <f t="shared" ref="E13:L13" si="3">SUM(E7:E12)</f>
        <v>128.33290474201317</v>
      </c>
      <c r="F13" s="167">
        <f t="shared" si="3"/>
        <v>10.052411570617171</v>
      </c>
      <c r="G13" s="166">
        <f t="shared" si="3"/>
        <v>221.33254184474944</v>
      </c>
      <c r="H13" s="168">
        <f t="shared" si="3"/>
        <v>338.50668234312798</v>
      </c>
      <c r="I13" s="165">
        <f t="shared" si="3"/>
        <v>64.46714480140885</v>
      </c>
      <c r="J13" s="166">
        <f t="shared" si="3"/>
        <v>16.04605997583279</v>
      </c>
      <c r="K13" s="167">
        <f t="shared" si="3"/>
        <v>20.018962274242547</v>
      </c>
      <c r="L13" s="168">
        <f t="shared" si="3"/>
        <v>290.86689365413099</v>
      </c>
      <c r="M13" s="169"/>
    </row>
    <row r="14" spans="1:35">
      <c r="B14" s="24"/>
      <c r="C14" s="54"/>
      <c r="D14" s="48"/>
      <c r="E14" s="48"/>
      <c r="F14" s="48"/>
      <c r="G14" s="48"/>
      <c r="H14" s="48"/>
      <c r="I14" s="48"/>
      <c r="J14" s="48"/>
      <c r="K14" s="48"/>
      <c r="L14" s="48"/>
      <c r="M14" s="24"/>
    </row>
    <row r="15" spans="1:35">
      <c r="B15" s="24"/>
      <c r="C15" s="54"/>
      <c r="D15" s="48"/>
      <c r="E15" s="48"/>
      <c r="F15" s="48"/>
      <c r="G15" s="48"/>
      <c r="H15" s="48"/>
      <c r="I15" s="48"/>
      <c r="J15" s="48"/>
      <c r="K15" s="48"/>
      <c r="L15" s="48"/>
      <c r="M15" s="48"/>
      <c r="N15" s="48"/>
    </row>
    <row r="16" spans="1:35">
      <c r="B16" s="24"/>
      <c r="C16" s="54"/>
      <c r="D16" s="48"/>
      <c r="E16" s="48"/>
      <c r="F16" s="48"/>
      <c r="G16" s="48"/>
      <c r="H16" s="48"/>
      <c r="I16" s="48"/>
      <c r="J16" s="48"/>
      <c r="K16" s="48"/>
      <c r="L16" s="48"/>
      <c r="M16" s="48"/>
      <c r="N16" s="48"/>
    </row>
    <row r="17" spans="2:14">
      <c r="B17" s="24"/>
      <c r="C17" s="54"/>
      <c r="D17" s="48"/>
      <c r="E17" s="48"/>
      <c r="F17" s="48"/>
      <c r="G17" s="48"/>
      <c r="H17" s="48"/>
      <c r="I17" s="48"/>
      <c r="J17" s="48"/>
      <c r="K17" s="48"/>
      <c r="L17" s="48"/>
      <c r="M17" s="48"/>
      <c r="N17" s="48"/>
    </row>
    <row r="18" spans="2:14">
      <c r="B18" s="24"/>
      <c r="C18" s="54"/>
      <c r="D18" s="48"/>
      <c r="E18" s="48"/>
      <c r="F18" s="48"/>
      <c r="G18" s="48"/>
      <c r="H18" s="48"/>
      <c r="I18" s="48"/>
      <c r="J18" s="48"/>
      <c r="K18" s="48"/>
      <c r="L18" s="48"/>
      <c r="M18" s="48"/>
      <c r="N18" s="48"/>
    </row>
    <row r="19" spans="2:14">
      <c r="B19" s="24"/>
      <c r="C19" s="54"/>
      <c r="D19" s="48"/>
      <c r="E19" s="48"/>
      <c r="F19" s="48"/>
      <c r="G19" s="48"/>
      <c r="H19" s="48"/>
      <c r="I19" s="48"/>
      <c r="J19" s="48"/>
      <c r="K19" s="48"/>
      <c r="L19" s="48"/>
      <c r="M19" s="48"/>
      <c r="N19" s="48"/>
    </row>
    <row r="22" spans="2:14">
      <c r="B22" s="52" t="s">
        <v>302</v>
      </c>
      <c r="C22" s="52"/>
      <c r="D22" s="52"/>
      <c r="E22" s="52"/>
    </row>
    <row r="23" spans="2:14">
      <c r="B23" s="52"/>
      <c r="C23" s="52"/>
      <c r="D23" s="52"/>
      <c r="E23" s="52"/>
    </row>
    <row r="24" spans="2:14">
      <c r="B24" s="52"/>
      <c r="C24" s="52" t="s">
        <v>303</v>
      </c>
      <c r="D24" s="52" t="s">
        <v>304</v>
      </c>
      <c r="E24" s="52"/>
    </row>
    <row r="25" spans="2:14">
      <c r="B25" s="52" t="s">
        <v>300</v>
      </c>
      <c r="C25" s="53">
        <f>'Step2a-NIPACalcs'!E5</f>
        <v>64.467144801431346</v>
      </c>
      <c r="D25" s="53">
        <f>I13</f>
        <v>64.46714480140885</v>
      </c>
      <c r="E25" s="52"/>
    </row>
    <row r="26" spans="2:14">
      <c r="B26" s="52" t="s">
        <v>301</v>
      </c>
      <c r="C26" s="53">
        <f>'Step2a-NIPACalcs'!E6</f>
        <v>16.046059975838396</v>
      </c>
      <c r="D26" s="53">
        <f>J13</f>
        <v>16.04605997583279</v>
      </c>
      <c r="E26" s="52"/>
    </row>
    <row r="27" spans="2:14">
      <c r="B27" s="52" t="s">
        <v>239</v>
      </c>
      <c r="C27" s="53">
        <f>'Step2a-NIPACalcs'!E7</f>
        <v>20.018962274249535</v>
      </c>
      <c r="D27" s="53">
        <f>K13</f>
        <v>20.018962274242547</v>
      </c>
      <c r="E27" s="52"/>
    </row>
    <row r="28" spans="2:14">
      <c r="B28" s="52" t="s">
        <v>240</v>
      </c>
      <c r="C28" s="53">
        <f>'Step2a-NIPACalcs'!E8</f>
        <v>6.9625189240438585</v>
      </c>
      <c r="D28" s="53">
        <f>SUM(G7:H7,L7)</f>
        <v>6.9625189240414285</v>
      </c>
      <c r="E28" s="52"/>
    </row>
    <row r="29" spans="2:14">
      <c r="B29" s="52" t="s">
        <v>241</v>
      </c>
      <c r="C29" s="53">
        <f>'Step2a-NIPACalcs'!E9</f>
        <v>2.7174162372119337</v>
      </c>
      <c r="D29" s="53">
        <f>SUM(G8:H8,L8)</f>
        <v>2.7174162372109851</v>
      </c>
      <c r="E29" s="52"/>
    </row>
    <row r="30" spans="2:14">
      <c r="B30" s="52" t="s">
        <v>242</v>
      </c>
      <c r="C30" s="53">
        <f>'Step2a-NIPACalcs'!E10</f>
        <v>8.3326961601394629</v>
      </c>
      <c r="D30" s="53">
        <f>SUM(D10:F10,I10:K10)</f>
        <v>8.3326961601314906</v>
      </c>
      <c r="E30" s="52"/>
    </row>
    <row r="31" spans="2:14">
      <c r="B31" s="52" t="s">
        <v>243</v>
      </c>
      <c r="C31" s="53">
        <f>'Step2a-NIPACalcs'!E11</f>
        <v>1.8794060526356036</v>
      </c>
      <c r="D31" s="53">
        <f>SUM(D11:F11,I11:K11)</f>
        <v>1.879406052635241</v>
      </c>
      <c r="E31" s="52"/>
    </row>
    <row r="32" spans="2:14">
      <c r="B32" s="52"/>
      <c r="C32" s="52"/>
      <c r="D32" s="52"/>
      <c r="E32" s="52"/>
    </row>
    <row r="33" spans="2:5">
      <c r="B33" s="52" t="s">
        <v>305</v>
      </c>
      <c r="C33" s="53">
        <f>C28-C30</f>
        <v>-1.3701772360956044</v>
      </c>
      <c r="D33" s="52"/>
      <c r="E33" s="52"/>
    </row>
    <row r="34" spans="2:5">
      <c r="B34" s="52" t="s">
        <v>306</v>
      </c>
      <c r="C34" s="53">
        <f>C29-C31</f>
        <v>0.83801018457633014</v>
      </c>
      <c r="D34" s="52"/>
      <c r="E34" s="52"/>
    </row>
    <row r="35" spans="2:5">
      <c r="B35" s="52" t="s">
        <v>307</v>
      </c>
      <c r="C35" s="53">
        <f>C28+C29-C30-C31</f>
        <v>-0.53216705151927512</v>
      </c>
      <c r="D35" s="52"/>
      <c r="E35" s="52"/>
    </row>
  </sheetData>
  <mergeCells count="17">
    <mergeCell ref="AC4:AI4"/>
    <mergeCell ref="AE5:AG5"/>
    <mergeCell ref="AH5:AI5"/>
    <mergeCell ref="AC7:AC9"/>
    <mergeCell ref="AC10:AC11"/>
    <mergeCell ref="Q5:S5"/>
    <mergeCell ref="T5:U5"/>
    <mergeCell ref="O7:O9"/>
    <mergeCell ref="O10:O11"/>
    <mergeCell ref="O4:U4"/>
    <mergeCell ref="B10:B11"/>
    <mergeCell ref="I5:K5"/>
    <mergeCell ref="B7:B9"/>
    <mergeCell ref="D4:H4"/>
    <mergeCell ref="I4:L4"/>
    <mergeCell ref="D5:F5"/>
    <mergeCell ref="G5:H5"/>
  </mergeCells>
  <pageMargins left="0" right="0" top="0" bottom="0" header="0" footer="0"/>
  <pageSetup scale="75"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35"/>
  <sheetViews>
    <sheetView showGridLines="0" zoomScaleNormal="100" workbookViewId="0">
      <selection activeCell="Q7" sqref="Q7"/>
    </sheetView>
  </sheetViews>
  <sheetFormatPr defaultRowHeight="15"/>
  <cols>
    <col min="2" max="2" width="7.125" customWidth="1"/>
    <col min="3" max="3" width="13.375" customWidth="1"/>
    <col min="4" max="12" width="10.625" customWidth="1"/>
    <col min="13" max="13" width="14.375" customWidth="1"/>
  </cols>
  <sheetData>
    <row r="1" spans="1:13" ht="18.75">
      <c r="A1" s="10" t="s">
        <v>493</v>
      </c>
    </row>
    <row r="2" spans="1:13" ht="18.75">
      <c r="A2" s="10"/>
    </row>
    <row r="3" spans="1:13" ht="15.75" thickBot="1"/>
    <row r="4" spans="1:13" ht="22.5" customHeight="1" thickTop="1">
      <c r="B4" s="121"/>
      <c r="C4" s="122"/>
      <c r="D4" s="208" t="s">
        <v>83</v>
      </c>
      <c r="E4" s="209"/>
      <c r="F4" s="209"/>
      <c r="G4" s="209"/>
      <c r="H4" s="210"/>
      <c r="I4" s="211" t="s">
        <v>84</v>
      </c>
      <c r="J4" s="211"/>
      <c r="K4" s="211"/>
      <c r="L4" s="212"/>
      <c r="M4" s="123" t="s">
        <v>91</v>
      </c>
    </row>
    <row r="5" spans="1:13" ht="22.5" customHeight="1">
      <c r="B5" s="124"/>
      <c r="C5" s="125"/>
      <c r="D5" s="213" t="s">
        <v>40</v>
      </c>
      <c r="E5" s="214"/>
      <c r="F5" s="215"/>
      <c r="G5" s="214" t="s">
        <v>81</v>
      </c>
      <c r="H5" s="216"/>
      <c r="I5" s="203" t="s">
        <v>40</v>
      </c>
      <c r="J5" s="204"/>
      <c r="K5" s="205"/>
      <c r="L5" s="126" t="s">
        <v>81</v>
      </c>
      <c r="M5" s="127"/>
    </row>
    <row r="6" spans="1:13" ht="84" customHeight="1">
      <c r="B6" s="128"/>
      <c r="C6" s="129"/>
      <c r="D6" s="170" t="s">
        <v>299</v>
      </c>
      <c r="E6" s="171" t="s">
        <v>82</v>
      </c>
      <c r="F6" s="172" t="s">
        <v>17</v>
      </c>
      <c r="G6" s="171" t="s">
        <v>299</v>
      </c>
      <c r="H6" s="173" t="s">
        <v>82</v>
      </c>
      <c r="I6" s="170" t="s">
        <v>300</v>
      </c>
      <c r="J6" s="171" t="s">
        <v>301</v>
      </c>
      <c r="K6" s="172" t="s">
        <v>239</v>
      </c>
      <c r="L6" s="173" t="s">
        <v>300</v>
      </c>
      <c r="M6" s="130"/>
    </row>
    <row r="7" spans="1:13" ht="22.5" customHeight="1">
      <c r="B7" s="206" t="s">
        <v>40</v>
      </c>
      <c r="C7" s="131" t="s">
        <v>299</v>
      </c>
      <c r="D7" s="132">
        <f>100*'Step3-BalanceMoreSvcsTrd'!C30/SUM('Step3-BalanceMoreSvcsTrd'!$C$39:$E$41)</f>
        <v>22.297805569452532</v>
      </c>
      <c r="E7" s="133">
        <f>100*'Step3-BalanceMoreSvcsTrd'!D30/SUM('Step3-BalanceMoreSvcsTrd'!$C$39:$E$41)</f>
        <v>10.16012680687377</v>
      </c>
      <c r="F7" s="134">
        <f>100*'Step3-BalanceMoreSvcsTrd'!E30/SUM('Step3-BalanceMoreSvcsTrd'!$C$39:$E$41)</f>
        <v>3.2218256543506238</v>
      </c>
      <c r="G7" s="133">
        <f>100*'Step3-BalanceMoreSvcsTrd'!F35/SUM('Step3-BalanceMoreSvcsTrd'!$C$39:$E$41)</f>
        <v>2.1489198887952869</v>
      </c>
      <c r="H7" s="135">
        <f>100*'Step3-BalanceMoreSvcsTrd'!G35/SUM('Step3-BalanceMoreSvcsTrd'!$C$39:$E$41)</f>
        <v>0.78702241774283077</v>
      </c>
      <c r="I7" s="132">
        <f>100*'Step3-BalanceMoreSvcsTrd'!H30/SUM('Step3-BalanceMoreSvcsTrd'!$C$39:$E$41)</f>
        <v>8.1220634918913426</v>
      </c>
      <c r="J7" s="133">
        <f>100*'Step3-BalanceMoreSvcsTrd'!I30/SUM('Step3-BalanceMoreSvcsTrd'!$C$39:$E$41)</f>
        <v>2.0216052427927962</v>
      </c>
      <c r="K7" s="134">
        <f>100*'Step3-BalanceMoreSvcsTrd'!J30/SUM('Step3-BalanceMoreSvcsTrd'!$C$39:$E$41)</f>
        <v>5.7455211573783833</v>
      </c>
      <c r="L7" s="135">
        <f>100*'Step3-BalanceMoreSvcsTrd'!K35/SUM('Step3-BalanceMoreSvcsTrd'!$C$39:$E$41)</f>
        <v>1.9040252740877703</v>
      </c>
      <c r="M7" s="136">
        <f>SUM(D7:L7)</f>
        <v>56.408915503365336</v>
      </c>
    </row>
    <row r="8" spans="1:13" ht="22.5" customHeight="1">
      <c r="B8" s="201"/>
      <c r="C8" s="137" t="s">
        <v>82</v>
      </c>
      <c r="D8" s="138">
        <f>100*'Step3-BalanceMoreSvcsTrd'!C31/SUM('Step3-BalanceMoreSvcsTrd'!$C$39:$E$41)</f>
        <v>11.440918734116567</v>
      </c>
      <c r="E8" s="139">
        <f>100*'Step3-BalanceMoreSvcsTrd'!D31/SUM('Step3-BalanceMoreSvcsTrd'!$C$39:$E$41)</f>
        <v>37.656100964099473</v>
      </c>
      <c r="F8" s="140">
        <f>100*'Step3-BalanceMoreSvcsTrd'!E31/SUM('Step3-BalanceMoreSvcsTrd'!$C$39:$E$41)</f>
        <v>2.8767409816327669</v>
      </c>
      <c r="G8" s="139">
        <f>100*'Step3-BalanceMoreSvcsTrd'!F36/SUM('Step3-BalanceMoreSvcsTrd'!$C$39:$E$41)</f>
        <v>1.6039650498670974</v>
      </c>
      <c r="H8" s="141">
        <f>100*'Step3-BalanceMoreSvcsTrd'!G36/SUM('Step3-BalanceMoreSvcsTrd'!$C$39:$E$41)</f>
        <v>2.3986914484411948</v>
      </c>
      <c r="I8" s="138">
        <f>100*'Step3-BalanceMoreSvcsTrd'!H31/SUM('Step3-BalanceMoreSvcsTrd'!$C$39:$E$41)</f>
        <v>54.791653546710151</v>
      </c>
      <c r="J8" s="139">
        <f>100*'Step3-BalanceMoreSvcsTrd'!I31/SUM('Step3-BalanceMoreSvcsTrd'!$C$39:$E$41)</f>
        <v>13.637802041550147</v>
      </c>
      <c r="K8" s="140">
        <f>100*'Step3-BalanceMoreSvcsTrd'!J31/SUM('Step3-BalanceMoreSvcsTrd'!$C$39:$E$41)</f>
        <v>3.0897208932804343</v>
      </c>
      <c r="L8" s="141">
        <f>100*'Step3-BalanceMoreSvcsTrd'!K36/SUM('Step3-BalanceMoreSvcsTrd'!$C$39:$E$41)</f>
        <v>0.83731108231759577</v>
      </c>
      <c r="M8" s="142">
        <f t="shared" ref="M8:M12" si="0">SUM(D8:L8)</f>
        <v>128.33290474201542</v>
      </c>
    </row>
    <row r="9" spans="1:13" ht="22.5" customHeight="1">
      <c r="B9" s="207"/>
      <c r="C9" s="143" t="s">
        <v>17</v>
      </c>
      <c r="D9" s="144">
        <f>100*'Step3-BalanceMoreSvcsTrd'!C32/SUM('Step3-BalanceMoreSvcsTrd'!$C$39:$E$41)</f>
        <v>0</v>
      </c>
      <c r="E9" s="145">
        <f>100*'Step3-BalanceMoreSvcsTrd'!D32/SUM('Step3-BalanceMoreSvcsTrd'!$C$39:$E$41)</f>
        <v>0</v>
      </c>
      <c r="F9" s="146">
        <f>100*'Step3-BalanceMoreSvcsTrd'!E32/SUM('Step3-BalanceMoreSvcsTrd'!$C$39:$E$41)</f>
        <v>0</v>
      </c>
      <c r="G9" s="145">
        <v>0</v>
      </c>
      <c r="H9" s="147">
        <v>0</v>
      </c>
      <c r="I9" s="144">
        <f>100*'Step3-BalanceMoreSvcsTrd'!H32/SUM('Step3-BalanceMoreSvcsTrd'!$C$39:$E$41)</f>
        <v>0</v>
      </c>
      <c r="J9" s="145">
        <f>100*'Step3-BalanceMoreSvcsTrd'!I32/SUM('Step3-BalanceMoreSvcsTrd'!$C$39:$E$41)</f>
        <v>0</v>
      </c>
      <c r="K9" s="146">
        <f>100*'Step3-BalanceMoreSvcsTrd'!J32/SUM('Step3-BalanceMoreSvcsTrd'!$C$39:$E$41)</f>
        <v>10.052411570594005</v>
      </c>
      <c r="L9" s="147">
        <v>0</v>
      </c>
      <c r="M9" s="148">
        <f t="shared" si="0"/>
        <v>10.052411570594005</v>
      </c>
    </row>
    <row r="10" spans="1:13" ht="22.5" customHeight="1">
      <c r="B10" s="201" t="s">
        <v>81</v>
      </c>
      <c r="C10" s="149" t="s">
        <v>299</v>
      </c>
      <c r="D10" s="138">
        <f>100*'Step3-BalanceMoreSvcsTrd'!C37/SUM('Step3-BalanceMoreSvcsTrd'!$C$39:$E$41)</f>
        <v>1.9133572698315917</v>
      </c>
      <c r="E10" s="139">
        <f>100*'Step3-BalanceMoreSvcsTrd'!D37/SUM('Step3-BalanceMoreSvcsTrd'!$C$39:$E$41)</f>
        <v>0.66000819595963522</v>
      </c>
      <c r="F10" s="140">
        <f>100*'Step3-BalanceMoreSvcsTrd'!E37/SUM('Step3-BalanceMoreSvcsTrd'!$C$39:$E$41)</f>
        <v>0.19730194063559492</v>
      </c>
      <c r="G10" s="139">
        <f>100*'Step3-BalanceMoreSvcsTrd'!F33/SUM('Step3-BalanceMoreSvcsTrd'!$C$39:$E$41)</f>
        <v>90.553936964646155</v>
      </c>
      <c r="H10" s="141">
        <f>100*'Step3-BalanceMoreSvcsTrd'!G33/SUM('Step3-BalanceMoreSvcsTrd'!$C$39:$E$41)</f>
        <v>41.644029191420067</v>
      </c>
      <c r="I10" s="138">
        <f>100*'Step3-BalanceMoreSvcsTrd'!H37/SUM('Step3-BalanceMoreSvcsTrd'!$C$39:$E$41)</f>
        <v>1.0133587621423268</v>
      </c>
      <c r="J10" s="139">
        <f>100*'Step3-BalanceMoreSvcsTrd'!I37/SUM('Step3-BalanceMoreSvcsTrd'!$C$39:$E$41)</f>
        <v>0.25222794532721587</v>
      </c>
      <c r="K10" s="140">
        <f>100*'Step3-BalanceMoreSvcsTrd'!J37/SUM('Step3-BalanceMoreSvcsTrd'!$C$39:$E$41)</f>
        <v>1.0697969924853337</v>
      </c>
      <c r="L10" s="141">
        <f>100*'Step3-BalanceMoreSvcsTrd'!K33/SUM('Step3-BalanceMoreSvcsTrd'!$C$39:$E$41)</f>
        <v>84.028524582283268</v>
      </c>
      <c r="M10" s="142">
        <f t="shared" si="0"/>
        <v>221.33254184473117</v>
      </c>
    </row>
    <row r="11" spans="1:13" ht="22.5" customHeight="1">
      <c r="B11" s="202"/>
      <c r="C11" s="150" t="s">
        <v>82</v>
      </c>
      <c r="D11" s="151">
        <f>100*'Step3-BalanceMoreSvcsTrd'!C38/SUM('Step3-BalanceMoreSvcsTrd'!$C$39:$E$41)</f>
        <v>1.2100581882737904</v>
      </c>
      <c r="E11" s="152">
        <f>100*'Step3-BalanceMoreSvcsTrd'!D38/SUM('Step3-BalanceMoreSvcsTrd'!$C$39:$E$41)</f>
        <v>2.8999540139024207</v>
      </c>
      <c r="F11" s="153">
        <f>100*'Step3-BalanceMoreSvcsTrd'!E38/SUM('Step3-BalanceMoreSvcsTrd'!$C$39:$E$41)</f>
        <v>0.2600334968846878</v>
      </c>
      <c r="G11" s="152">
        <f>100*'Step3-BalanceMoreSvcsTrd'!F34/SUM('Step3-BalanceMoreSvcsTrd'!$C$39:$E$41)</f>
        <v>41.924010814327616</v>
      </c>
      <c r="H11" s="154">
        <f>100*'Step3-BalanceMoreSvcsTrd'!G34/SUM('Step3-BalanceMoreSvcsTrd'!$C$39:$E$41)</f>
        <v>87.379587706969474</v>
      </c>
      <c r="I11" s="151">
        <f>100*'Step3-BalanceMoreSvcsTrd'!H38/SUM('Step3-BalanceMoreSvcsTrd'!$C$39:$E$41)</f>
        <v>0.54006900066077723</v>
      </c>
      <c r="J11" s="152">
        <f>100*'Step3-BalanceMoreSvcsTrd'!I38/SUM('Step3-BalanceMoreSvcsTrd'!$C$39:$E$41)</f>
        <v>0.13442474616157549</v>
      </c>
      <c r="K11" s="153">
        <f>100*'Step3-BalanceMoreSvcsTrd'!J38/SUM('Step3-BalanceMoreSvcsTrd'!$C$39:$E$41)</f>
        <v>6.1511660503077811E-2</v>
      </c>
      <c r="L11" s="154">
        <f>100*'Step3-BalanceMoreSvcsTrd'!K34/SUM('Step3-BalanceMoreSvcsTrd'!$C$39:$E$41)</f>
        <v>204.09703271542321</v>
      </c>
      <c r="M11" s="155">
        <f t="shared" si="0"/>
        <v>338.5066823431066</v>
      </c>
    </row>
    <row r="12" spans="1:13" ht="22.5" customHeight="1">
      <c r="B12" s="156"/>
      <c r="C12" s="157" t="s">
        <v>90</v>
      </c>
      <c r="D12" s="158">
        <f>100*'Step3-BalanceMoreSvcsTrd'!C39/SUM('Step3-BalanceMoreSvcsTrd'!$C$39:$E$41)</f>
        <v>19.546775741717742</v>
      </c>
      <c r="E12" s="159">
        <f>100*'Step3-BalanceMoreSvcsTrd'!D40/SUM('Step3-BalanceMoreSvcsTrd'!$C$39:$E$41)</f>
        <v>76.956714761169437</v>
      </c>
      <c r="F12" s="160">
        <f>100*'Step3-BalanceMoreSvcsTrd'!E41/SUM('Step3-BalanceMoreSvcsTrd'!$C$39:$E$41)</f>
        <v>3.4965094971128341</v>
      </c>
      <c r="G12" s="159">
        <f>100*'Step3-BalanceMoreSvcsTrd'!F42/SUM('Step3-BalanceMoreSvcsTrd'!$C$39:$E$41)</f>
        <v>85.101709127098729</v>
      </c>
      <c r="H12" s="161">
        <f>100*'Step3-BalanceMoreSvcsTrd'!G42/SUM('Step3-BalanceMoreSvcsTrd'!$C$39:$E$41)</f>
        <v>206.29735157853213</v>
      </c>
      <c r="I12" s="158">
        <v>0</v>
      </c>
      <c r="J12" s="159">
        <v>0</v>
      </c>
      <c r="K12" s="160">
        <v>0</v>
      </c>
      <c r="L12" s="161">
        <v>0</v>
      </c>
      <c r="M12" s="162">
        <f t="shared" si="0"/>
        <v>391.39906070563086</v>
      </c>
    </row>
    <row r="13" spans="1:13" ht="22.5" customHeight="1" thickBot="1">
      <c r="B13" s="163"/>
      <c r="C13" s="164" t="s">
        <v>91</v>
      </c>
      <c r="D13" s="165">
        <f>SUM(D7:D12)</f>
        <v>56.408915503392222</v>
      </c>
      <c r="E13" s="166">
        <f t="shared" ref="E13:L13" si="1">SUM(E7:E12)</f>
        <v>128.33290474200473</v>
      </c>
      <c r="F13" s="167">
        <f t="shared" si="1"/>
        <v>10.052411570616506</v>
      </c>
      <c r="G13" s="166">
        <f t="shared" si="1"/>
        <v>221.33254184473489</v>
      </c>
      <c r="H13" s="168">
        <f t="shared" si="1"/>
        <v>338.50668234310569</v>
      </c>
      <c r="I13" s="165">
        <f t="shared" si="1"/>
        <v>64.467144801404586</v>
      </c>
      <c r="J13" s="166">
        <f t="shared" si="1"/>
        <v>16.046059975831735</v>
      </c>
      <c r="K13" s="167">
        <f t="shared" si="1"/>
        <v>20.018962274241236</v>
      </c>
      <c r="L13" s="168">
        <f t="shared" si="1"/>
        <v>290.86689365411183</v>
      </c>
      <c r="M13" s="169"/>
    </row>
    <row r="14" spans="1:13">
      <c r="B14" s="24"/>
      <c r="C14" s="54"/>
      <c r="D14" s="48"/>
      <c r="E14" s="48"/>
      <c r="F14" s="48"/>
      <c r="G14" s="48"/>
      <c r="H14" s="48"/>
      <c r="I14" s="48"/>
      <c r="J14" s="48"/>
      <c r="K14" s="48"/>
      <c r="L14" s="48"/>
      <c r="M14" s="24"/>
    </row>
    <row r="15" spans="1:13">
      <c r="B15" s="24"/>
      <c r="C15" s="54"/>
      <c r="D15" s="48"/>
      <c r="E15" s="48"/>
      <c r="F15" s="48"/>
      <c r="G15" s="48"/>
      <c r="H15" s="48"/>
      <c r="I15" s="48"/>
      <c r="J15" s="48"/>
      <c r="K15" s="48"/>
      <c r="L15" s="48"/>
      <c r="M15" s="24"/>
    </row>
    <row r="16" spans="1:13">
      <c r="B16" s="24"/>
      <c r="C16" s="54"/>
      <c r="D16" s="48"/>
      <c r="E16" s="48"/>
      <c r="F16" s="48"/>
      <c r="G16" s="48"/>
      <c r="H16" s="48"/>
      <c r="I16" s="48"/>
      <c r="J16" s="48"/>
      <c r="K16" s="48"/>
      <c r="L16" s="48"/>
      <c r="M16" s="24"/>
    </row>
    <row r="17" spans="2:13">
      <c r="B17" s="24"/>
      <c r="C17" s="54"/>
      <c r="D17" s="48"/>
      <c r="E17" s="48"/>
      <c r="F17" s="48"/>
      <c r="G17" s="48"/>
      <c r="H17" s="48"/>
      <c r="I17" s="48"/>
      <c r="J17" s="48"/>
      <c r="K17" s="48"/>
      <c r="L17" s="48"/>
      <c r="M17" s="24"/>
    </row>
    <row r="18" spans="2:13">
      <c r="B18" s="24"/>
      <c r="C18" s="54"/>
      <c r="D18" s="48"/>
      <c r="E18" s="48"/>
      <c r="F18" s="48"/>
      <c r="G18" s="48"/>
      <c r="H18" s="48"/>
      <c r="I18" s="48"/>
      <c r="J18" s="48"/>
      <c r="K18" s="48"/>
      <c r="L18" s="48"/>
      <c r="M18" s="24"/>
    </row>
    <row r="19" spans="2:13">
      <c r="B19" s="24"/>
      <c r="C19" s="54"/>
      <c r="D19" s="48"/>
      <c r="E19" s="48"/>
      <c r="F19" s="48"/>
      <c r="G19" s="48"/>
      <c r="H19" s="48"/>
      <c r="I19" s="48"/>
      <c r="J19" s="48"/>
      <c r="K19" s="48"/>
      <c r="L19" s="48"/>
      <c r="M19" s="24"/>
    </row>
    <row r="22" spans="2:13">
      <c r="B22" s="52" t="s">
        <v>302</v>
      </c>
      <c r="C22" s="52"/>
      <c r="D22" s="52"/>
      <c r="E22" s="52"/>
    </row>
    <row r="23" spans="2:13">
      <c r="B23" s="52"/>
      <c r="C23" s="52"/>
      <c r="D23" s="52"/>
      <c r="E23" s="52"/>
    </row>
    <row r="24" spans="2:13">
      <c r="B24" s="52"/>
      <c r="C24" s="52" t="s">
        <v>303</v>
      </c>
      <c r="D24" s="52" t="s">
        <v>304</v>
      </c>
      <c r="E24" s="52"/>
    </row>
    <row r="25" spans="2:13">
      <c r="B25" s="52" t="s">
        <v>300</v>
      </c>
      <c r="C25" s="53">
        <f>'Step2a-NIPACalcs'!E5</f>
        <v>64.467144801431346</v>
      </c>
      <c r="D25" s="53">
        <f>I13</f>
        <v>64.467144801404586</v>
      </c>
      <c r="E25" s="52"/>
    </row>
    <row r="26" spans="2:13">
      <c r="B26" s="52" t="s">
        <v>301</v>
      </c>
      <c r="C26" s="53">
        <f>'Step2a-NIPACalcs'!E6</f>
        <v>16.046059975838396</v>
      </c>
      <c r="D26" s="53">
        <f>J13</f>
        <v>16.046059975831735</v>
      </c>
      <c r="E26" s="52"/>
    </row>
    <row r="27" spans="2:13">
      <c r="B27" s="52" t="s">
        <v>239</v>
      </c>
      <c r="C27" s="53">
        <f>'Step2a-NIPACalcs'!E7</f>
        <v>20.018962274249535</v>
      </c>
      <c r="D27" s="53">
        <f>K13</f>
        <v>20.018962274241236</v>
      </c>
      <c r="E27" s="52"/>
    </row>
    <row r="28" spans="2:13">
      <c r="B28" s="52" t="s">
        <v>240</v>
      </c>
      <c r="C28" s="53">
        <f>'Step2a-NIPACalcs'!E8</f>
        <v>6.9625189240438585</v>
      </c>
      <c r="D28" s="53">
        <f>SUM(G7:H7,L7)</f>
        <v>4.8399675806258884</v>
      </c>
      <c r="E28" s="52"/>
    </row>
    <row r="29" spans="2:13">
      <c r="B29" s="52" t="s">
        <v>241</v>
      </c>
      <c r="C29" s="53">
        <f>'Step2a-NIPACalcs'!E9</f>
        <v>2.7174162372119337</v>
      </c>
      <c r="D29" s="53">
        <f>SUM(G8:H8,L8)</f>
        <v>4.8399675806258884</v>
      </c>
      <c r="E29" s="52"/>
    </row>
    <row r="30" spans="2:13">
      <c r="B30" s="52" t="s">
        <v>242</v>
      </c>
      <c r="C30" s="53">
        <f>'Step2a-NIPACalcs'!E10</f>
        <v>8.3326961601394629</v>
      </c>
      <c r="D30" s="53">
        <f>SUM(D10:F10,I10:K10)</f>
        <v>5.1060511063816971</v>
      </c>
      <c r="E30" s="52"/>
    </row>
    <row r="31" spans="2:13">
      <c r="B31" s="52" t="s">
        <v>243</v>
      </c>
      <c r="C31" s="53">
        <f>'Step2a-NIPACalcs'!E11</f>
        <v>1.8794060526356036</v>
      </c>
      <c r="D31" s="53">
        <f>SUM(D11:F11,I11:K11)</f>
        <v>5.106051106386329</v>
      </c>
      <c r="E31" s="52"/>
    </row>
    <row r="32" spans="2:13">
      <c r="B32" s="52"/>
      <c r="C32" s="52"/>
      <c r="D32" s="52"/>
      <c r="E32" s="52"/>
    </row>
    <row r="33" spans="2:5">
      <c r="B33" s="52" t="s">
        <v>305</v>
      </c>
      <c r="C33" s="53">
        <f>C28-C30</f>
        <v>-1.3701772360956044</v>
      </c>
      <c r="D33" s="52"/>
      <c r="E33" s="52"/>
    </row>
    <row r="34" spans="2:5">
      <c r="B34" s="52" t="s">
        <v>306</v>
      </c>
      <c r="C34" s="53">
        <f>C29-C31</f>
        <v>0.83801018457633014</v>
      </c>
      <c r="D34" s="52"/>
      <c r="E34" s="52"/>
    </row>
    <row r="35" spans="2:5">
      <c r="B35" s="52" t="s">
        <v>307</v>
      </c>
      <c r="C35" s="53">
        <f>C28+C29-C30-C31</f>
        <v>-0.53216705151927512</v>
      </c>
      <c r="D35" s="52"/>
      <c r="E35" s="52"/>
    </row>
  </sheetData>
  <mergeCells count="7">
    <mergeCell ref="B10:B11"/>
    <mergeCell ref="D4:H4"/>
    <mergeCell ref="I4:L4"/>
    <mergeCell ref="D5:F5"/>
    <mergeCell ref="G5:H5"/>
    <mergeCell ref="I5:K5"/>
    <mergeCell ref="B7:B9"/>
  </mergeCells>
  <pageMargins left="0" right="0" top="0" bottom="0" header="0" footer="0"/>
  <pageSetup scale="75"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35"/>
  <sheetViews>
    <sheetView zoomScaleNormal="100" workbookViewId="0">
      <selection activeCell="P47" sqref="P47"/>
    </sheetView>
  </sheetViews>
  <sheetFormatPr defaultRowHeight="15"/>
  <cols>
    <col min="2" max="2" width="16.25" customWidth="1"/>
    <col min="3" max="3" width="15.625" customWidth="1"/>
    <col min="4" max="13" width="13.875" customWidth="1"/>
  </cols>
  <sheetData>
    <row r="1" spans="1:13" ht="18.75">
      <c r="A1" s="10" t="s">
        <v>493</v>
      </c>
    </row>
    <row r="2" spans="1:13" ht="18.75">
      <c r="A2" s="10"/>
    </row>
    <row r="3" spans="1:13" ht="15.75" thickBot="1"/>
    <row r="4" spans="1:13" ht="15.75" thickTop="1">
      <c r="B4" s="31"/>
      <c r="C4" s="32"/>
      <c r="D4" s="224" t="s">
        <v>83</v>
      </c>
      <c r="E4" s="225"/>
      <c r="F4" s="225"/>
      <c r="G4" s="225"/>
      <c r="H4" s="226"/>
      <c r="I4" s="227" t="s">
        <v>84</v>
      </c>
      <c r="J4" s="227"/>
      <c r="K4" s="227"/>
      <c r="L4" s="228"/>
      <c r="M4" s="119" t="s">
        <v>91</v>
      </c>
    </row>
    <row r="5" spans="1:13">
      <c r="B5" s="27"/>
      <c r="C5" s="33"/>
      <c r="D5" s="229" t="s">
        <v>40</v>
      </c>
      <c r="E5" s="230"/>
      <c r="F5" s="231"/>
      <c r="G5" s="230" t="s">
        <v>81</v>
      </c>
      <c r="H5" s="232"/>
      <c r="I5" s="233" t="s">
        <v>40</v>
      </c>
      <c r="J5" s="234"/>
      <c r="K5" s="235"/>
      <c r="L5" s="38" t="s">
        <v>81</v>
      </c>
      <c r="M5" s="46"/>
    </row>
    <row r="6" spans="1:13">
      <c r="B6" s="29"/>
      <c r="C6" s="34"/>
      <c r="D6" s="40" t="s">
        <v>299</v>
      </c>
      <c r="E6" s="30" t="s">
        <v>82</v>
      </c>
      <c r="F6" s="41" t="s">
        <v>17</v>
      </c>
      <c r="G6" s="30" t="s">
        <v>299</v>
      </c>
      <c r="H6" s="39" t="s">
        <v>82</v>
      </c>
      <c r="I6" s="40" t="s">
        <v>300</v>
      </c>
      <c r="J6" s="30" t="s">
        <v>301</v>
      </c>
      <c r="K6" s="41" t="s">
        <v>239</v>
      </c>
      <c r="L6" s="39" t="s">
        <v>300</v>
      </c>
      <c r="M6" s="47"/>
    </row>
    <row r="7" spans="1:13">
      <c r="B7" s="236" t="s">
        <v>40</v>
      </c>
      <c r="C7" s="43" t="s">
        <v>299</v>
      </c>
      <c r="D7" s="89">
        <f>100*'Step3-Balance-NoIO'!C30/SUM('Step3-Balance-NoIO'!$C$39:$E$41)</f>
        <v>0</v>
      </c>
      <c r="E7" s="90">
        <f>100*'Step3-Balance-NoIO'!D30/SUM('Step3-Balance-NoIO'!$C$39:$E$41)</f>
        <v>0</v>
      </c>
      <c r="F7" s="91">
        <f>100*'Step3-Balance-NoIO'!E30/SUM('Step3-Balance-NoIO'!$C$39:$E$41)</f>
        <v>0</v>
      </c>
      <c r="G7" s="90">
        <f>100*'Step3-Balance-NoIO'!F35/SUM('Step3-Balance-NoIO'!$C$39:$E$41)</f>
        <v>0</v>
      </c>
      <c r="H7" s="92">
        <f>100*'Step3-Balance-NoIO'!G35/SUM('Step3-Balance-NoIO'!$C$39:$E$41)</f>
        <v>0</v>
      </c>
      <c r="I7" s="89">
        <f>100*'Step3-Balance-NoIO'!H30/SUM('Step3-Balance-NoIO'!$C$39:$E$41)</f>
        <v>5.1599889227281688</v>
      </c>
      <c r="J7" s="90">
        <f>100*'Step3-Balance-NoIO'!I30/SUM('Step3-Balance-NoIO'!$C$39:$E$41)</f>
        <v>1.2843362612659035</v>
      </c>
      <c r="K7" s="91">
        <f>100*'Step3-Balance-NoIO'!J30/SUM('Step3-Balance-NoIO'!$C$39:$E$41)</f>
        <v>6.1399316337143981</v>
      </c>
      <c r="L7" s="92">
        <f>100*'Step3-Balance-NoIO'!K35/SUM('Step3-Balance-NoIO'!$C$39:$E$41)</f>
        <v>6.9625189240438576</v>
      </c>
      <c r="M7" s="93">
        <f>SUM(D7:L7)</f>
        <v>19.546775741752327</v>
      </c>
    </row>
    <row r="8" spans="1:13">
      <c r="B8" s="222"/>
      <c r="C8" s="35" t="s">
        <v>82</v>
      </c>
      <c r="D8" s="94">
        <f>100*'Step3-Balance-NoIO'!C31/SUM('Step3-Balance-NoIO'!$C$39:$E$41)</f>
        <v>0</v>
      </c>
      <c r="E8" s="95">
        <f>100*'Step3-Balance-NoIO'!D31/SUM('Step3-Balance-NoIO'!$C$39:$E$41)</f>
        <v>0</v>
      </c>
      <c r="F8" s="96">
        <f>100*'Step3-Balance-NoIO'!E31/SUM('Step3-Balance-NoIO'!$C$39:$E$41)</f>
        <v>0</v>
      </c>
      <c r="G8" s="95">
        <f>100*'Step3-Balance-NoIO'!F36/SUM('Step3-Balance-NoIO'!$C$39:$E$41)</f>
        <v>0</v>
      </c>
      <c r="H8" s="97">
        <f>100*'Step3-Balance-NoIO'!G36/SUM('Step3-Balance-NoIO'!$C$39:$E$41)</f>
        <v>0</v>
      </c>
      <c r="I8" s="94">
        <f>100*'Step3-Balance-NoIO'!H31/SUM('Step3-Balance-NoIO'!$C$39:$E$41)</f>
        <v>55.24755776269614</v>
      </c>
      <c r="J8" s="95">
        <f>100*'Step3-Balance-NoIO'!I31/SUM('Step3-Balance-NoIO'!$C$39:$E$41)</f>
        <v>13.751277927840473</v>
      </c>
      <c r="K8" s="96">
        <f>100*'Step3-Balance-NoIO'!J31/SUM('Step3-Balance-NoIO'!$C$39:$E$41)</f>
        <v>5.2404628333679844</v>
      </c>
      <c r="L8" s="97">
        <f>100*'Step3-Balance-NoIO'!K36/SUM('Step3-Balance-NoIO'!$C$39:$E$41)</f>
        <v>2.7174162372119337</v>
      </c>
      <c r="M8" s="98">
        <f t="shared" ref="M8:M12" si="0">SUM(D8:L8)</f>
        <v>76.95671476111653</v>
      </c>
    </row>
    <row r="9" spans="1:13">
      <c r="B9" s="237"/>
      <c r="C9" s="44" t="s">
        <v>17</v>
      </c>
      <c r="D9" s="99">
        <f>100*'Step3-Balance-NoIO'!C32/SUM('Step3-Balance-NoIO'!$C$39:$E$41)</f>
        <v>0</v>
      </c>
      <c r="E9" s="100">
        <f>100*'Step3-Balance-NoIO'!D32/SUM('Step3-Balance-NoIO'!$C$39:$E$41)</f>
        <v>0</v>
      </c>
      <c r="F9" s="101">
        <f>100*'Step3-Balance-NoIO'!E32/SUM('Step3-Balance-NoIO'!$C$39:$E$41)</f>
        <v>0</v>
      </c>
      <c r="G9" s="100">
        <v>0</v>
      </c>
      <c r="H9" s="102">
        <v>0</v>
      </c>
      <c r="I9" s="99">
        <f>100*'Step3-Balance-NoIO'!H32/SUM('Step3-Balance-NoIO'!$C$39:$E$41)</f>
        <v>0</v>
      </c>
      <c r="J9" s="100">
        <f>100*'Step3-Balance-NoIO'!I32/SUM('Step3-Balance-NoIO'!$C$39:$E$41)</f>
        <v>0</v>
      </c>
      <c r="K9" s="101">
        <f>100*'Step3-Balance-NoIO'!J32/SUM('Step3-Balance-NoIO'!$C$39:$E$41)</f>
        <v>3.4965094971234736</v>
      </c>
      <c r="L9" s="102">
        <v>0</v>
      </c>
      <c r="M9" s="103">
        <f t="shared" si="0"/>
        <v>3.4965094971234736</v>
      </c>
    </row>
    <row r="10" spans="1:13">
      <c r="B10" s="222" t="s">
        <v>81</v>
      </c>
      <c r="C10" s="42" t="s">
        <v>299</v>
      </c>
      <c r="D10" s="94">
        <f>100*'Step3-Balance-NoIO'!C37/SUM('Step3-Balance-NoIO'!$C$39:$E$41)</f>
        <v>0</v>
      </c>
      <c r="E10" s="95">
        <f>100*'Step3-Balance-NoIO'!D37/SUM('Step3-Balance-NoIO'!$C$39:$E$41)</f>
        <v>0</v>
      </c>
      <c r="F10" s="96">
        <f>100*'Step3-Balance-NoIO'!E37/SUM('Step3-Balance-NoIO'!$C$39:$E$41)</f>
        <v>0</v>
      </c>
      <c r="G10" s="95">
        <f>100*'Step3-Balance-NoIO'!F33/SUM('Step3-Balance-NoIO'!$C$39:$E$41)</f>
        <v>0</v>
      </c>
      <c r="H10" s="97">
        <f>100*'Step3-Balance-NoIO'!G33/SUM('Step3-Balance-NoIO'!$C$39:$E$41)</f>
        <v>0</v>
      </c>
      <c r="I10" s="94">
        <f>100*'Step3-Balance-NoIO'!H37/SUM('Step3-Balance-NoIO'!$C$39:$E$41)</f>
        <v>2.7548964584946107</v>
      </c>
      <c r="J10" s="95">
        <f>100*'Step3-Balance-NoIO'!I37/SUM('Step3-Balance-NoIO'!$C$39:$E$41)</f>
        <v>0.68570174677951312</v>
      </c>
      <c r="K10" s="96">
        <f>100*'Step3-Balance-NoIO'!J37/SUM('Step3-Balance-NoIO'!$C$39:$E$41)</f>
        <v>4.8920979548733055</v>
      </c>
      <c r="L10" s="97">
        <f>100*'Step3-Balance-NoIO'!K33/SUM('Step3-Balance-NoIO'!$C$39:$E$41)</f>
        <v>76.843209588492485</v>
      </c>
      <c r="M10" s="98">
        <f t="shared" si="0"/>
        <v>85.17590574863992</v>
      </c>
    </row>
    <row r="11" spans="1:13">
      <c r="B11" s="223"/>
      <c r="C11" s="36" t="s">
        <v>82</v>
      </c>
      <c r="D11" s="104">
        <f>100*'Step3-Balance-NoIO'!C38/SUM('Step3-Balance-NoIO'!$C$39:$E$41)</f>
        <v>0</v>
      </c>
      <c r="E11" s="105">
        <f>100*'Step3-Balance-NoIO'!D38/SUM('Step3-Balance-NoIO'!$C$39:$E$41)</f>
        <v>0</v>
      </c>
      <c r="F11" s="106">
        <f>100*'Step3-Balance-NoIO'!E38/SUM('Step3-Balance-NoIO'!$C$39:$E$41)</f>
        <v>0</v>
      </c>
      <c r="G11" s="105">
        <f>100*'Step3-Balance-NoIO'!F34/SUM('Step3-Balance-NoIO'!$C$39:$E$41)</f>
        <v>0</v>
      </c>
      <c r="H11" s="107">
        <f>100*'Step3-Balance-NoIO'!G34/SUM('Step3-Balance-NoIO'!$C$39:$E$41)</f>
        <v>0</v>
      </c>
      <c r="I11" s="104">
        <f>100*'Step3-Balance-NoIO'!H38/SUM('Step3-Balance-NoIO'!$C$39:$E$41)</f>
        <v>1.3047016575124173</v>
      </c>
      <c r="J11" s="105">
        <f>100*'Step3-Balance-NoIO'!I38/SUM('Step3-Balance-NoIO'!$C$39:$E$41)</f>
        <v>0.32474403995250611</v>
      </c>
      <c r="K11" s="106">
        <f>100*'Step3-Balance-NoIO'!J38/SUM('Step3-Balance-NoIO'!$C$39:$E$41)</f>
        <v>0.24996035517037368</v>
      </c>
      <c r="L11" s="107">
        <f>100*'Step3-Balance-NoIO'!K34/SUM('Step3-Balance-NoIO'!$C$39:$E$41)</f>
        <v>204.3437489044841</v>
      </c>
      <c r="M11" s="108">
        <f t="shared" si="0"/>
        <v>206.22315495711939</v>
      </c>
    </row>
    <row r="12" spans="1:13">
      <c r="B12" s="28"/>
      <c r="C12" s="37" t="s">
        <v>90</v>
      </c>
      <c r="D12" s="109">
        <f>100*'Step3-Balance-NoIO'!C39/SUM('Step3-Balance-NoIO'!$C$39:$E$41)</f>
        <v>19.546775741743375</v>
      </c>
      <c r="E12" s="110">
        <f>100*'Step3-Balance-NoIO'!D40/SUM('Step3-Balance-NoIO'!$C$39:$E$41)</f>
        <v>76.956714761140034</v>
      </c>
      <c r="F12" s="111">
        <f>100*'Step3-Balance-NoIO'!E41/SUM('Step3-Balance-NoIO'!$C$39:$E$41)</f>
        <v>3.4965094971165724</v>
      </c>
      <c r="G12" s="110">
        <f>100*'Step3-Balance-NoIO'!F42/SUM('Step3-Balance-NoIO'!$C$39:$E$41)</f>
        <v>85.175905748631962</v>
      </c>
      <c r="H12" s="112">
        <f>100*'Step3-Balance-NoIO'!G42/SUM('Step3-Balance-NoIO'!$C$39:$E$41)</f>
        <v>206.22315495711973</v>
      </c>
      <c r="I12" s="109">
        <v>0</v>
      </c>
      <c r="J12" s="110">
        <v>0</v>
      </c>
      <c r="K12" s="111">
        <v>0</v>
      </c>
      <c r="L12" s="112">
        <v>0</v>
      </c>
      <c r="M12" s="113">
        <f t="shared" si="0"/>
        <v>391.39906070575171</v>
      </c>
    </row>
    <row r="13" spans="1:13" ht="15.75" thickBot="1">
      <c r="B13" s="49"/>
      <c r="C13" s="50" t="s">
        <v>91</v>
      </c>
      <c r="D13" s="114">
        <f>SUM(D7:D12)</f>
        <v>19.546775741743375</v>
      </c>
      <c r="E13" s="115">
        <f t="shared" ref="E13:L13" si="1">SUM(E7:E12)</f>
        <v>76.956714761140034</v>
      </c>
      <c r="F13" s="116">
        <f t="shared" si="1"/>
        <v>3.4965094971165724</v>
      </c>
      <c r="G13" s="115">
        <f t="shared" si="1"/>
        <v>85.175905748631962</v>
      </c>
      <c r="H13" s="117">
        <f t="shared" si="1"/>
        <v>206.22315495711973</v>
      </c>
      <c r="I13" s="114">
        <f t="shared" si="1"/>
        <v>64.467144801431331</v>
      </c>
      <c r="J13" s="115">
        <f t="shared" si="1"/>
        <v>16.046059975838396</v>
      </c>
      <c r="K13" s="116">
        <f t="shared" si="1"/>
        <v>20.018962274249532</v>
      </c>
      <c r="L13" s="117">
        <f t="shared" si="1"/>
        <v>290.8668936542324</v>
      </c>
      <c r="M13" s="118"/>
    </row>
    <row r="14" spans="1:13">
      <c r="B14" s="24"/>
      <c r="C14" s="54"/>
      <c r="D14" s="48"/>
      <c r="E14" s="48"/>
      <c r="F14" s="48"/>
      <c r="G14" s="48"/>
      <c r="H14" s="48"/>
      <c r="I14" s="48"/>
      <c r="J14" s="48"/>
      <c r="K14" s="48"/>
      <c r="L14" s="48"/>
      <c r="M14" s="24"/>
    </row>
    <row r="15" spans="1:13">
      <c r="B15" s="24"/>
      <c r="C15" s="54"/>
      <c r="D15" s="48"/>
      <c r="E15" s="48"/>
      <c r="F15" s="48"/>
      <c r="G15" s="48"/>
      <c r="H15" s="48"/>
      <c r="I15" s="48">
        <f>SUM(I7:L7)/SUM(I13:L13)</f>
        <v>4.9940783471750128E-2</v>
      </c>
      <c r="J15" s="48"/>
      <c r="K15" s="48"/>
      <c r="L15" s="48"/>
      <c r="M15" s="24"/>
    </row>
    <row r="16" spans="1:13">
      <c r="B16" s="24"/>
      <c r="C16" s="54"/>
      <c r="D16" s="48"/>
      <c r="E16" s="48"/>
      <c r="F16" s="48"/>
      <c r="G16" s="48"/>
      <c r="H16" s="48"/>
      <c r="I16" s="48"/>
      <c r="J16" s="48"/>
      <c r="K16" s="48"/>
      <c r="L16" s="48"/>
      <c r="M16" s="24"/>
    </row>
    <row r="17" spans="2:13">
      <c r="B17" s="24"/>
      <c r="C17" s="54"/>
      <c r="D17" s="48"/>
      <c r="E17" s="48"/>
      <c r="F17" s="48"/>
      <c r="G17" s="48"/>
      <c r="H17" s="48"/>
      <c r="I17" s="48"/>
      <c r="J17" s="48"/>
      <c r="K17" s="48"/>
      <c r="L17" s="48"/>
      <c r="M17" s="24"/>
    </row>
    <row r="18" spans="2:13">
      <c r="B18" s="24"/>
      <c r="C18" s="54"/>
      <c r="D18" s="48"/>
      <c r="E18" s="48"/>
      <c r="F18" s="48"/>
      <c r="G18" s="48"/>
      <c r="H18" s="48"/>
      <c r="I18" s="48"/>
      <c r="J18" s="48"/>
      <c r="K18" s="48"/>
      <c r="L18" s="48"/>
      <c r="M18" s="24"/>
    </row>
    <row r="19" spans="2:13">
      <c r="B19" s="24"/>
      <c r="C19" s="54"/>
      <c r="D19" s="48"/>
      <c r="E19" s="48"/>
      <c r="F19" s="48"/>
      <c r="G19" s="48"/>
      <c r="H19" s="48"/>
      <c r="I19" s="48"/>
      <c r="J19" s="48"/>
      <c r="K19" s="48"/>
      <c r="L19" s="48"/>
      <c r="M19" s="24"/>
    </row>
    <row r="22" spans="2:13">
      <c r="B22" s="52" t="s">
        <v>302</v>
      </c>
      <c r="C22" s="52"/>
      <c r="D22" s="52"/>
      <c r="E22" s="52"/>
    </row>
    <row r="23" spans="2:13">
      <c r="B23" s="52"/>
      <c r="C23" s="52"/>
      <c r="D23" s="52"/>
      <c r="E23" s="52"/>
    </row>
    <row r="24" spans="2:13">
      <c r="B24" s="52"/>
      <c r="C24" s="52" t="s">
        <v>303</v>
      </c>
      <c r="D24" s="52" t="s">
        <v>304</v>
      </c>
      <c r="E24" s="52"/>
    </row>
    <row r="25" spans="2:13">
      <c r="B25" s="52" t="s">
        <v>300</v>
      </c>
      <c r="C25" s="53">
        <f>'Step2a-NIPACalcs'!E5</f>
        <v>64.467144801431346</v>
      </c>
      <c r="D25" s="53">
        <f>I13</f>
        <v>64.467144801431331</v>
      </c>
      <c r="E25" s="52"/>
    </row>
    <row r="26" spans="2:13">
      <c r="B26" s="52" t="s">
        <v>301</v>
      </c>
      <c r="C26" s="53">
        <f>'Step2a-NIPACalcs'!E6</f>
        <v>16.046059975838396</v>
      </c>
      <c r="D26" s="53">
        <f>J13</f>
        <v>16.046059975838396</v>
      </c>
      <c r="E26" s="52"/>
    </row>
    <row r="27" spans="2:13">
      <c r="B27" s="52" t="s">
        <v>239</v>
      </c>
      <c r="C27" s="53">
        <f>'Step2a-NIPACalcs'!E7</f>
        <v>20.018962274249535</v>
      </c>
      <c r="D27" s="53">
        <f>K13</f>
        <v>20.018962274249532</v>
      </c>
      <c r="E27" s="52"/>
    </row>
    <row r="28" spans="2:13">
      <c r="B28" s="52" t="s">
        <v>240</v>
      </c>
      <c r="C28" s="53">
        <f>'Step2a-NIPACalcs'!E8</f>
        <v>6.9625189240438585</v>
      </c>
      <c r="D28" s="53">
        <f>SUM(G7:H7,L7)</f>
        <v>6.9625189240438576</v>
      </c>
      <c r="E28" s="52"/>
    </row>
    <row r="29" spans="2:13">
      <c r="B29" s="52" t="s">
        <v>241</v>
      </c>
      <c r="C29" s="53">
        <f>'Step2a-NIPACalcs'!E9</f>
        <v>2.7174162372119337</v>
      </c>
      <c r="D29" s="53">
        <f>SUM(G8:H8,L8)</f>
        <v>2.7174162372119337</v>
      </c>
      <c r="E29" s="52"/>
    </row>
    <row r="30" spans="2:13">
      <c r="B30" s="52" t="s">
        <v>242</v>
      </c>
      <c r="C30" s="53">
        <f>'Step2a-NIPACalcs'!E10</f>
        <v>8.3326961601394629</v>
      </c>
      <c r="D30" s="53">
        <f>SUM(D10:F10,I10:K10)</f>
        <v>8.3326961601474299</v>
      </c>
      <c r="E30" s="52"/>
    </row>
    <row r="31" spans="2:13">
      <c r="B31" s="52" t="s">
        <v>243</v>
      </c>
      <c r="C31" s="53">
        <f>'Step2a-NIPACalcs'!E11</f>
        <v>1.8794060526356036</v>
      </c>
      <c r="D31" s="53">
        <f>SUM(D11:F11,I11:K11)</f>
        <v>1.8794060526352971</v>
      </c>
      <c r="E31" s="52"/>
    </row>
    <row r="32" spans="2:13">
      <c r="B32" s="52"/>
      <c r="C32" s="52"/>
      <c r="D32" s="52"/>
      <c r="E32" s="52"/>
    </row>
    <row r="33" spans="2:5">
      <c r="B33" s="52" t="s">
        <v>485</v>
      </c>
      <c r="C33" s="53">
        <f>C28-C30</f>
        <v>-1.3701772360956044</v>
      </c>
      <c r="D33" s="52"/>
      <c r="E33" s="52"/>
    </row>
    <row r="34" spans="2:5">
      <c r="B34" s="52" t="s">
        <v>486</v>
      </c>
      <c r="C34" s="53">
        <f>C29-C31</f>
        <v>0.83801018457633014</v>
      </c>
      <c r="D34" s="52"/>
      <c r="E34" s="52"/>
    </row>
    <row r="35" spans="2:5">
      <c r="B35" s="52" t="s">
        <v>487</v>
      </c>
      <c r="C35" s="53">
        <f>C28+C29-C30-C31</f>
        <v>-0.53216705151927512</v>
      </c>
      <c r="D35" s="52"/>
      <c r="E35" s="52"/>
    </row>
  </sheetData>
  <mergeCells count="7">
    <mergeCell ref="B10:B11"/>
    <mergeCell ref="D4:H4"/>
    <mergeCell ref="I4:L4"/>
    <mergeCell ref="D5:F5"/>
    <mergeCell ref="G5:H5"/>
    <mergeCell ref="I5:K5"/>
    <mergeCell ref="B7:B9"/>
  </mergeCells>
  <pageMargins left="0" right="0" top="0" bottom="0" header="0" footer="0"/>
  <pageSetup scale="75"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I35"/>
  <sheetViews>
    <sheetView showGridLines="0" zoomScaleNormal="100" workbookViewId="0">
      <selection activeCell="E8" sqref="E8"/>
    </sheetView>
  </sheetViews>
  <sheetFormatPr defaultRowHeight="15"/>
  <cols>
    <col min="2" max="2" width="7.125" customWidth="1"/>
    <col min="3" max="3" width="13.375" customWidth="1"/>
    <col min="4" max="12" width="10.625" customWidth="1"/>
    <col min="13" max="13" width="14.375" customWidth="1"/>
    <col min="16" max="16" width="13.25" bestFit="1" customWidth="1"/>
    <col min="17" max="21" width="7.125" customWidth="1"/>
    <col min="30" max="30" width="13.25" bestFit="1" customWidth="1"/>
    <col min="31" max="35" width="7.125" customWidth="1"/>
  </cols>
  <sheetData>
    <row r="1" spans="1:35" ht="18.75">
      <c r="A1" s="10" t="s">
        <v>493</v>
      </c>
    </row>
    <row r="2" spans="1:35" ht="18.75">
      <c r="A2" s="10"/>
    </row>
    <row r="3" spans="1:35" ht="15.75" thickBot="1">
      <c r="P3" t="s">
        <v>496</v>
      </c>
      <c r="AD3" t="s">
        <v>497</v>
      </c>
    </row>
    <row r="4" spans="1:35" ht="22.5" customHeight="1" thickTop="1">
      <c r="B4" s="121"/>
      <c r="C4" s="122"/>
      <c r="D4" s="208" t="s">
        <v>83</v>
      </c>
      <c r="E4" s="209"/>
      <c r="F4" s="209"/>
      <c r="G4" s="209"/>
      <c r="H4" s="210"/>
      <c r="I4" s="211" t="s">
        <v>84</v>
      </c>
      <c r="J4" s="211"/>
      <c r="K4" s="211"/>
      <c r="L4" s="212"/>
      <c r="M4" s="175" t="s">
        <v>91</v>
      </c>
      <c r="O4" s="238" t="s">
        <v>494</v>
      </c>
      <c r="P4" s="238"/>
      <c r="Q4" s="238"/>
      <c r="R4" s="238"/>
      <c r="S4" s="238"/>
      <c r="T4" s="238"/>
      <c r="U4" s="238"/>
      <c r="AC4" s="238" t="s">
        <v>494</v>
      </c>
      <c r="AD4" s="238"/>
      <c r="AE4" s="238"/>
      <c r="AF4" s="238"/>
      <c r="AG4" s="238"/>
      <c r="AH4" s="238"/>
      <c r="AI4" s="238"/>
    </row>
    <row r="5" spans="1:35" ht="22.5" customHeight="1">
      <c r="B5" s="124"/>
      <c r="C5" s="125"/>
      <c r="D5" s="213" t="s">
        <v>40</v>
      </c>
      <c r="E5" s="214"/>
      <c r="F5" s="215"/>
      <c r="G5" s="214" t="s">
        <v>81</v>
      </c>
      <c r="H5" s="216"/>
      <c r="I5" s="203" t="s">
        <v>40</v>
      </c>
      <c r="J5" s="204"/>
      <c r="K5" s="205"/>
      <c r="L5" s="126" t="s">
        <v>81</v>
      </c>
      <c r="M5" s="127"/>
      <c r="O5" s="185"/>
      <c r="P5" s="185"/>
      <c r="Q5" s="213" t="s">
        <v>40</v>
      </c>
      <c r="R5" s="214"/>
      <c r="S5" s="215"/>
      <c r="T5" s="214" t="s">
        <v>81</v>
      </c>
      <c r="U5" s="216"/>
      <c r="AC5" s="185"/>
      <c r="AD5" s="185"/>
      <c r="AE5" s="213" t="s">
        <v>40</v>
      </c>
      <c r="AF5" s="214"/>
      <c r="AG5" s="215"/>
      <c r="AH5" s="214" t="s">
        <v>81</v>
      </c>
      <c r="AI5" s="216"/>
    </row>
    <row r="6" spans="1:35" ht="75" customHeight="1">
      <c r="B6" s="128"/>
      <c r="C6" s="129"/>
      <c r="D6" s="170" t="s">
        <v>299</v>
      </c>
      <c r="E6" s="171" t="s">
        <v>82</v>
      </c>
      <c r="F6" s="172" t="s">
        <v>17</v>
      </c>
      <c r="G6" s="171" t="s">
        <v>299</v>
      </c>
      <c r="H6" s="173" t="s">
        <v>82</v>
      </c>
      <c r="I6" s="170" t="s">
        <v>300</v>
      </c>
      <c r="J6" s="171" t="s">
        <v>301</v>
      </c>
      <c r="K6" s="172" t="s">
        <v>239</v>
      </c>
      <c r="L6" s="173" t="s">
        <v>300</v>
      </c>
      <c r="M6" s="130"/>
      <c r="O6" s="124"/>
      <c r="P6" s="125"/>
      <c r="Q6" s="181" t="s">
        <v>299</v>
      </c>
      <c r="R6" s="182" t="s">
        <v>82</v>
      </c>
      <c r="S6" s="183" t="s">
        <v>17</v>
      </c>
      <c r="T6" s="182" t="s">
        <v>299</v>
      </c>
      <c r="U6" s="184" t="s">
        <v>82</v>
      </c>
      <c r="AC6" s="124"/>
      <c r="AD6" s="125"/>
      <c r="AE6" s="181" t="s">
        <v>299</v>
      </c>
      <c r="AF6" s="182" t="s">
        <v>82</v>
      </c>
      <c r="AG6" s="183" t="s">
        <v>17</v>
      </c>
      <c r="AH6" s="182" t="s">
        <v>299</v>
      </c>
      <c r="AI6" s="184" t="s">
        <v>82</v>
      </c>
    </row>
    <row r="7" spans="1:35" ht="22.5" customHeight="1">
      <c r="B7" s="206" t="s">
        <v>40</v>
      </c>
      <c r="C7" s="131" t="s">
        <v>299</v>
      </c>
      <c r="D7" s="132">
        <f>100*'Step3-BalanceAltIO1'!C30/SUM('Step3-BalanceAltIO1'!$C$39:$E$41)</f>
        <v>9.2042817753869457</v>
      </c>
      <c r="E7" s="133">
        <f>100*'Step3-BalanceAltIO1'!D30/SUM('Step3-BalanceAltIO1'!$C$39:$E$41)</f>
        <v>9.8995577678615803</v>
      </c>
      <c r="F7" s="134">
        <f>100*'Step3-BalanceAltIO1'!E30/SUM('Step3-BalanceAltIO1'!$C$39:$E$41)</f>
        <v>1.2667627281330531</v>
      </c>
      <c r="G7" s="133">
        <f>100*'Step3-BalanceAltIO1'!F35/SUM('Step3-BalanceAltIO1'!$C$39:$E$41)</f>
        <v>2.148919888796172</v>
      </c>
      <c r="H7" s="135">
        <f>100*'Step3-BalanceAltIO1'!G35/SUM('Step3-BalanceAltIO1'!$C$39:$E$41)</f>
        <v>0.78702241774315496</v>
      </c>
      <c r="I7" s="132">
        <f>100*'Step3-BalanceAltIO1'!H30/SUM('Step3-BalanceAltIO1'!$C$39:$E$41)</f>
        <v>5.3655305217739624</v>
      </c>
      <c r="J7" s="133">
        <f>100*'Step3-BalanceAltIO1'!I30/SUM('Step3-BalanceAltIO1'!$C$39:$E$41)</f>
        <v>1.3354961635072271</v>
      </c>
      <c r="K7" s="134">
        <f>100*'Step3-BalanceAltIO1'!J30/SUM('Step3-BalanceAltIO1'!$C$39:$E$41)</f>
        <v>6.1643951136266146</v>
      </c>
      <c r="L7" s="135">
        <f>100*'Step3-BalanceAltIO1'!K35/SUM('Step3-BalanceAltIO1'!$C$39:$E$41)</f>
        <v>1.9040252740885546</v>
      </c>
      <c r="M7" s="136">
        <f>SUM(D7:L7)</f>
        <v>38.07599165091726</v>
      </c>
      <c r="O7" s="217" t="s">
        <v>40</v>
      </c>
      <c r="P7" s="176" t="s">
        <v>299</v>
      </c>
      <c r="Q7" s="132">
        <f>D7/D$13</f>
        <v>0.24173452551849314</v>
      </c>
      <c r="R7" s="133">
        <f t="shared" ref="R7:U11" si="0">E7/E$13</f>
        <v>6.6037889022033475E-2</v>
      </c>
      <c r="S7" s="134">
        <f t="shared" si="0"/>
        <v>0.1859878062656877</v>
      </c>
      <c r="T7" s="133">
        <f t="shared" si="0"/>
        <v>9.7090101206299684E-3</v>
      </c>
      <c r="U7" s="135">
        <f t="shared" si="0"/>
        <v>2.3249834014949099E-3</v>
      </c>
      <c r="W7">
        <v>1</v>
      </c>
      <c r="X7">
        <v>0</v>
      </c>
      <c r="Y7">
        <v>0</v>
      </c>
      <c r="Z7">
        <v>0</v>
      </c>
      <c r="AA7">
        <v>0</v>
      </c>
      <c r="AC7" s="217" t="s">
        <v>40</v>
      </c>
      <c r="AD7" s="176" t="s">
        <v>299</v>
      </c>
      <c r="AE7" s="132">
        <f t="array" ref="AE7:AI11">MINVERSE(W7:AA11-Q7:U11)</f>
        <v>1.3586242221444023</v>
      </c>
      <c r="AF7" s="133">
        <v>0.14774903753276755</v>
      </c>
      <c r="AG7" s="134">
        <v>0.29242918528124312</v>
      </c>
      <c r="AH7" s="133">
        <v>2.7411208843919076E-2</v>
      </c>
      <c r="AI7" s="135">
        <v>1.0214689330700697E-2</v>
      </c>
    </row>
    <row r="8" spans="1:35" ht="22.5" customHeight="1">
      <c r="B8" s="201"/>
      <c r="C8" s="137" t="s">
        <v>82</v>
      </c>
      <c r="D8" s="138">
        <f>100*'Step3-BalanceAltIO1'!C31/SUM('Step3-BalanceAltIO1'!$C$39:$E$41)</f>
        <v>7.523319060583546</v>
      </c>
      <c r="E8" s="139">
        <f>100*'Step3-BalanceAltIO1'!D31/SUM('Step3-BalanceAltIO1'!$C$39:$E$41)</f>
        <v>58.448425170929106</v>
      </c>
      <c r="F8" s="140">
        <f>100*'Step3-BalanceAltIO1'!E31/SUM('Step3-BalanceAltIO1'!$C$39:$E$41)</f>
        <v>1.801834092819268</v>
      </c>
      <c r="G8" s="139">
        <f>100*'Step3-BalanceAltIO1'!F36/SUM('Step3-BalanceAltIO1'!$C$39:$E$41)</f>
        <v>1.6039650498677582</v>
      </c>
      <c r="H8" s="141">
        <f>100*'Step3-BalanceAltIO1'!G36/SUM('Step3-BalanceAltIO1'!$C$39:$E$41)</f>
        <v>2.3986914484421828</v>
      </c>
      <c r="I8" s="138">
        <f>100*'Step3-BalanceAltIO1'!H31/SUM('Step3-BalanceAltIO1'!$C$39:$E$41)</f>
        <v>57.66091039380197</v>
      </c>
      <c r="J8" s="139">
        <f>100*'Step3-BalanceAltIO1'!I31/SUM('Step3-BalanceAltIO1'!$C$39:$E$41)</f>
        <v>14.351968421902983</v>
      </c>
      <c r="K8" s="140">
        <f>100*'Step3-BalanceAltIO1'!J31/SUM('Step3-BalanceAltIO1'!$C$39:$E$41)</f>
        <v>5.2808166292371448</v>
      </c>
      <c r="L8" s="141">
        <f>100*'Step3-BalanceAltIO1'!K36/SUM('Step3-BalanceAltIO1'!$C$39:$E$41)</f>
        <v>0.83731108231794082</v>
      </c>
      <c r="M8" s="142">
        <f t="shared" ref="M8:M12" si="1">SUM(D8:L8)</f>
        <v>149.90724134990188</v>
      </c>
      <c r="O8" s="218"/>
      <c r="P8" s="177" t="s">
        <v>82</v>
      </c>
      <c r="Q8" s="138">
        <f t="shared" ref="Q8:Q11" si="2">D8/D$13</f>
        <v>0.19758695005379098</v>
      </c>
      <c r="R8" s="139">
        <f t="shared" si="0"/>
        <v>0.38989727677342578</v>
      </c>
      <c r="S8" s="140">
        <f t="shared" si="0"/>
        <v>0.26454770316148918</v>
      </c>
      <c r="T8" s="139">
        <f t="shared" si="0"/>
        <v>7.246855959356765E-3</v>
      </c>
      <c r="U8" s="141">
        <f t="shared" si="0"/>
        <v>7.0860977746073396E-3</v>
      </c>
      <c r="W8">
        <v>0</v>
      </c>
      <c r="X8">
        <v>1</v>
      </c>
      <c r="Y8">
        <v>0</v>
      </c>
      <c r="Z8">
        <v>0</v>
      </c>
      <c r="AA8">
        <v>0</v>
      </c>
      <c r="AC8" s="218"/>
      <c r="AD8" s="177" t="s">
        <v>82</v>
      </c>
      <c r="AE8" s="138">
        <v>0.44184798863356717</v>
      </c>
      <c r="AF8" s="139">
        <v>1.6881952989705225</v>
      </c>
      <c r="AG8" s="140">
        <v>0.52983192561131687</v>
      </c>
      <c r="AH8" s="139">
        <v>3.5464053151275252E-2</v>
      </c>
      <c r="AI8" s="141">
        <v>2.3390825161328246E-2</v>
      </c>
    </row>
    <row r="9" spans="1:35" ht="22.5" customHeight="1">
      <c r="B9" s="207"/>
      <c r="C9" s="143" t="s">
        <v>17</v>
      </c>
      <c r="D9" s="144">
        <f>100*'Step3-BalanceAltIO1'!C32/SUM('Step3-BalanceAltIO1'!$C$39:$E$41)</f>
        <v>0</v>
      </c>
      <c r="E9" s="145">
        <f>100*'Step3-BalanceAltIO1'!D32/SUM('Step3-BalanceAltIO1'!$C$39:$E$41)</f>
        <v>0</v>
      </c>
      <c r="F9" s="146">
        <f>100*'Step3-BalanceAltIO1'!E32/SUM('Step3-BalanceAltIO1'!$C$39:$E$41)</f>
        <v>0</v>
      </c>
      <c r="G9" s="145">
        <v>0</v>
      </c>
      <c r="H9" s="147">
        <v>0</v>
      </c>
      <c r="I9" s="144">
        <f>100*'Step3-BalanceAltIO1'!H32/SUM('Step3-BalanceAltIO1'!$C$39:$E$41)</f>
        <v>0</v>
      </c>
      <c r="J9" s="145">
        <f>100*'Step3-BalanceAltIO1'!I32/SUM('Step3-BalanceAltIO1'!$C$39:$E$41)</f>
        <v>0</v>
      </c>
      <c r="K9" s="146">
        <f>100*'Step3-BalanceAltIO1'!J32/SUM('Step3-BalanceAltIO1'!$C$39:$E$41)</f>
        <v>6.8109988152775927</v>
      </c>
      <c r="L9" s="147">
        <v>0</v>
      </c>
      <c r="M9" s="148">
        <f t="shared" si="1"/>
        <v>6.8109988152775927</v>
      </c>
      <c r="O9" s="219"/>
      <c r="P9" s="178" t="s">
        <v>17</v>
      </c>
      <c r="Q9" s="144">
        <f t="shared" si="2"/>
        <v>0</v>
      </c>
      <c r="R9" s="145">
        <f t="shared" si="0"/>
        <v>0</v>
      </c>
      <c r="S9" s="146">
        <f t="shared" si="0"/>
        <v>0</v>
      </c>
      <c r="T9" s="145">
        <f t="shared" si="0"/>
        <v>0</v>
      </c>
      <c r="U9" s="147">
        <f t="shared" si="0"/>
        <v>0</v>
      </c>
      <c r="W9">
        <v>0</v>
      </c>
      <c r="X9">
        <v>0</v>
      </c>
      <c r="Y9">
        <v>1</v>
      </c>
      <c r="Z9">
        <v>0</v>
      </c>
      <c r="AA9">
        <v>0</v>
      </c>
      <c r="AC9" s="219"/>
      <c r="AD9" s="178" t="s">
        <v>17</v>
      </c>
      <c r="AE9" s="144">
        <v>0</v>
      </c>
      <c r="AF9" s="145">
        <v>0</v>
      </c>
      <c r="AG9" s="146">
        <v>1</v>
      </c>
      <c r="AH9" s="145">
        <v>0</v>
      </c>
      <c r="AI9" s="147">
        <v>0</v>
      </c>
    </row>
    <row r="10" spans="1:35" ht="22.5" customHeight="1">
      <c r="B10" s="201" t="s">
        <v>81</v>
      </c>
      <c r="C10" s="149" t="s">
        <v>299</v>
      </c>
      <c r="D10" s="138">
        <f>100*'Step3-BalanceAltIO1'!C37/SUM('Step3-BalanceAltIO1'!$C$39:$E$41)</f>
        <v>1.1541075028497942</v>
      </c>
      <c r="E10" s="139">
        <f>100*'Step3-BalanceAltIO1'!D37/SUM('Step3-BalanceAltIO1'!$C$39:$E$41)</f>
        <v>0.93969822572299122</v>
      </c>
      <c r="F10" s="140">
        <f>100*'Step3-BalanceAltIO1'!E37/SUM('Step3-BalanceAltIO1'!$C$39:$E$41)</f>
        <v>0.11335665201707763</v>
      </c>
      <c r="G10" s="139">
        <f>100*'Step3-BalanceAltIO1'!F33/SUM('Step3-BalanceAltIO1'!$C$39:$E$41)</f>
        <v>90.553936964683459</v>
      </c>
      <c r="H10" s="141">
        <f>100*'Step3-BalanceAltIO1'!G33/SUM('Step3-BalanceAltIO1'!$C$39:$E$41)</f>
        <v>41.644029191437227</v>
      </c>
      <c r="I10" s="138">
        <f>100*'Step3-BalanceAltIO1'!H37/SUM('Step3-BalanceAltIO1'!$C$39:$E$41)</f>
        <v>0.97820961863259159</v>
      </c>
      <c r="J10" s="139">
        <f>100*'Step3-BalanceAltIO1'!I37/SUM('Step3-BalanceAltIO1'!$C$39:$E$41)</f>
        <v>0.24347922120434964</v>
      </c>
      <c r="K10" s="140">
        <f>100*'Step3-BalanceAltIO1'!J37/SUM('Step3-BalanceAltIO1'!$C$39:$E$41)</f>
        <v>1.6771998859563584</v>
      </c>
      <c r="L10" s="141">
        <f>100*'Step3-BalanceAltIO1'!K33/SUM('Step3-BalanceAltIO1'!$C$39:$E$41)</f>
        <v>84.028524582317885</v>
      </c>
      <c r="M10" s="142">
        <f t="shared" si="1"/>
        <v>221.33254184482175</v>
      </c>
      <c r="O10" s="218" t="s">
        <v>81</v>
      </c>
      <c r="P10" s="179" t="s">
        <v>299</v>
      </c>
      <c r="Q10" s="138">
        <f t="shared" si="2"/>
        <v>3.0310635463677928E-2</v>
      </c>
      <c r="R10" s="139">
        <f t="shared" si="0"/>
        <v>6.2685312414618496E-3</v>
      </c>
      <c r="S10" s="140">
        <f t="shared" si="0"/>
        <v>1.6643175999779485E-2</v>
      </c>
      <c r="T10" s="139">
        <f t="shared" si="0"/>
        <v>0.40913069632648003</v>
      </c>
      <c r="U10" s="141">
        <f t="shared" si="0"/>
        <v>0.12302276842266369</v>
      </c>
      <c r="W10">
        <v>0</v>
      </c>
      <c r="X10">
        <v>0</v>
      </c>
      <c r="Y10">
        <v>0</v>
      </c>
      <c r="Z10">
        <v>1</v>
      </c>
      <c r="AA10">
        <v>0</v>
      </c>
      <c r="AC10" s="218" t="s">
        <v>81</v>
      </c>
      <c r="AD10" s="179" t="s">
        <v>299</v>
      </c>
      <c r="AE10" s="138">
        <v>8.8607374005963122E-2</v>
      </c>
      <c r="AF10" s="139">
        <v>3.9891901935557104E-2</v>
      </c>
      <c r="AG10" s="140">
        <v>6.2607834837294263E-2</v>
      </c>
      <c r="AH10" s="139">
        <v>1.789719619122909</v>
      </c>
      <c r="AI10" s="141">
        <v>0.29744524590305982</v>
      </c>
    </row>
    <row r="11" spans="1:35" ht="22.5" customHeight="1">
      <c r="B11" s="202"/>
      <c r="C11" s="150" t="s">
        <v>82</v>
      </c>
      <c r="D11" s="151">
        <f>100*'Step3-BalanceAltIO1'!C38/SUM('Step3-BalanceAltIO1'!$C$39:$E$41)</f>
        <v>0.64750757043849616</v>
      </c>
      <c r="E11" s="152">
        <f>100*'Step3-BalanceAltIO1'!D38/SUM('Step3-BalanceAltIO1'!$C$39:$E$41)</f>
        <v>3.6628454241469481</v>
      </c>
      <c r="F11" s="153">
        <f>100*'Step3-BalanceAltIO1'!E38/SUM('Step3-BalanceAltIO1'!$C$39:$E$41)</f>
        <v>0.13253584520485481</v>
      </c>
      <c r="G11" s="152">
        <f>100*'Step3-BalanceAltIO1'!F34/SUM('Step3-BalanceAltIO1'!$C$39:$E$41)</f>
        <v>41.924010814344889</v>
      </c>
      <c r="H11" s="154">
        <f>100*'Step3-BalanceAltIO1'!G34/SUM('Step3-BalanceAltIO1'!$C$39:$E$41)</f>
        <v>87.37958770700547</v>
      </c>
      <c r="I11" s="151">
        <f>100*'Step3-BalanceAltIO1'!H38/SUM('Step3-BalanceAltIO1'!$C$39:$E$41)</f>
        <v>0.46249426722263987</v>
      </c>
      <c r="J11" s="152">
        <f>100*'Step3-BalanceAltIO1'!I38/SUM('Step3-BalanceAltIO1'!$C$39:$E$41)</f>
        <v>0.11511616922378619</v>
      </c>
      <c r="K11" s="153">
        <f>100*'Step3-BalanceAltIO1'!J38/SUM('Step3-BalanceAltIO1'!$C$39:$E$41)</f>
        <v>8.5551830151769176E-2</v>
      </c>
      <c r="L11" s="154">
        <f>100*'Step3-BalanceAltIO1'!K34/SUM('Step3-BalanceAltIO1'!$C$39:$E$41)</f>
        <v>204.09703271550731</v>
      </c>
      <c r="M11" s="155">
        <f t="shared" si="1"/>
        <v>338.50668234324615</v>
      </c>
      <c r="O11" s="220"/>
      <c r="P11" s="180" t="s">
        <v>82</v>
      </c>
      <c r="Q11" s="151">
        <f t="shared" si="2"/>
        <v>1.700566531200115E-2</v>
      </c>
      <c r="R11" s="152">
        <f t="shared" si="0"/>
        <v>2.4434079309072973E-2</v>
      </c>
      <c r="S11" s="153">
        <f t="shared" si="0"/>
        <v>1.9459090920324756E-2</v>
      </c>
      <c r="T11" s="152">
        <f t="shared" si="0"/>
        <v>0.18941638886403508</v>
      </c>
      <c r="U11" s="154">
        <f t="shared" si="0"/>
        <v>0.25813253405261505</v>
      </c>
      <c r="W11">
        <v>0</v>
      </c>
      <c r="X11">
        <v>0</v>
      </c>
      <c r="Y11">
        <v>0</v>
      </c>
      <c r="Z11">
        <v>0</v>
      </c>
      <c r="AA11">
        <v>1</v>
      </c>
      <c r="AC11" s="220"/>
      <c r="AD11" s="180" t="s">
        <v>82</v>
      </c>
      <c r="AE11" s="151">
        <v>6.8319678029824402E-2</v>
      </c>
      <c r="AF11" s="152">
        <v>6.9174415743813597E-2</v>
      </c>
      <c r="AG11" s="153">
        <v>6.636892883575074E-2</v>
      </c>
      <c r="AH11" s="152">
        <v>0.45875431972134967</v>
      </c>
      <c r="AI11" s="154">
        <v>1.4248990470001606</v>
      </c>
    </row>
    <row r="12" spans="1:35" ht="22.5" customHeight="1">
      <c r="B12" s="156"/>
      <c r="C12" s="157" t="s">
        <v>90</v>
      </c>
      <c r="D12" s="158">
        <f>100*'Step3-BalanceAltIO1'!C39/SUM('Step3-BalanceAltIO1'!$C$39:$E$41)</f>
        <v>19.546775741684769</v>
      </c>
      <c r="E12" s="159">
        <f>100*'Step3-BalanceAltIO1'!D40/SUM('Step3-BalanceAltIO1'!$C$39:$E$41)</f>
        <v>76.956714761204495</v>
      </c>
      <c r="F12" s="160">
        <f>100*'Step3-BalanceAltIO1'!E41/SUM('Step3-BalanceAltIO1'!$C$39:$E$41)</f>
        <v>3.4965094971107358</v>
      </c>
      <c r="G12" s="159">
        <f>100*'Step3-BalanceAltIO1'!F42/SUM('Step3-BalanceAltIO1'!$C$39:$E$41)</f>
        <v>85.101709127133788</v>
      </c>
      <c r="H12" s="161">
        <f>100*'Step3-BalanceAltIO1'!G42/SUM('Step3-BalanceAltIO1'!$C$39:$E$41)</f>
        <v>206.29735157861711</v>
      </c>
      <c r="I12" s="158">
        <v>0</v>
      </c>
      <c r="J12" s="159">
        <v>0</v>
      </c>
      <c r="K12" s="160">
        <v>0</v>
      </c>
      <c r="L12" s="161">
        <v>0</v>
      </c>
      <c r="M12" s="162">
        <f t="shared" si="1"/>
        <v>391.39906070575091</v>
      </c>
    </row>
    <row r="13" spans="1:35" ht="22.5" customHeight="1" thickBot="1">
      <c r="B13" s="163"/>
      <c r="C13" s="164" t="s">
        <v>91</v>
      </c>
      <c r="D13" s="165">
        <f>SUM(D7:D12)</f>
        <v>38.07599165094355</v>
      </c>
      <c r="E13" s="166">
        <f t="shared" ref="E13:L13" si="3">SUM(E7:E12)</f>
        <v>149.90724134986513</v>
      </c>
      <c r="F13" s="167">
        <f t="shared" si="3"/>
        <v>6.8109988152849894</v>
      </c>
      <c r="G13" s="166">
        <f t="shared" si="3"/>
        <v>221.33254184482604</v>
      </c>
      <c r="H13" s="168">
        <f t="shared" si="3"/>
        <v>338.50668234324513</v>
      </c>
      <c r="I13" s="165">
        <f t="shared" si="3"/>
        <v>64.467144801431161</v>
      </c>
      <c r="J13" s="166">
        <f t="shared" si="3"/>
        <v>16.046059975838347</v>
      </c>
      <c r="K13" s="167">
        <f t="shared" si="3"/>
        <v>20.018962274249478</v>
      </c>
      <c r="L13" s="168">
        <f t="shared" si="3"/>
        <v>290.86689365423172</v>
      </c>
      <c r="M13" s="169"/>
    </row>
    <row r="14" spans="1:35">
      <c r="B14" s="24"/>
      <c r="C14" s="54"/>
      <c r="D14" s="48"/>
      <c r="E14" s="48"/>
      <c r="F14" s="48"/>
      <c r="G14" s="48"/>
      <c r="H14" s="48"/>
      <c r="I14" s="48"/>
      <c r="J14" s="48"/>
      <c r="K14" s="48"/>
      <c r="L14" s="48"/>
      <c r="M14" s="24"/>
    </row>
    <row r="15" spans="1:35">
      <c r="B15" s="24"/>
      <c r="C15" s="54"/>
      <c r="D15" s="48"/>
      <c r="E15" s="48"/>
      <c r="F15" s="48"/>
      <c r="G15" s="48"/>
      <c r="H15" s="48"/>
      <c r="I15" s="48"/>
      <c r="J15" s="48"/>
      <c r="K15" s="48"/>
      <c r="L15" s="48"/>
      <c r="M15" s="24"/>
    </row>
    <row r="16" spans="1:35">
      <c r="B16" s="24"/>
      <c r="C16" s="54"/>
      <c r="D16" s="48"/>
      <c r="E16" s="48"/>
      <c r="F16" s="48"/>
      <c r="G16" s="48"/>
      <c r="H16" s="48"/>
      <c r="I16" s="48"/>
      <c r="J16" s="48"/>
      <c r="K16" s="48"/>
      <c r="L16" s="48"/>
      <c r="M16" s="24"/>
    </row>
    <row r="17" spans="2:13">
      <c r="B17" s="24"/>
      <c r="C17" s="54"/>
      <c r="D17" s="48"/>
      <c r="E17" s="48"/>
      <c r="F17" s="48"/>
      <c r="G17" s="48"/>
      <c r="H17" s="48"/>
      <c r="I17" s="48"/>
      <c r="J17" s="48"/>
      <c r="K17" s="48"/>
      <c r="L17" s="48"/>
      <c r="M17" s="24"/>
    </row>
    <row r="18" spans="2:13">
      <c r="B18" s="24"/>
      <c r="C18" s="54"/>
      <c r="D18" s="48"/>
      <c r="E18" s="48"/>
      <c r="F18" s="48"/>
      <c r="G18" s="48"/>
      <c r="H18" s="48"/>
      <c r="I18" s="48"/>
      <c r="J18" s="48"/>
      <c r="K18" s="48"/>
      <c r="L18" s="48"/>
      <c r="M18" s="24"/>
    </row>
    <row r="19" spans="2:13">
      <c r="B19" s="24"/>
      <c r="C19" s="54"/>
      <c r="D19" s="48"/>
      <c r="E19" s="48"/>
      <c r="F19" s="48"/>
      <c r="G19" s="48"/>
      <c r="H19" s="48"/>
      <c r="I19" s="48"/>
      <c r="J19" s="48"/>
      <c r="K19" s="48"/>
      <c r="L19" s="48"/>
      <c r="M19" s="24"/>
    </row>
    <row r="22" spans="2:13">
      <c r="B22" s="52" t="s">
        <v>302</v>
      </c>
      <c r="C22" s="52"/>
      <c r="D22" s="52"/>
      <c r="E22" s="52"/>
    </row>
    <row r="23" spans="2:13">
      <c r="B23" s="52"/>
      <c r="C23" s="52"/>
      <c r="D23" s="52"/>
      <c r="E23" s="52"/>
    </row>
    <row r="24" spans="2:13">
      <c r="B24" s="52"/>
      <c r="C24" s="52" t="s">
        <v>303</v>
      </c>
      <c r="D24" s="52" t="s">
        <v>304</v>
      </c>
      <c r="E24" s="52"/>
    </row>
    <row r="25" spans="2:13">
      <c r="B25" s="52" t="s">
        <v>300</v>
      </c>
      <c r="C25" s="53">
        <f>'Step2a-NIPACalcs'!E5</f>
        <v>64.467144801431346</v>
      </c>
      <c r="D25" s="53">
        <f>I13</f>
        <v>64.467144801431161</v>
      </c>
      <c r="E25" s="52"/>
    </row>
    <row r="26" spans="2:13">
      <c r="B26" s="52" t="s">
        <v>301</v>
      </c>
      <c r="C26" s="53">
        <f>'Step2a-NIPACalcs'!E6</f>
        <v>16.046059975838396</v>
      </c>
      <c r="D26" s="53">
        <f>J13</f>
        <v>16.046059975838347</v>
      </c>
      <c r="E26" s="52"/>
    </row>
    <row r="27" spans="2:13">
      <c r="B27" s="52" t="s">
        <v>239</v>
      </c>
      <c r="C27" s="53">
        <f>'Step2a-NIPACalcs'!E7</f>
        <v>20.018962274249535</v>
      </c>
      <c r="D27" s="53">
        <f>K13</f>
        <v>20.018962274249478</v>
      </c>
      <c r="E27" s="52"/>
    </row>
    <row r="28" spans="2:13">
      <c r="B28" s="52" t="s">
        <v>240</v>
      </c>
      <c r="C28" s="53">
        <f>'Step2a-NIPACalcs'!E8</f>
        <v>6.9625189240438585</v>
      </c>
      <c r="D28" s="53">
        <f>SUM(G7:H7,L7)</f>
        <v>4.8399675806278815</v>
      </c>
      <c r="E28" s="52"/>
    </row>
    <row r="29" spans="2:13">
      <c r="B29" s="52" t="s">
        <v>241</v>
      </c>
      <c r="C29" s="53">
        <f>'Step2a-NIPACalcs'!E9</f>
        <v>2.7174162372119337</v>
      </c>
      <c r="D29" s="53">
        <f>SUM(G8:H8,L8)</f>
        <v>4.8399675806278815</v>
      </c>
      <c r="E29" s="52"/>
    </row>
    <row r="30" spans="2:13">
      <c r="B30" s="52" t="s">
        <v>242</v>
      </c>
      <c r="C30" s="53">
        <f>'Step2a-NIPACalcs'!E10</f>
        <v>8.3326961601394629</v>
      </c>
      <c r="D30" s="53">
        <f>SUM(D10:F10,I10:K10)</f>
        <v>5.1060511063831626</v>
      </c>
      <c r="E30" s="52"/>
    </row>
    <row r="31" spans="2:13">
      <c r="B31" s="52" t="s">
        <v>243</v>
      </c>
      <c r="C31" s="53">
        <f>'Step2a-NIPACalcs'!E11</f>
        <v>1.8794060526356036</v>
      </c>
      <c r="D31" s="53">
        <f>SUM(D11:F11,I11:K11)</f>
        <v>5.1060511063884944</v>
      </c>
      <c r="E31" s="52"/>
    </row>
    <row r="32" spans="2:13">
      <c r="B32" s="52"/>
      <c r="C32" s="52"/>
      <c r="D32" s="52"/>
      <c r="E32" s="52"/>
    </row>
    <row r="33" spans="2:5">
      <c r="B33" s="52" t="s">
        <v>305</v>
      </c>
      <c r="C33" s="53">
        <f>C28-C30</f>
        <v>-1.3701772360956044</v>
      </c>
      <c r="D33" s="52"/>
      <c r="E33" s="52"/>
    </row>
    <row r="34" spans="2:5">
      <c r="B34" s="52" t="s">
        <v>306</v>
      </c>
      <c r="C34" s="53">
        <f>C29-C31</f>
        <v>0.83801018457633014</v>
      </c>
      <c r="D34" s="52"/>
      <c r="E34" s="52"/>
    </row>
    <row r="35" spans="2:5">
      <c r="B35" s="52" t="s">
        <v>307</v>
      </c>
      <c r="C35" s="53">
        <f>C28+C29-C30-C31</f>
        <v>-0.53216705151927512</v>
      </c>
      <c r="D35" s="52"/>
      <c r="E35" s="52"/>
    </row>
  </sheetData>
  <mergeCells count="17">
    <mergeCell ref="AC4:AI4"/>
    <mergeCell ref="AE5:AG5"/>
    <mergeCell ref="AH5:AI5"/>
    <mergeCell ref="AC7:AC9"/>
    <mergeCell ref="AC10:AC11"/>
    <mergeCell ref="Q5:S5"/>
    <mergeCell ref="T5:U5"/>
    <mergeCell ref="O7:O9"/>
    <mergeCell ref="O10:O11"/>
    <mergeCell ref="O4:U4"/>
    <mergeCell ref="B10:B11"/>
    <mergeCell ref="D4:H4"/>
    <mergeCell ref="I4:L4"/>
    <mergeCell ref="D5:F5"/>
    <mergeCell ref="G5:H5"/>
    <mergeCell ref="I5:K5"/>
    <mergeCell ref="B7:B9"/>
  </mergeCells>
  <pageMargins left="0" right="0" top="0" bottom="0" header="0" footer="0"/>
  <pageSetup scale="75"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7"/>
  <sheetViews>
    <sheetView workbookViewId="0">
      <selection activeCell="H113" sqref="H113"/>
    </sheetView>
  </sheetViews>
  <sheetFormatPr defaultRowHeight="15"/>
  <cols>
    <col min="1" max="1" width="14.75" bestFit="1" customWidth="1"/>
    <col min="2" max="2" width="15.75" bestFit="1" customWidth="1"/>
    <col min="3" max="3" width="13.75" bestFit="1" customWidth="1"/>
    <col min="4" max="5" width="15.75" bestFit="1" customWidth="1"/>
    <col min="6" max="8" width="14.75" bestFit="1" customWidth="1"/>
    <col min="9" max="10" width="15.75" bestFit="1" customWidth="1"/>
  </cols>
  <sheetData>
    <row r="1" spans="1:10">
      <c r="A1" s="45">
        <f>'Step4-Normalize'!D7</f>
        <v>21.515540738703606</v>
      </c>
      <c r="B1" s="45">
        <f>'Step4-Normalize'!E7</f>
        <v>9.956073766600305</v>
      </c>
      <c r="C1" s="45">
        <f>'Step4-Normalize'!F7</f>
        <v>3.1443404332638734</v>
      </c>
      <c r="D1" s="45">
        <f>'Step4-Normalize'!G7</f>
        <v>3.1036360663008224</v>
      </c>
      <c r="E1" s="45">
        <f>'Step4-Normalize'!H7</f>
        <v>1.1352799387616777</v>
      </c>
      <c r="F1" s="45">
        <f>'Step4-Normalize'!I7</f>
        <v>7.6638788881105784</v>
      </c>
      <c r="G1" s="45">
        <f>'Step4-Normalize'!J7</f>
        <v>1.9075617613431752</v>
      </c>
      <c r="H1" s="45">
        <f>'Step4-Normalize'!K7</f>
        <v>5.259000991311404</v>
      </c>
      <c r="I1" s="45">
        <f>'Step4-Normalize'!L7</f>
        <v>2.7236029189789281</v>
      </c>
      <c r="J1" s="45">
        <f>'Step4-Normalize'!M7</f>
        <v>56.408915503374367</v>
      </c>
    </row>
    <row r="2" spans="1:10">
      <c r="A2" s="45">
        <f>'Step4-Normalize'!D8</f>
        <v>11.737667936451594</v>
      </c>
      <c r="B2" s="45">
        <f>'Step4-Normalize'!E8</f>
        <v>39.233323934866128</v>
      </c>
      <c r="C2" s="45">
        <f>'Step4-Normalize'!F8</f>
        <v>2.9851012222499111</v>
      </c>
      <c r="D2" s="45">
        <f>'Step4-Normalize'!G8</f>
        <v>0.90259754500528089</v>
      </c>
      <c r="E2" s="45">
        <f>'Step4-Normalize'!H8</f>
        <v>1.3481522157886017</v>
      </c>
      <c r="F2" s="45">
        <f>'Step4-Normalize'!I8</f>
        <v>54.970215171148858</v>
      </c>
      <c r="G2" s="45">
        <f>'Step4-Normalize'!J8</f>
        <v>13.682246549585239</v>
      </c>
      <c r="H2" s="45">
        <f>'Step4-Normalize'!K8</f>
        <v>3.006933690511099</v>
      </c>
      <c r="I2" s="45">
        <f>'Step4-Normalize'!L8</f>
        <v>0.46666647641710279</v>
      </c>
      <c r="J2" s="45">
        <f>'Step4-Normalize'!M8</f>
        <v>128.33290474202383</v>
      </c>
    </row>
    <row r="3" spans="1:10">
      <c r="A3" s="45">
        <f>'Step4-Normalize'!D9</f>
        <v>0</v>
      </c>
      <c r="B3" s="45">
        <f>'Step4-Normalize'!E9</f>
        <v>0</v>
      </c>
      <c r="C3" s="45">
        <f>'Step4-Normalize'!F9</f>
        <v>0</v>
      </c>
      <c r="D3" s="45">
        <f>'Step4-Normalize'!G9</f>
        <v>0</v>
      </c>
      <c r="E3" s="45">
        <f>'Step4-Normalize'!H9</f>
        <v>0</v>
      </c>
      <c r="F3" s="45">
        <f>'Step4-Normalize'!I9</f>
        <v>0</v>
      </c>
      <c r="G3" s="45">
        <f>'Step4-Normalize'!J9</f>
        <v>0</v>
      </c>
      <c r="H3" s="45">
        <f>'Step4-Normalize'!K9</f>
        <v>10.052411570597966</v>
      </c>
      <c r="I3" s="45">
        <f>'Step4-Normalize'!L9</f>
        <v>0</v>
      </c>
      <c r="J3" s="45">
        <f>'Step4-Normalize'!M9</f>
        <v>10.052411570597966</v>
      </c>
    </row>
    <row r="4" spans="1:10">
      <c r="A4" s="45">
        <f>'Step4-Normalize'!D10</f>
        <v>3.1661395587336951</v>
      </c>
      <c r="B4" s="45">
        <f>'Step4-Normalize'!E10</f>
        <v>1.1091292226343152</v>
      </c>
      <c r="C4" s="45">
        <f>'Step4-Normalize'!F10</f>
        <v>0.33021950640156839</v>
      </c>
      <c r="D4" s="45">
        <f>'Step4-Normalize'!G10</f>
        <v>89.557192045213085</v>
      </c>
      <c r="E4" s="45">
        <f>'Step4-Normalize'!H10</f>
        <v>41.13496857457524</v>
      </c>
      <c r="F4" s="45">
        <f>'Step4-Normalize'!I10</f>
        <v>1.6397941088617143</v>
      </c>
      <c r="G4" s="45">
        <f>'Step4-Normalize'!J10</f>
        <v>0.40814952639623192</v>
      </c>
      <c r="H4" s="45">
        <f>'Step4-Normalize'!K10</f>
        <v>1.6792642371039646</v>
      </c>
      <c r="I4" s="45">
        <f>'Step4-Normalize'!L10</f>
        <v>82.307685064824597</v>
      </c>
      <c r="J4" s="45">
        <f>'Step4-Normalize'!M10</f>
        <v>221.33254184474441</v>
      </c>
    </row>
    <row r="5" spans="1:10">
      <c r="A5" s="45">
        <f>'Step4-Normalize'!D11</f>
        <v>0.44279152778556163</v>
      </c>
      <c r="B5" s="45">
        <f>'Step4-Normalize'!E11</f>
        <v>1.0776630567473227</v>
      </c>
      <c r="C5" s="45">
        <f>'Step4-Normalize'!F11</f>
        <v>9.6240911588401146E-2</v>
      </c>
      <c r="D5" s="45">
        <f>'Step4-Normalize'!G11</f>
        <v>42.593210439628017</v>
      </c>
      <c r="E5" s="45">
        <f>'Step4-Normalize'!H11</f>
        <v>88.665126656954683</v>
      </c>
      <c r="F5" s="45">
        <f>'Step4-Normalize'!I11</f>
        <v>0.19325663328769938</v>
      </c>
      <c r="G5" s="45">
        <f>'Step4-Normalize'!J11</f>
        <v>4.8102138508144043E-2</v>
      </c>
      <c r="H5" s="45">
        <f>'Step4-Normalize'!K11</f>
        <v>2.1351784718111985E-2</v>
      </c>
      <c r="I5" s="45">
        <f>'Step4-Normalize'!L11</f>
        <v>205.36893919391034</v>
      </c>
      <c r="J5" s="45">
        <f>'Step4-Normalize'!M11</f>
        <v>338.50668234312826</v>
      </c>
    </row>
    <row r="6" spans="1:10">
      <c r="A6" s="45">
        <f>'Step4-Normalize'!D12</f>
        <v>19.546775741721476</v>
      </c>
      <c r="B6" s="45">
        <f>'Step4-Normalize'!E12</f>
        <v>76.956714761165102</v>
      </c>
      <c r="C6" s="45">
        <f>'Step4-Normalize'!F12</f>
        <v>3.4965094971134159</v>
      </c>
      <c r="D6" s="45">
        <f>'Step4-Normalize'!G12</f>
        <v>85.175905748602247</v>
      </c>
      <c r="E6" s="45">
        <f>'Step4-Normalize'!H12</f>
        <v>206.2231549570478</v>
      </c>
      <c r="F6" s="45">
        <f>'Step4-Normalize'!I12</f>
        <v>0</v>
      </c>
      <c r="G6" s="45">
        <f>'Step4-Normalize'!J12</f>
        <v>0</v>
      </c>
      <c r="H6" s="45">
        <f>'Step4-Normalize'!K12</f>
        <v>0</v>
      </c>
      <c r="I6" s="45">
        <f>'Step4-Normalize'!L12</f>
        <v>0</v>
      </c>
      <c r="J6" s="45">
        <f>'Step4-Normalize'!M12</f>
        <v>391.39906070565007</v>
      </c>
    </row>
    <row r="7" spans="1:10">
      <c r="A7" s="45">
        <f>'Step4-Normalize'!D13</f>
        <v>56.408915503395932</v>
      </c>
      <c r="B7" s="45">
        <f>'Step4-Normalize'!E13</f>
        <v>128.33290474201317</v>
      </c>
      <c r="C7" s="45">
        <f>'Step4-Normalize'!F13</f>
        <v>10.052411570617171</v>
      </c>
      <c r="D7" s="45">
        <f>'Step4-Normalize'!G13</f>
        <v>221.33254184474944</v>
      </c>
      <c r="E7" s="45">
        <f>'Step4-Normalize'!H13</f>
        <v>338.50668234312798</v>
      </c>
      <c r="F7" s="45">
        <f>'Step4-Normalize'!I13</f>
        <v>64.46714480140885</v>
      </c>
      <c r="G7" s="45">
        <f>'Step4-Normalize'!J13</f>
        <v>16.04605997583279</v>
      </c>
      <c r="H7" s="45">
        <f>'Step4-Normalize'!K13</f>
        <v>20.018962274242547</v>
      </c>
      <c r="I7" s="45">
        <f>'Step4-Normalize'!L13</f>
        <v>290.86689365413099</v>
      </c>
      <c r="J7" s="45">
        <f>'Step4-Normalize'!M13</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J7"/>
  <sheetViews>
    <sheetView topLeftCell="A2" workbookViewId="0">
      <selection activeCell="J47" sqref="J46:J47"/>
    </sheetView>
  </sheetViews>
  <sheetFormatPr defaultRowHeight="15"/>
  <cols>
    <col min="1" max="1" width="14.75" bestFit="1" customWidth="1"/>
    <col min="2" max="2" width="15.75" bestFit="1" customWidth="1"/>
    <col min="3" max="3" width="13.75" bestFit="1" customWidth="1"/>
    <col min="4" max="5" width="15.75" bestFit="1" customWidth="1"/>
    <col min="6" max="8" width="14.75" bestFit="1" customWidth="1"/>
    <col min="9" max="10" width="15.75" bestFit="1" customWidth="1"/>
  </cols>
  <sheetData>
    <row r="1" spans="1:10">
      <c r="A1" s="45">
        <f>'Step4-NormalizeMoreSvcsTrd'!D7</f>
        <v>22.297805569452532</v>
      </c>
      <c r="B1" s="45">
        <f>'Step4-NormalizeMoreSvcsTrd'!E7</f>
        <v>10.16012680687377</v>
      </c>
      <c r="C1" s="45">
        <f>'Step4-NormalizeMoreSvcsTrd'!F7</f>
        <v>3.2218256543506238</v>
      </c>
      <c r="D1" s="45">
        <f>'Step4-NormalizeMoreSvcsTrd'!G7</f>
        <v>2.1489198887952869</v>
      </c>
      <c r="E1" s="45">
        <f>'Step4-NormalizeMoreSvcsTrd'!H7</f>
        <v>0.78702241774283077</v>
      </c>
      <c r="F1" s="45">
        <f>'Step4-NormalizeMoreSvcsTrd'!I7</f>
        <v>8.1220634918913426</v>
      </c>
      <c r="G1" s="45">
        <f>'Step4-NormalizeMoreSvcsTrd'!J7</f>
        <v>2.0216052427927962</v>
      </c>
      <c r="H1" s="45">
        <f>'Step4-NormalizeMoreSvcsTrd'!K7</f>
        <v>5.7455211573783833</v>
      </c>
      <c r="I1" s="45">
        <f>'Step4-NormalizeMoreSvcsTrd'!L7</f>
        <v>1.9040252740877703</v>
      </c>
      <c r="J1" s="45">
        <f>'Step4-NormalizeMoreSvcsTrd'!M7</f>
        <v>56.408915503365336</v>
      </c>
    </row>
    <row r="2" spans="1:10">
      <c r="A2" s="45">
        <f>'Step4-NormalizeMoreSvcsTrd'!D8</f>
        <v>11.440918734116567</v>
      </c>
      <c r="B2" s="45">
        <f>'Step4-NormalizeMoreSvcsTrd'!E8</f>
        <v>37.656100964099473</v>
      </c>
      <c r="C2" s="45">
        <f>'Step4-NormalizeMoreSvcsTrd'!F8</f>
        <v>2.8767409816327669</v>
      </c>
      <c r="D2" s="45">
        <f>'Step4-NormalizeMoreSvcsTrd'!G8</f>
        <v>1.6039650498670974</v>
      </c>
      <c r="E2" s="45">
        <f>'Step4-NormalizeMoreSvcsTrd'!H8</f>
        <v>2.3986914484411948</v>
      </c>
      <c r="F2" s="45">
        <f>'Step4-NormalizeMoreSvcsTrd'!I8</f>
        <v>54.791653546710151</v>
      </c>
      <c r="G2" s="45">
        <f>'Step4-NormalizeMoreSvcsTrd'!J8</f>
        <v>13.637802041550147</v>
      </c>
      <c r="H2" s="45">
        <f>'Step4-NormalizeMoreSvcsTrd'!K8</f>
        <v>3.0897208932804343</v>
      </c>
      <c r="I2" s="45">
        <f>'Step4-NormalizeMoreSvcsTrd'!L8</f>
        <v>0.83731108231759577</v>
      </c>
      <c r="J2" s="45">
        <f>'Step4-NormalizeMoreSvcsTrd'!M8</f>
        <v>128.33290474201542</v>
      </c>
    </row>
    <row r="3" spans="1:10">
      <c r="A3" s="45">
        <f>'Step4-NormalizeMoreSvcsTrd'!D9</f>
        <v>0</v>
      </c>
      <c r="B3" s="45">
        <f>'Step4-NormalizeMoreSvcsTrd'!E9</f>
        <v>0</v>
      </c>
      <c r="C3" s="45">
        <f>'Step4-NormalizeMoreSvcsTrd'!F9</f>
        <v>0</v>
      </c>
      <c r="D3" s="45">
        <f>'Step4-NormalizeMoreSvcsTrd'!G9</f>
        <v>0</v>
      </c>
      <c r="E3" s="45">
        <f>'Step4-NormalizeMoreSvcsTrd'!H9</f>
        <v>0</v>
      </c>
      <c r="F3" s="45">
        <f>'Step4-NormalizeMoreSvcsTrd'!I9</f>
        <v>0</v>
      </c>
      <c r="G3" s="45">
        <f>'Step4-NormalizeMoreSvcsTrd'!J9</f>
        <v>0</v>
      </c>
      <c r="H3" s="45">
        <f>'Step4-NormalizeMoreSvcsTrd'!K9</f>
        <v>10.052411570594005</v>
      </c>
      <c r="I3" s="45">
        <f>'Step4-NormalizeMoreSvcsTrd'!L9</f>
        <v>0</v>
      </c>
      <c r="J3" s="45">
        <f>'Step4-NormalizeMoreSvcsTrd'!M9</f>
        <v>10.052411570594005</v>
      </c>
    </row>
    <row r="4" spans="1:10">
      <c r="A4" s="45">
        <f>'Step4-NormalizeMoreSvcsTrd'!D10</f>
        <v>1.9133572698315917</v>
      </c>
      <c r="B4" s="45">
        <f>'Step4-NormalizeMoreSvcsTrd'!E10</f>
        <v>0.66000819595963522</v>
      </c>
      <c r="C4" s="45">
        <f>'Step4-NormalizeMoreSvcsTrd'!F10</f>
        <v>0.19730194063559492</v>
      </c>
      <c r="D4" s="45">
        <f>'Step4-NormalizeMoreSvcsTrd'!G10</f>
        <v>90.553936964646155</v>
      </c>
      <c r="E4" s="45">
        <f>'Step4-NormalizeMoreSvcsTrd'!H10</f>
        <v>41.644029191420067</v>
      </c>
      <c r="F4" s="45">
        <f>'Step4-NormalizeMoreSvcsTrd'!I10</f>
        <v>1.0133587621423268</v>
      </c>
      <c r="G4" s="45">
        <f>'Step4-NormalizeMoreSvcsTrd'!J10</f>
        <v>0.25222794532721587</v>
      </c>
      <c r="H4" s="45">
        <f>'Step4-NormalizeMoreSvcsTrd'!K10</f>
        <v>1.0697969924853337</v>
      </c>
      <c r="I4" s="45">
        <f>'Step4-NormalizeMoreSvcsTrd'!L10</f>
        <v>84.028524582283268</v>
      </c>
      <c r="J4" s="45">
        <f>'Step4-NormalizeMoreSvcsTrd'!M10</f>
        <v>221.33254184473117</v>
      </c>
    </row>
    <row r="5" spans="1:10">
      <c r="A5" s="45">
        <f>'Step4-NormalizeMoreSvcsTrd'!D11</f>
        <v>1.2100581882737904</v>
      </c>
      <c r="B5" s="45">
        <f>'Step4-NormalizeMoreSvcsTrd'!E11</f>
        <v>2.8999540139024207</v>
      </c>
      <c r="C5" s="45">
        <f>'Step4-NormalizeMoreSvcsTrd'!F11</f>
        <v>0.2600334968846878</v>
      </c>
      <c r="D5" s="45">
        <f>'Step4-NormalizeMoreSvcsTrd'!G11</f>
        <v>41.924010814327616</v>
      </c>
      <c r="E5" s="45">
        <f>'Step4-NormalizeMoreSvcsTrd'!H11</f>
        <v>87.379587706969474</v>
      </c>
      <c r="F5" s="45">
        <f>'Step4-NormalizeMoreSvcsTrd'!I11</f>
        <v>0.54006900066077723</v>
      </c>
      <c r="G5" s="45">
        <f>'Step4-NormalizeMoreSvcsTrd'!J11</f>
        <v>0.13442474616157549</v>
      </c>
      <c r="H5" s="45">
        <f>'Step4-NormalizeMoreSvcsTrd'!K11</f>
        <v>6.1511660503077811E-2</v>
      </c>
      <c r="I5" s="45">
        <f>'Step4-NormalizeMoreSvcsTrd'!L11</f>
        <v>204.09703271542321</v>
      </c>
      <c r="J5" s="45">
        <f>'Step4-NormalizeMoreSvcsTrd'!M11</f>
        <v>338.5066823431066</v>
      </c>
    </row>
    <row r="6" spans="1:10">
      <c r="A6" s="45">
        <f>'Step4-NormalizeMoreSvcsTrd'!D12</f>
        <v>19.546775741717742</v>
      </c>
      <c r="B6" s="45">
        <f>'Step4-NormalizeMoreSvcsTrd'!E12</f>
        <v>76.956714761169437</v>
      </c>
      <c r="C6" s="45">
        <f>'Step4-NormalizeMoreSvcsTrd'!F12</f>
        <v>3.4965094971128341</v>
      </c>
      <c r="D6" s="45">
        <f>'Step4-NormalizeMoreSvcsTrd'!G12</f>
        <v>85.101709127098729</v>
      </c>
      <c r="E6" s="45">
        <f>'Step4-NormalizeMoreSvcsTrd'!H12</f>
        <v>206.29735157853213</v>
      </c>
      <c r="F6" s="45">
        <f>'Step4-NormalizeMoreSvcsTrd'!I12</f>
        <v>0</v>
      </c>
      <c r="G6" s="45">
        <f>'Step4-NormalizeMoreSvcsTrd'!J12</f>
        <v>0</v>
      </c>
      <c r="H6" s="45">
        <f>'Step4-NormalizeMoreSvcsTrd'!K12</f>
        <v>0</v>
      </c>
      <c r="I6" s="45">
        <f>'Step4-NormalizeMoreSvcsTrd'!L12</f>
        <v>0</v>
      </c>
      <c r="J6" s="45">
        <f>'Step4-NormalizeMoreSvcsTrd'!M12</f>
        <v>391.39906070563086</v>
      </c>
    </row>
    <row r="7" spans="1:10">
      <c r="A7" s="45">
        <f>'Step4-NormalizeMoreSvcsTrd'!D13</f>
        <v>56.408915503392222</v>
      </c>
      <c r="B7" s="45">
        <f>'Step4-NormalizeMoreSvcsTrd'!E13</f>
        <v>128.33290474200473</v>
      </c>
      <c r="C7" s="45">
        <f>'Step4-NormalizeMoreSvcsTrd'!F13</f>
        <v>10.052411570616506</v>
      </c>
      <c r="D7" s="45">
        <f>'Step4-NormalizeMoreSvcsTrd'!G13</f>
        <v>221.33254184473489</v>
      </c>
      <c r="E7" s="45">
        <f>'Step4-NormalizeMoreSvcsTrd'!H13</f>
        <v>338.50668234310569</v>
      </c>
      <c r="F7" s="45">
        <f>'Step4-NormalizeMoreSvcsTrd'!I13</f>
        <v>64.467144801404586</v>
      </c>
      <c r="G7" s="45">
        <f>'Step4-NormalizeMoreSvcsTrd'!J13</f>
        <v>16.046059975831735</v>
      </c>
      <c r="H7" s="45">
        <f>'Step4-NormalizeMoreSvcsTrd'!K13</f>
        <v>20.018962274241236</v>
      </c>
      <c r="I7" s="45">
        <f>'Step4-NormalizeMoreSvcsTrd'!L13</f>
        <v>290.86689365411183</v>
      </c>
      <c r="J7" s="45">
        <f>'Step4-NormalizeMoreSvcsTrd'!M13</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7"/>
  <sheetViews>
    <sheetView workbookViewId="0">
      <selection activeCell="R47" sqref="R47"/>
    </sheetView>
  </sheetViews>
  <sheetFormatPr defaultRowHeight="15"/>
  <cols>
    <col min="1" max="1" width="14.75" bestFit="1" customWidth="1"/>
    <col min="2" max="2" width="15.75" bestFit="1" customWidth="1"/>
    <col min="3" max="3" width="13.75" bestFit="1" customWidth="1"/>
    <col min="4" max="5" width="15.75" bestFit="1" customWidth="1"/>
    <col min="6" max="8" width="14.75" bestFit="1" customWidth="1"/>
    <col min="9" max="10" width="15.75" bestFit="1" customWidth="1"/>
  </cols>
  <sheetData>
    <row r="1" spans="1:10">
      <c r="A1" s="45">
        <f>'Step4-Normalize-NoIO'!D7</f>
        <v>0</v>
      </c>
      <c r="B1" s="45">
        <f>'Step4-Normalize-NoIO'!E7</f>
        <v>0</v>
      </c>
      <c r="C1" s="45">
        <f>'Step4-Normalize-NoIO'!F7</f>
        <v>0</v>
      </c>
      <c r="D1" s="45">
        <f>'Step4-Normalize-NoIO'!G7</f>
        <v>0</v>
      </c>
      <c r="E1" s="45">
        <f>'Step4-Normalize-NoIO'!H7</f>
        <v>0</v>
      </c>
      <c r="F1" s="45">
        <f>'Step4-Normalize-NoIO'!I7</f>
        <v>5.1599889227281688</v>
      </c>
      <c r="G1" s="45">
        <f>'Step4-Normalize-NoIO'!J7</f>
        <v>1.2843362612659035</v>
      </c>
      <c r="H1" s="45">
        <f>'Step4-Normalize-NoIO'!K7</f>
        <v>6.1399316337143981</v>
      </c>
      <c r="I1" s="45">
        <f>'Step4-Normalize-NoIO'!L7</f>
        <v>6.9625189240438576</v>
      </c>
      <c r="J1" s="45">
        <f>'Step4-Normalize-NoIO'!M7</f>
        <v>19.546775741752327</v>
      </c>
    </row>
    <row r="2" spans="1:10">
      <c r="A2" s="45">
        <f>'Step4-Normalize-NoIO'!D8</f>
        <v>0</v>
      </c>
      <c r="B2" s="45">
        <f>'Step4-Normalize-NoIO'!E8</f>
        <v>0</v>
      </c>
      <c r="C2" s="45">
        <f>'Step4-Normalize-NoIO'!F8</f>
        <v>0</v>
      </c>
      <c r="D2" s="45">
        <f>'Step4-Normalize-NoIO'!G8</f>
        <v>0</v>
      </c>
      <c r="E2" s="45">
        <f>'Step4-Normalize-NoIO'!H8</f>
        <v>0</v>
      </c>
      <c r="F2" s="45">
        <f>'Step4-Normalize-NoIO'!I8</f>
        <v>55.24755776269614</v>
      </c>
      <c r="G2" s="45">
        <f>'Step4-Normalize-NoIO'!J8</f>
        <v>13.751277927840473</v>
      </c>
      <c r="H2" s="45">
        <f>'Step4-Normalize-NoIO'!K8</f>
        <v>5.2404628333679844</v>
      </c>
      <c r="I2" s="45">
        <f>'Step4-Normalize-NoIO'!L8</f>
        <v>2.7174162372119337</v>
      </c>
      <c r="J2" s="45">
        <f>'Step4-Normalize-NoIO'!M8</f>
        <v>76.95671476111653</v>
      </c>
    </row>
    <row r="3" spans="1:10">
      <c r="A3" s="45">
        <f>'Step4-Normalize-NoIO'!D9</f>
        <v>0</v>
      </c>
      <c r="B3" s="45">
        <f>'Step4-Normalize-NoIO'!E9</f>
        <v>0</v>
      </c>
      <c r="C3" s="45">
        <f>'Step4-Normalize-NoIO'!F9</f>
        <v>0</v>
      </c>
      <c r="D3" s="45">
        <f>'Step4-Normalize-NoIO'!G9</f>
        <v>0</v>
      </c>
      <c r="E3" s="45">
        <f>'Step4-Normalize-NoIO'!H9</f>
        <v>0</v>
      </c>
      <c r="F3" s="45">
        <f>'Step4-Normalize-NoIO'!I9</f>
        <v>0</v>
      </c>
      <c r="G3" s="45">
        <f>'Step4-Normalize-NoIO'!J9</f>
        <v>0</v>
      </c>
      <c r="H3" s="45">
        <f>'Step4-Normalize-NoIO'!K9</f>
        <v>3.4965094971234736</v>
      </c>
      <c r="I3" s="45">
        <f>'Step4-Normalize-NoIO'!L9</f>
        <v>0</v>
      </c>
      <c r="J3" s="45">
        <f>'Step4-Normalize-NoIO'!M9</f>
        <v>3.4965094971234736</v>
      </c>
    </row>
    <row r="4" spans="1:10">
      <c r="A4" s="45">
        <f>'Step4-Normalize-NoIO'!D10</f>
        <v>0</v>
      </c>
      <c r="B4" s="45">
        <f>'Step4-Normalize-NoIO'!E10</f>
        <v>0</v>
      </c>
      <c r="C4" s="45">
        <f>'Step4-Normalize-NoIO'!F10</f>
        <v>0</v>
      </c>
      <c r="D4" s="45">
        <f>'Step4-Normalize-NoIO'!G10</f>
        <v>0</v>
      </c>
      <c r="E4" s="45">
        <f>'Step4-Normalize-NoIO'!H10</f>
        <v>0</v>
      </c>
      <c r="F4" s="45">
        <f>'Step4-Normalize-NoIO'!I10</f>
        <v>2.7548964584946107</v>
      </c>
      <c r="G4" s="45">
        <f>'Step4-Normalize-NoIO'!J10</f>
        <v>0.68570174677951312</v>
      </c>
      <c r="H4" s="45">
        <f>'Step4-Normalize-NoIO'!K10</f>
        <v>4.8920979548733055</v>
      </c>
      <c r="I4" s="45">
        <f>'Step4-Normalize-NoIO'!L10</f>
        <v>76.843209588492485</v>
      </c>
      <c r="J4" s="45">
        <f>'Step4-Normalize-NoIO'!M10</f>
        <v>85.17590574863992</v>
      </c>
    </row>
    <row r="5" spans="1:10">
      <c r="A5" s="45">
        <f>'Step4-Normalize-NoIO'!D11</f>
        <v>0</v>
      </c>
      <c r="B5" s="45">
        <f>'Step4-Normalize-NoIO'!E11</f>
        <v>0</v>
      </c>
      <c r="C5" s="45">
        <f>'Step4-Normalize-NoIO'!F11</f>
        <v>0</v>
      </c>
      <c r="D5" s="45">
        <f>'Step4-Normalize-NoIO'!G11</f>
        <v>0</v>
      </c>
      <c r="E5" s="45">
        <f>'Step4-Normalize-NoIO'!H11</f>
        <v>0</v>
      </c>
      <c r="F5" s="45">
        <f>'Step4-Normalize-NoIO'!I11</f>
        <v>1.3047016575124173</v>
      </c>
      <c r="G5" s="45">
        <f>'Step4-Normalize-NoIO'!J11</f>
        <v>0.32474403995250611</v>
      </c>
      <c r="H5" s="45">
        <f>'Step4-Normalize-NoIO'!K11</f>
        <v>0.24996035517037368</v>
      </c>
      <c r="I5" s="45">
        <f>'Step4-Normalize-NoIO'!L11</f>
        <v>204.3437489044841</v>
      </c>
      <c r="J5" s="45">
        <f>'Step4-Normalize-NoIO'!M11</f>
        <v>206.22315495711939</v>
      </c>
    </row>
    <row r="6" spans="1:10">
      <c r="A6" s="45">
        <f>'Step4-Normalize-NoIO'!D12</f>
        <v>19.546775741743375</v>
      </c>
      <c r="B6" s="45">
        <f>'Step4-Normalize-NoIO'!E12</f>
        <v>76.956714761140034</v>
      </c>
      <c r="C6" s="45">
        <f>'Step4-Normalize-NoIO'!F12</f>
        <v>3.4965094971165724</v>
      </c>
      <c r="D6" s="45">
        <f>'Step4-Normalize-NoIO'!G12</f>
        <v>85.175905748631962</v>
      </c>
      <c r="E6" s="45">
        <f>'Step4-Normalize-NoIO'!H12</f>
        <v>206.22315495711973</v>
      </c>
      <c r="F6" s="45">
        <f>'Step4-Normalize-NoIO'!I12</f>
        <v>0</v>
      </c>
      <c r="G6" s="45">
        <f>'Step4-Normalize-NoIO'!J12</f>
        <v>0</v>
      </c>
      <c r="H6" s="45">
        <f>'Step4-Normalize-NoIO'!K12</f>
        <v>0</v>
      </c>
      <c r="I6" s="45">
        <f>'Step4-Normalize-NoIO'!L12</f>
        <v>0</v>
      </c>
      <c r="J6" s="45">
        <f>'Step4-Normalize-NoIO'!M12</f>
        <v>391.39906070575171</v>
      </c>
    </row>
    <row r="7" spans="1:10">
      <c r="A7" s="45">
        <f>'Step4-Normalize-NoIO'!D13</f>
        <v>19.546775741743375</v>
      </c>
      <c r="B7" s="45">
        <f>'Step4-Normalize-NoIO'!E13</f>
        <v>76.956714761140034</v>
      </c>
      <c r="C7" s="45">
        <f>'Step4-Normalize-NoIO'!F13</f>
        <v>3.4965094971165724</v>
      </c>
      <c r="D7" s="45">
        <f>'Step4-Normalize-NoIO'!G13</f>
        <v>85.175905748631962</v>
      </c>
      <c r="E7" s="45">
        <f>'Step4-Normalize-NoIO'!H13</f>
        <v>206.22315495711973</v>
      </c>
      <c r="F7" s="45">
        <f>'Step4-Normalize-NoIO'!I13</f>
        <v>64.467144801431331</v>
      </c>
      <c r="G7" s="45">
        <f>'Step4-Normalize-NoIO'!J13</f>
        <v>16.046059975838396</v>
      </c>
      <c r="H7" s="45">
        <f>'Step4-Normalize-NoIO'!K13</f>
        <v>20.018962274249532</v>
      </c>
      <c r="I7" s="45">
        <f>'Step4-Normalize-NoIO'!L13</f>
        <v>290.8668936542324</v>
      </c>
      <c r="J7" s="45">
        <f>'Step4-Normalize-NoIO'!M13</f>
        <v>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J7"/>
  <sheetViews>
    <sheetView workbookViewId="0">
      <selection activeCell="J25" sqref="J25"/>
    </sheetView>
  </sheetViews>
  <sheetFormatPr defaultRowHeight="15"/>
  <cols>
    <col min="1" max="1" width="14.75" bestFit="1" customWidth="1"/>
    <col min="2" max="2" width="15.75" bestFit="1" customWidth="1"/>
    <col min="3" max="3" width="13.75" bestFit="1" customWidth="1"/>
    <col min="4" max="5" width="15.75" bestFit="1" customWidth="1"/>
    <col min="6" max="8" width="14.75" bestFit="1" customWidth="1"/>
    <col min="9" max="10" width="15.75" bestFit="1" customWidth="1"/>
  </cols>
  <sheetData>
    <row r="1" spans="1:10">
      <c r="A1" s="45">
        <f>'Step4-Normalize-AltIO1'!D7</f>
        <v>9.2042817753869457</v>
      </c>
      <c r="B1" s="45">
        <f>'Step4-Normalize-AltIO1'!E7</f>
        <v>9.8995577678615803</v>
      </c>
      <c r="C1" s="45">
        <f>'Step4-Normalize-AltIO1'!F7</f>
        <v>1.2667627281330531</v>
      </c>
      <c r="D1" s="45">
        <f>'Step4-Normalize-AltIO1'!G7</f>
        <v>2.148919888796172</v>
      </c>
      <c r="E1" s="45">
        <f>'Step4-Normalize-AltIO1'!H7</f>
        <v>0.78702241774315496</v>
      </c>
      <c r="F1" s="45">
        <f>'Step4-Normalize-AltIO1'!I7</f>
        <v>5.3655305217739624</v>
      </c>
      <c r="G1" s="45">
        <f>'Step4-Normalize-AltIO1'!J7</f>
        <v>1.3354961635072271</v>
      </c>
      <c r="H1" s="45">
        <f>'Step4-Normalize-AltIO1'!K7</f>
        <v>6.1643951136266146</v>
      </c>
      <c r="I1" s="45">
        <f>'Step4-Normalize-AltIO1'!L7</f>
        <v>1.9040252740885546</v>
      </c>
      <c r="J1" s="45">
        <f>'Step4-Normalize-AltIO1'!M7</f>
        <v>38.07599165091726</v>
      </c>
    </row>
    <row r="2" spans="1:10">
      <c r="A2" s="45">
        <f>'Step4-Normalize-AltIO1'!D8</f>
        <v>7.523319060583546</v>
      </c>
      <c r="B2" s="45">
        <f>'Step4-Normalize-AltIO1'!E8</f>
        <v>58.448425170929106</v>
      </c>
      <c r="C2" s="45">
        <f>'Step4-Normalize-AltIO1'!F8</f>
        <v>1.801834092819268</v>
      </c>
      <c r="D2" s="45">
        <f>'Step4-Normalize-AltIO1'!G8</f>
        <v>1.6039650498677582</v>
      </c>
      <c r="E2" s="45">
        <f>'Step4-Normalize-AltIO1'!H8</f>
        <v>2.3986914484421828</v>
      </c>
      <c r="F2" s="45">
        <f>'Step4-Normalize-AltIO1'!I8</f>
        <v>57.66091039380197</v>
      </c>
      <c r="G2" s="45">
        <f>'Step4-Normalize-AltIO1'!J8</f>
        <v>14.351968421902983</v>
      </c>
      <c r="H2" s="45">
        <f>'Step4-Normalize-AltIO1'!K8</f>
        <v>5.2808166292371448</v>
      </c>
      <c r="I2" s="45">
        <f>'Step4-Normalize-AltIO1'!L8</f>
        <v>0.83731108231794082</v>
      </c>
      <c r="J2" s="45">
        <f>'Step4-Normalize-AltIO1'!M8</f>
        <v>149.90724134990188</v>
      </c>
    </row>
    <row r="3" spans="1:10">
      <c r="A3" s="45">
        <f>'Step4-Normalize-AltIO1'!D9</f>
        <v>0</v>
      </c>
      <c r="B3" s="45">
        <f>'Step4-Normalize-AltIO1'!E9</f>
        <v>0</v>
      </c>
      <c r="C3" s="45">
        <f>'Step4-Normalize-AltIO1'!F9</f>
        <v>0</v>
      </c>
      <c r="D3" s="45">
        <f>'Step4-Normalize-AltIO1'!G9</f>
        <v>0</v>
      </c>
      <c r="E3" s="45">
        <f>'Step4-Normalize-AltIO1'!H9</f>
        <v>0</v>
      </c>
      <c r="F3" s="45">
        <f>'Step4-Normalize-AltIO1'!I9</f>
        <v>0</v>
      </c>
      <c r="G3" s="45">
        <f>'Step4-Normalize-AltIO1'!J9</f>
        <v>0</v>
      </c>
      <c r="H3" s="45">
        <f>'Step4-Normalize-AltIO1'!K9</f>
        <v>6.8109988152775927</v>
      </c>
      <c r="I3" s="45">
        <f>'Step4-Normalize-AltIO1'!L9</f>
        <v>0</v>
      </c>
      <c r="J3" s="45">
        <f>'Step4-Normalize-AltIO1'!M9</f>
        <v>6.8109988152775927</v>
      </c>
    </row>
    <row r="4" spans="1:10">
      <c r="A4" s="45">
        <f>'Step4-Normalize-AltIO1'!D10</f>
        <v>1.1541075028497942</v>
      </c>
      <c r="B4" s="45">
        <f>'Step4-Normalize-AltIO1'!E10</f>
        <v>0.93969822572299122</v>
      </c>
      <c r="C4" s="45">
        <f>'Step4-Normalize-AltIO1'!F10</f>
        <v>0.11335665201707763</v>
      </c>
      <c r="D4" s="45">
        <f>'Step4-Normalize-AltIO1'!G10</f>
        <v>90.553936964683459</v>
      </c>
      <c r="E4" s="45">
        <f>'Step4-Normalize-AltIO1'!H10</f>
        <v>41.644029191437227</v>
      </c>
      <c r="F4" s="45">
        <f>'Step4-Normalize-AltIO1'!I10</f>
        <v>0.97820961863259159</v>
      </c>
      <c r="G4" s="45">
        <f>'Step4-Normalize-AltIO1'!J10</f>
        <v>0.24347922120434964</v>
      </c>
      <c r="H4" s="45">
        <f>'Step4-Normalize-AltIO1'!K10</f>
        <v>1.6771998859563584</v>
      </c>
      <c r="I4" s="45">
        <f>'Step4-Normalize-AltIO1'!L10</f>
        <v>84.028524582317885</v>
      </c>
      <c r="J4" s="45">
        <f>'Step4-Normalize-AltIO1'!M10</f>
        <v>221.33254184482175</v>
      </c>
    </row>
    <row r="5" spans="1:10">
      <c r="A5" s="45">
        <f>'Step4-Normalize-AltIO1'!D11</f>
        <v>0.64750757043849616</v>
      </c>
      <c r="B5" s="45">
        <f>'Step4-Normalize-AltIO1'!E11</f>
        <v>3.6628454241469481</v>
      </c>
      <c r="C5" s="45">
        <f>'Step4-Normalize-AltIO1'!F11</f>
        <v>0.13253584520485481</v>
      </c>
      <c r="D5" s="45">
        <f>'Step4-Normalize-AltIO1'!G11</f>
        <v>41.924010814344889</v>
      </c>
      <c r="E5" s="45">
        <f>'Step4-Normalize-AltIO1'!H11</f>
        <v>87.37958770700547</v>
      </c>
      <c r="F5" s="45">
        <f>'Step4-Normalize-AltIO1'!I11</f>
        <v>0.46249426722263987</v>
      </c>
      <c r="G5" s="45">
        <f>'Step4-Normalize-AltIO1'!J11</f>
        <v>0.11511616922378619</v>
      </c>
      <c r="H5" s="45">
        <f>'Step4-Normalize-AltIO1'!K11</f>
        <v>8.5551830151769176E-2</v>
      </c>
      <c r="I5" s="45">
        <f>'Step4-Normalize-AltIO1'!L11</f>
        <v>204.09703271550731</v>
      </c>
      <c r="J5" s="45">
        <f>'Step4-Normalize-AltIO1'!M11</f>
        <v>338.50668234324615</v>
      </c>
    </row>
    <row r="6" spans="1:10">
      <c r="A6" s="45">
        <f>'Step4-Normalize-AltIO1'!D12</f>
        <v>19.546775741684769</v>
      </c>
      <c r="B6" s="45">
        <f>'Step4-Normalize-AltIO1'!E12</f>
        <v>76.956714761204495</v>
      </c>
      <c r="C6" s="45">
        <f>'Step4-Normalize-AltIO1'!F12</f>
        <v>3.4965094971107358</v>
      </c>
      <c r="D6" s="45">
        <f>'Step4-Normalize-AltIO1'!G12</f>
        <v>85.101709127133788</v>
      </c>
      <c r="E6" s="45">
        <f>'Step4-Normalize-AltIO1'!H12</f>
        <v>206.29735157861711</v>
      </c>
      <c r="F6" s="45">
        <f>'Step4-Normalize-AltIO1'!I12</f>
        <v>0</v>
      </c>
      <c r="G6" s="45">
        <f>'Step4-Normalize-AltIO1'!J12</f>
        <v>0</v>
      </c>
      <c r="H6" s="45">
        <f>'Step4-Normalize-AltIO1'!K12</f>
        <v>0</v>
      </c>
      <c r="I6" s="45">
        <f>'Step4-Normalize-AltIO1'!L12</f>
        <v>0</v>
      </c>
      <c r="J6" s="45">
        <f>'Step4-Normalize-AltIO1'!M12</f>
        <v>391.39906070575091</v>
      </c>
    </row>
    <row r="7" spans="1:10">
      <c r="A7" s="45">
        <f>'Step4-Normalize-AltIO1'!D13</f>
        <v>38.07599165094355</v>
      </c>
      <c r="B7" s="45">
        <f>'Step4-Normalize-AltIO1'!E13</f>
        <v>149.90724134986513</v>
      </c>
      <c r="C7" s="45">
        <f>'Step4-Normalize-AltIO1'!F13</f>
        <v>6.8109988152849894</v>
      </c>
      <c r="D7" s="45">
        <f>'Step4-Normalize-AltIO1'!G13</f>
        <v>221.33254184482604</v>
      </c>
      <c r="E7" s="45">
        <f>'Step4-Normalize-AltIO1'!H13</f>
        <v>338.50668234324513</v>
      </c>
      <c r="F7" s="45">
        <f>'Step4-Normalize-AltIO1'!I13</f>
        <v>64.467144801431161</v>
      </c>
      <c r="G7" s="45">
        <f>'Step4-Normalize-AltIO1'!J13</f>
        <v>16.046059975838347</v>
      </c>
      <c r="H7" s="45">
        <f>'Step4-Normalize-AltIO1'!K13</f>
        <v>20.018962274249478</v>
      </c>
      <c r="I7" s="45">
        <f>'Step4-Normalize-AltIO1'!L13</f>
        <v>290.86689365423172</v>
      </c>
      <c r="J7" s="45">
        <f>'Step4-Normalize-AltIO1'!M13</f>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NIPA-1.1.5</vt:lpstr>
      <vt:lpstr>NIPA-5.1</vt:lpstr>
      <vt:lpstr>1987-97_02NAICS_VA, GO, II</vt:lpstr>
      <vt:lpstr>07NAICS_VA, GO, II</vt:lpstr>
      <vt:lpstr>FRED</vt:lpstr>
      <vt:lpstr>Step1-AggregateWIOD</vt:lpstr>
      <vt:lpstr>Step2a-NIPACalcs</vt:lpstr>
      <vt:lpstr>Step2b-IVACalcs</vt:lpstr>
      <vt:lpstr>Step3-Balance</vt:lpstr>
      <vt:lpstr>Step3-BalanceMoreSvcsTrd</vt:lpstr>
      <vt:lpstr>Step3-Balance-NoIO</vt:lpstr>
      <vt:lpstr>Step3-BalanceAltIO1</vt:lpstr>
      <vt:lpstr>Step4-Normalize</vt:lpstr>
      <vt:lpstr>Step4-NormalizeMoreSvcsTrd</vt:lpstr>
      <vt:lpstr>Step4-Normalize-NoIO</vt:lpstr>
      <vt:lpstr>Step4-Normalize-AltIO1</vt:lpstr>
      <vt:lpstr>input-output-data</vt:lpstr>
      <vt:lpstr>input-output-data-moresvcstrd</vt:lpstr>
      <vt:lpstr>input-output-data-NoIO</vt:lpstr>
      <vt:lpstr>input-output-data-altio1</vt:lpstr>
      <vt:lpstr>'1987-97_02NAICS_VA, GO, II'!Print_Area</vt:lpstr>
      <vt:lpstr>'Step4-Normalize'!Print_Area</vt:lpstr>
      <vt:lpstr>'Step4-Normalize-AltIO1'!Print_Area</vt:lpstr>
      <vt:lpstr>'Step4-NormalizeMoreSvcsTrd'!Print_Area</vt:lpstr>
      <vt:lpstr>'Step4-Normalize-NoIO'!Print_Area</vt:lpstr>
      <vt:lpstr>'1987-97_02NAICS_VA, GO, II'!Print_Titles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Reitze</dc:creator>
  <cp:lastModifiedBy>Joseph B. Steinberg</cp:lastModifiedBy>
  <cp:lastPrinted>2015-03-27T20:30:27Z</cp:lastPrinted>
  <dcterms:created xsi:type="dcterms:W3CDTF">2012-04-03T07:40:16Z</dcterms:created>
  <dcterms:modified xsi:type="dcterms:W3CDTF">2016-10-15T21:04:49Z</dcterms:modified>
</cp:coreProperties>
</file>